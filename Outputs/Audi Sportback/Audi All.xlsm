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Code/2025-04-23_Pre fixing the maximising capacity issue/Outputs/Audi Sportback/"/>
    </mc:Choice>
  </mc:AlternateContent>
  <xr:revisionPtr revIDLastSave="2503" documentId="8_{F03129A8-07DE-4BC0-8AEE-523D4CF5BBEB}" xr6:coauthVersionLast="47" xr6:coauthVersionMax="47" xr10:uidLastSave="{C20B5D03-D092-4561-B666-724C22CFFDD6}"/>
  <bookViews>
    <workbookView xWindow="28680" yWindow="-120" windowWidth="29040" windowHeight="15720" firstSheet="2" activeTab="16" xr2:uid="{00000000-000D-0000-FFFF-FFFF00000000}"/>
  </bookViews>
  <sheets>
    <sheet name="60 O" sheetId="5" r:id="rId1"/>
    <sheet name="60 F" sheetId="6" r:id="rId2"/>
    <sheet name="65 O" sheetId="7" r:id="rId3"/>
    <sheet name="65 F" sheetId="8" r:id="rId4"/>
    <sheet name="70 O" sheetId="9" r:id="rId5"/>
    <sheet name="70 F" sheetId="10" r:id="rId6"/>
    <sheet name="75 O" sheetId="11" r:id="rId7"/>
    <sheet name="75 F" sheetId="12" r:id="rId8"/>
    <sheet name="80 O" sheetId="13" r:id="rId9"/>
    <sheet name="80 F" sheetId="14" r:id="rId10"/>
    <sheet name="85 O" sheetId="15" r:id="rId11"/>
    <sheet name="85 F" sheetId="16" r:id="rId12"/>
    <sheet name="90 O" sheetId="3" r:id="rId13"/>
    <sheet name="90 F" sheetId="4" r:id="rId14"/>
    <sheet name="95 O" sheetId="1" r:id="rId15"/>
    <sheet name="95 F" sheetId="2" r:id="rId16"/>
    <sheet name="Best" sheetId="17" r:id="rId17"/>
    <sheet name="Sheet1" sheetId="18" r:id="rId18"/>
    <sheet name="Best (2)" sheetId="19" r:id="rId19"/>
  </sheets>
  <definedNames>
    <definedName name="_xlnm._FilterDatabase" localSheetId="0" hidden="1">'60 O'!$H$1:$H$869</definedName>
    <definedName name="_xlnm._FilterDatabase" localSheetId="6" hidden="1">'75 O'!$H$1:$H$204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7" l="1"/>
  <c r="D16" i="17" s="1"/>
  <c r="AJ26" i="17"/>
  <c r="AG26" i="17"/>
  <c r="AJ24" i="17"/>
  <c r="AK24" i="17"/>
  <c r="AK25" i="17"/>
  <c r="AI25" i="17"/>
  <c r="AJ25" i="17"/>
  <c r="AI24" i="17"/>
  <c r="AG25" i="17"/>
  <c r="AH25" i="17"/>
  <c r="AG24" i="17"/>
  <c r="AH24" i="17"/>
  <c r="E3" i="17"/>
  <c r="D3" i="17" s="1"/>
  <c r="E4" i="17"/>
  <c r="D4" i="17" s="1"/>
  <c r="E5" i="17"/>
  <c r="D5" i="17" s="1"/>
  <c r="E6" i="17"/>
  <c r="D6" i="17" s="1"/>
  <c r="D7" i="17"/>
  <c r="E7" i="17"/>
  <c r="D8" i="17"/>
  <c r="E8" i="17"/>
  <c r="D9" i="17"/>
  <c r="E9" i="17"/>
  <c r="E10" i="17"/>
  <c r="D10" i="17" s="1"/>
  <c r="D11" i="17"/>
  <c r="E11" i="17"/>
  <c r="D12" i="17"/>
  <c r="E12" i="17"/>
  <c r="D13" i="17"/>
  <c r="E13" i="17"/>
  <c r="D15" i="17"/>
  <c r="E2" i="17"/>
  <c r="D2" i="17" s="1"/>
  <c r="AP356" i="18"/>
  <c r="AP355" i="18"/>
  <c r="AP354" i="18"/>
  <c r="AP353" i="18"/>
  <c r="AP352" i="18"/>
  <c r="AP351" i="18"/>
  <c r="AP350" i="18"/>
  <c r="AP349" i="18"/>
  <c r="AO349" i="18"/>
  <c r="AM349" i="18"/>
  <c r="AO348" i="18"/>
  <c r="AP348" i="18" s="1"/>
  <c r="AM348" i="18"/>
  <c r="AP347" i="18"/>
  <c r="AO347" i="18"/>
  <c r="AM347" i="18"/>
  <c r="AO346" i="18"/>
  <c r="AP346" i="18" s="1"/>
  <c r="AM346" i="18"/>
  <c r="AP345" i="18"/>
  <c r="AO345" i="18"/>
  <c r="AM345" i="18"/>
  <c r="AO344" i="18"/>
  <c r="AP344" i="18" s="1"/>
  <c r="AM344" i="18"/>
  <c r="AP343" i="18"/>
  <c r="AO343" i="18"/>
  <c r="Z343" i="18"/>
  <c r="U343" i="18"/>
  <c r="T343" i="18"/>
  <c r="AO342" i="18"/>
  <c r="AP342" i="18" s="1"/>
  <c r="Z342" i="18"/>
  <c r="Y342" i="18"/>
  <c r="U342" i="18"/>
  <c r="T342" i="18"/>
  <c r="AO341" i="18"/>
  <c r="AP341" i="18" s="1"/>
  <c r="AO340" i="18"/>
  <c r="AP340" i="18" s="1"/>
  <c r="AO339" i="18"/>
  <c r="AP339" i="18" s="1"/>
  <c r="AO338" i="18"/>
  <c r="AP338" i="18" s="1"/>
  <c r="Z338" i="18"/>
  <c r="T338" i="18"/>
  <c r="AR337" i="18"/>
  <c r="AP337" i="18"/>
  <c r="AO337" i="18"/>
  <c r="AR336" i="18"/>
  <c r="AO336" i="18"/>
  <c r="AP336" i="18" s="1"/>
  <c r="Z336" i="18"/>
  <c r="AR335" i="18"/>
  <c r="AO335" i="18"/>
  <c r="AP335" i="18" s="1"/>
  <c r="X335" i="18"/>
  <c r="O335" i="18"/>
  <c r="N335" i="18"/>
  <c r="AR334" i="18"/>
  <c r="AO334" i="18"/>
  <c r="AP334" i="18" s="1"/>
  <c r="Z334" i="18"/>
  <c r="Y334" i="18"/>
  <c r="U334" i="18"/>
  <c r="T334" i="18"/>
  <c r="AR333" i="18"/>
  <c r="AP333" i="18"/>
  <c r="AO333" i="18"/>
  <c r="Z333" i="18"/>
  <c r="T333" i="18"/>
  <c r="AR332" i="18"/>
  <c r="AO332" i="18"/>
  <c r="AP332" i="18" s="1"/>
  <c r="AM332" i="18"/>
  <c r="Z332" i="18"/>
  <c r="X332" i="18"/>
  <c r="T332" i="18"/>
  <c r="N332" i="18"/>
  <c r="AR331" i="18"/>
  <c r="AO331" i="18"/>
  <c r="AP331" i="18" s="1"/>
  <c r="AR330" i="18"/>
  <c r="AP330" i="18"/>
  <c r="AO330" i="18"/>
  <c r="AR329" i="18"/>
  <c r="AO329" i="18"/>
  <c r="AP329" i="18" s="1"/>
  <c r="AR328" i="18"/>
  <c r="AP328" i="18"/>
  <c r="AO328" i="18"/>
  <c r="AR327" i="18"/>
  <c r="AO327" i="18"/>
  <c r="AP327" i="18" s="1"/>
  <c r="AR326" i="18"/>
  <c r="AP326" i="18"/>
  <c r="AO326" i="18"/>
  <c r="AR325" i="18"/>
  <c r="AO325" i="18"/>
  <c r="AP325" i="18" s="1"/>
  <c r="AR324" i="18"/>
  <c r="AP324" i="18"/>
  <c r="AO324" i="18"/>
  <c r="AR323" i="18"/>
  <c r="AO323" i="18"/>
  <c r="AP323" i="18" s="1"/>
  <c r="AR322" i="18"/>
  <c r="AP322" i="18"/>
  <c r="AO322" i="18"/>
  <c r="AR321" i="18"/>
  <c r="AO321" i="18"/>
  <c r="AP321" i="18" s="1"/>
  <c r="AR320" i="18"/>
  <c r="AP320" i="18"/>
  <c r="AO320" i="18"/>
  <c r="AR319" i="18"/>
  <c r="AO319" i="18"/>
  <c r="AP319" i="18" s="1"/>
  <c r="AR318" i="18"/>
  <c r="AP318" i="18"/>
  <c r="AO318" i="18"/>
  <c r="AR317" i="18"/>
  <c r="AO317" i="18"/>
  <c r="AP317" i="18" s="1"/>
  <c r="AR316" i="18"/>
  <c r="AP316" i="18"/>
  <c r="AO316" i="18"/>
  <c r="AR315" i="18"/>
  <c r="AO315" i="18"/>
  <c r="AP315" i="18" s="1"/>
  <c r="AR314" i="18"/>
  <c r="AP314" i="18"/>
  <c r="AO314" i="18"/>
  <c r="AR313" i="18"/>
  <c r="AO313" i="18"/>
  <c r="AP313" i="18" s="1"/>
  <c r="AR312" i="18"/>
  <c r="AP312" i="18"/>
  <c r="AO312" i="18"/>
  <c r="AR311" i="18"/>
  <c r="AO311" i="18"/>
  <c r="AP311" i="18" s="1"/>
  <c r="AR310" i="18"/>
  <c r="AP310" i="18"/>
  <c r="AO310" i="18"/>
  <c r="AR309" i="18"/>
  <c r="AO309" i="18"/>
  <c r="AP309" i="18" s="1"/>
  <c r="AR308" i="18"/>
  <c r="AP308" i="18"/>
  <c r="AO308" i="18"/>
  <c r="AA308" i="18"/>
  <c r="V308" i="18"/>
  <c r="AR307" i="18"/>
  <c r="AO307" i="18"/>
  <c r="AP307" i="18" s="1"/>
  <c r="AA307" i="18"/>
  <c r="V307" i="18"/>
  <c r="AR306" i="18"/>
  <c r="AP306" i="18"/>
  <c r="AO306" i="18"/>
  <c r="AR305" i="18"/>
  <c r="AO305" i="18"/>
  <c r="AP305" i="18" s="1"/>
  <c r="AR304" i="18"/>
  <c r="AP304" i="18"/>
  <c r="AO304" i="18"/>
  <c r="AR303" i="18"/>
  <c r="AO303" i="18"/>
  <c r="AP303" i="18" s="1"/>
  <c r="AR302" i="18"/>
  <c r="AP302" i="18"/>
  <c r="AO302" i="18"/>
  <c r="AR301" i="18"/>
  <c r="AO301" i="18"/>
  <c r="AP301" i="18" s="1"/>
  <c r="AR300" i="18"/>
  <c r="AP300" i="18"/>
  <c r="AO300" i="18"/>
  <c r="AR299" i="18"/>
  <c r="AO299" i="18"/>
  <c r="AP299" i="18" s="1"/>
  <c r="AR298" i="18"/>
  <c r="AP298" i="18"/>
  <c r="AO298" i="18"/>
  <c r="AR297" i="18"/>
  <c r="AO297" i="18"/>
  <c r="AP297" i="18" s="1"/>
  <c r="AR296" i="18"/>
  <c r="AP296" i="18"/>
  <c r="AO296" i="18"/>
  <c r="AR295" i="18"/>
  <c r="AO295" i="18"/>
  <c r="AP295" i="18" s="1"/>
  <c r="AR294" i="18"/>
  <c r="AP294" i="18"/>
  <c r="AO294" i="18"/>
  <c r="AR293" i="18"/>
  <c r="AO293" i="18"/>
  <c r="AP293" i="18" s="1"/>
  <c r="AR292" i="18"/>
  <c r="AP292" i="18"/>
  <c r="AO292" i="18"/>
  <c r="AR291" i="18"/>
  <c r="AO291" i="18"/>
  <c r="AP291" i="18" s="1"/>
  <c r="AR290" i="18"/>
  <c r="AP290" i="18"/>
  <c r="AO290" i="18"/>
  <c r="AR289" i="18"/>
  <c r="AO289" i="18"/>
  <c r="AP289" i="18" s="1"/>
  <c r="AR288" i="18"/>
  <c r="AP288" i="18"/>
  <c r="AO288" i="18"/>
  <c r="AR287" i="18"/>
  <c r="AO287" i="18"/>
  <c r="AP287" i="18" s="1"/>
  <c r="AR286" i="18"/>
  <c r="AP286" i="18"/>
  <c r="AO286" i="18"/>
  <c r="AR285" i="18"/>
  <c r="AO285" i="18"/>
  <c r="AP285" i="18" s="1"/>
  <c r="AR284" i="18"/>
  <c r="AP284" i="18"/>
  <c r="AO284" i="18"/>
  <c r="AR283" i="18"/>
  <c r="AO283" i="18"/>
  <c r="AP283" i="18" s="1"/>
  <c r="AR282" i="18"/>
  <c r="AP282" i="18"/>
  <c r="AO282" i="18"/>
  <c r="AR281" i="18"/>
  <c r="AO281" i="18"/>
  <c r="AP281" i="18" s="1"/>
  <c r="AR280" i="18"/>
  <c r="AP280" i="18"/>
  <c r="AO280" i="18"/>
  <c r="AR279" i="18"/>
  <c r="AO279" i="18"/>
  <c r="AP279" i="18" s="1"/>
  <c r="AR278" i="18"/>
  <c r="AP278" i="18"/>
  <c r="AO278" i="18"/>
  <c r="AR277" i="18"/>
  <c r="AO277" i="18"/>
  <c r="AP277" i="18" s="1"/>
  <c r="AR276" i="18"/>
  <c r="AP276" i="18"/>
  <c r="AO276" i="18"/>
  <c r="AR275" i="18"/>
  <c r="AO275" i="18"/>
  <c r="AP275" i="18" s="1"/>
  <c r="AR274" i="18"/>
  <c r="AP274" i="18"/>
  <c r="AO274" i="18"/>
  <c r="AR273" i="18"/>
  <c r="AO273" i="18"/>
  <c r="AP273" i="18" s="1"/>
  <c r="AR272" i="18"/>
  <c r="AP272" i="18"/>
  <c r="AO272" i="18"/>
  <c r="AR271" i="18"/>
  <c r="AO271" i="18"/>
  <c r="AP271" i="18" s="1"/>
  <c r="AR270" i="18"/>
  <c r="AP270" i="18"/>
  <c r="AO270" i="18"/>
  <c r="AR269" i="18"/>
  <c r="AO269" i="18"/>
  <c r="AP269" i="18" s="1"/>
  <c r="AR268" i="18"/>
  <c r="AP268" i="18"/>
  <c r="AO268" i="18"/>
  <c r="AR267" i="18"/>
  <c r="AO267" i="18"/>
  <c r="AP267" i="18" s="1"/>
  <c r="AR266" i="18"/>
  <c r="AP266" i="18"/>
  <c r="AO266" i="18"/>
  <c r="AR265" i="18"/>
  <c r="AO265" i="18"/>
  <c r="AP265" i="18" s="1"/>
  <c r="AR264" i="18"/>
  <c r="AP264" i="18"/>
  <c r="AO264" i="18"/>
  <c r="AR263" i="18"/>
  <c r="AO263" i="18"/>
  <c r="AP263" i="18" s="1"/>
  <c r="AR262" i="18"/>
  <c r="AP262" i="18"/>
  <c r="AO262" i="18"/>
  <c r="AR261" i="18"/>
  <c r="AO261" i="18"/>
  <c r="AP261" i="18" s="1"/>
  <c r="AR260" i="18"/>
  <c r="AP260" i="18"/>
  <c r="AO260" i="18"/>
  <c r="AR259" i="18"/>
  <c r="AO259" i="18"/>
  <c r="AP259" i="18" s="1"/>
  <c r="AR258" i="18"/>
  <c r="AP258" i="18"/>
  <c r="AO258" i="18"/>
  <c r="AR257" i="18"/>
  <c r="AO257" i="18"/>
  <c r="AP257" i="18" s="1"/>
  <c r="AR256" i="18"/>
  <c r="AP256" i="18"/>
  <c r="AO256" i="18"/>
  <c r="AR255" i="18"/>
  <c r="AO255" i="18"/>
  <c r="AP255" i="18" s="1"/>
  <c r="AR254" i="18"/>
  <c r="AP254" i="18"/>
  <c r="AO254" i="18"/>
  <c r="AR253" i="18"/>
  <c r="AO253" i="18"/>
  <c r="AP253" i="18" s="1"/>
  <c r="AR252" i="18"/>
  <c r="AP252" i="18"/>
  <c r="AO252" i="18"/>
  <c r="AR251" i="18"/>
  <c r="AO251" i="18"/>
  <c r="AP251" i="18" s="1"/>
  <c r="AR250" i="18"/>
  <c r="AP250" i="18"/>
  <c r="AO250" i="18"/>
  <c r="AR249" i="18"/>
  <c r="AO249" i="18"/>
  <c r="AP249" i="18" s="1"/>
  <c r="AR248" i="18"/>
  <c r="AP248" i="18"/>
  <c r="AO248" i="18"/>
  <c r="AR247" i="18"/>
  <c r="AO247" i="18"/>
  <c r="AP247" i="18" s="1"/>
  <c r="AR246" i="18"/>
  <c r="AP246" i="18"/>
  <c r="AO246" i="18"/>
  <c r="AR245" i="18"/>
  <c r="AO245" i="18"/>
  <c r="AP245" i="18" s="1"/>
  <c r="AR244" i="18"/>
  <c r="AP244" i="18"/>
  <c r="AO244" i="18"/>
  <c r="AR243" i="18"/>
  <c r="AO243" i="18"/>
  <c r="AP243" i="18" s="1"/>
  <c r="AR242" i="18"/>
  <c r="AP242" i="18"/>
  <c r="AO242" i="18"/>
  <c r="AR241" i="18"/>
  <c r="AO241" i="18"/>
  <c r="AP241" i="18" s="1"/>
  <c r="AR240" i="18"/>
  <c r="AP240" i="18"/>
  <c r="AO240" i="18"/>
  <c r="AR239" i="18"/>
  <c r="AO239" i="18"/>
  <c r="AP239" i="18" s="1"/>
  <c r="AR238" i="18"/>
  <c r="AP238" i="18"/>
  <c r="AO238" i="18"/>
  <c r="AR237" i="18"/>
  <c r="AO237" i="18"/>
  <c r="AP237" i="18" s="1"/>
  <c r="AR236" i="18"/>
  <c r="AP236" i="18"/>
  <c r="AO236" i="18"/>
  <c r="AR235" i="18"/>
  <c r="AO235" i="18"/>
  <c r="AP235" i="18" s="1"/>
  <c r="AR234" i="18"/>
  <c r="AP234" i="18"/>
  <c r="AO234" i="18"/>
  <c r="AR233" i="18"/>
  <c r="AO233" i="18"/>
  <c r="AP233" i="18" s="1"/>
  <c r="AR232" i="18"/>
  <c r="AP232" i="18"/>
  <c r="AO232" i="18"/>
  <c r="AR231" i="18"/>
  <c r="AO231" i="18"/>
  <c r="AP231" i="18" s="1"/>
  <c r="AR230" i="18"/>
  <c r="AP230" i="18"/>
  <c r="AO230" i="18"/>
  <c r="AR229" i="18"/>
  <c r="AO229" i="18"/>
  <c r="AP229" i="18" s="1"/>
  <c r="AR228" i="18"/>
  <c r="AP228" i="18"/>
  <c r="AO228" i="18"/>
  <c r="AR227" i="18"/>
  <c r="AO227" i="18"/>
  <c r="AP227" i="18" s="1"/>
  <c r="AR226" i="18"/>
  <c r="AP226" i="18"/>
  <c r="AO226" i="18"/>
  <c r="AR225" i="18"/>
  <c r="AO225" i="18"/>
  <c r="AP225" i="18" s="1"/>
  <c r="AR224" i="18"/>
  <c r="AP224" i="18"/>
  <c r="AO224" i="18"/>
  <c r="AR223" i="18"/>
  <c r="AO223" i="18"/>
  <c r="AP223" i="18" s="1"/>
  <c r="AR222" i="18"/>
  <c r="AP222" i="18"/>
  <c r="AO222" i="18"/>
  <c r="AR221" i="18"/>
  <c r="AO221" i="18"/>
  <c r="AP221" i="18" s="1"/>
  <c r="AR220" i="18"/>
  <c r="AP220" i="18"/>
  <c r="AO220" i="18"/>
  <c r="AR219" i="18"/>
  <c r="AO219" i="18"/>
  <c r="AP219" i="18" s="1"/>
  <c r="AR218" i="18"/>
  <c r="AP218" i="18"/>
  <c r="AO218" i="18"/>
  <c r="AR217" i="18"/>
  <c r="AO217" i="18"/>
  <c r="AP217" i="18" s="1"/>
  <c r="AR216" i="18"/>
  <c r="AP216" i="18"/>
  <c r="AO216" i="18"/>
  <c r="AR215" i="18"/>
  <c r="AO215" i="18"/>
  <c r="AP215" i="18" s="1"/>
  <c r="AR214" i="18"/>
  <c r="AP214" i="18"/>
  <c r="AO214" i="18"/>
  <c r="AR213" i="18"/>
  <c r="AO213" i="18"/>
  <c r="AP213" i="18" s="1"/>
  <c r="AR212" i="18"/>
  <c r="AP212" i="18"/>
  <c r="AO212" i="18"/>
  <c r="AR211" i="18"/>
  <c r="AO211" i="18"/>
  <c r="AP211" i="18" s="1"/>
  <c r="AR210" i="18"/>
  <c r="AP210" i="18"/>
  <c r="AO210" i="18"/>
  <c r="AR209" i="18"/>
  <c r="AO209" i="18"/>
  <c r="AP209" i="18" s="1"/>
  <c r="AR208" i="18"/>
  <c r="AP208" i="18"/>
  <c r="AO208" i="18"/>
  <c r="AR207" i="18"/>
  <c r="AO207" i="18"/>
  <c r="AP207" i="18" s="1"/>
  <c r="AR206" i="18"/>
  <c r="AP206" i="18"/>
  <c r="AO206" i="18"/>
  <c r="AR205" i="18"/>
  <c r="AO205" i="18"/>
  <c r="AP205" i="18" s="1"/>
  <c r="AR204" i="18"/>
  <c r="AP204" i="18"/>
  <c r="AO204" i="18"/>
  <c r="AR203" i="18"/>
  <c r="AO203" i="18"/>
  <c r="AP203" i="18" s="1"/>
  <c r="AR202" i="18"/>
  <c r="AP202" i="18"/>
  <c r="AO202" i="18"/>
  <c r="AR201" i="18"/>
  <c r="AO201" i="18"/>
  <c r="AP201" i="18" s="1"/>
  <c r="AR200" i="18"/>
  <c r="AP200" i="18"/>
  <c r="AO200" i="18"/>
  <c r="AR199" i="18"/>
  <c r="AO199" i="18"/>
  <c r="AP199" i="18" s="1"/>
  <c r="AR198" i="18"/>
  <c r="AP198" i="18"/>
  <c r="AO198" i="18"/>
  <c r="AR197" i="18"/>
  <c r="AO197" i="18"/>
  <c r="AP197" i="18" s="1"/>
  <c r="AR196" i="18"/>
  <c r="AP196" i="18"/>
  <c r="AO196" i="18"/>
  <c r="AR195" i="18"/>
  <c r="AO195" i="18"/>
  <c r="AP195" i="18" s="1"/>
  <c r="AR194" i="18"/>
  <c r="AP194" i="18"/>
  <c r="AO194" i="18"/>
  <c r="AR193" i="18"/>
  <c r="AO193" i="18"/>
  <c r="AP193" i="18" s="1"/>
  <c r="AR192" i="18"/>
  <c r="AP192" i="18"/>
  <c r="AO192" i="18"/>
  <c r="AR191" i="18"/>
  <c r="AO191" i="18"/>
  <c r="AP191" i="18" s="1"/>
  <c r="AR190" i="18"/>
  <c r="AP190" i="18"/>
  <c r="AO190" i="18"/>
  <c r="AR189" i="18"/>
  <c r="AO189" i="18"/>
  <c r="AP189" i="18" s="1"/>
  <c r="AR188" i="18"/>
  <c r="AP188" i="18"/>
  <c r="AO188" i="18"/>
  <c r="Z188" i="18"/>
  <c r="Y188" i="18"/>
  <c r="U188" i="18"/>
  <c r="T188" i="18"/>
  <c r="AR187" i="18"/>
  <c r="AO187" i="18"/>
  <c r="AP187" i="18" s="1"/>
  <c r="Z187" i="18"/>
  <c r="Y187" i="18"/>
  <c r="U187" i="18"/>
  <c r="T187" i="18"/>
  <c r="AR186" i="18"/>
  <c r="AP186" i="18"/>
  <c r="AO186" i="18"/>
  <c r="Z186" i="18"/>
  <c r="Y186" i="18"/>
  <c r="U186" i="18"/>
  <c r="T186" i="18"/>
  <c r="AR185" i="18"/>
  <c r="AO185" i="18"/>
  <c r="AP185" i="18" s="1"/>
  <c r="Z185" i="18"/>
  <c r="Y185" i="18"/>
  <c r="U185" i="18"/>
  <c r="T185" i="18"/>
  <c r="AR184" i="18"/>
  <c r="AP184" i="18"/>
  <c r="AO184" i="18"/>
  <c r="Z184" i="18"/>
  <c r="Y184" i="18"/>
  <c r="U184" i="18"/>
  <c r="T184" i="18"/>
  <c r="AR183" i="18"/>
  <c r="AO183" i="18"/>
  <c r="AP183" i="18" s="1"/>
  <c r="Z183" i="18"/>
  <c r="Y183" i="18"/>
  <c r="U183" i="18"/>
  <c r="T183" i="18"/>
  <c r="AR182" i="18"/>
  <c r="AP182" i="18"/>
  <c r="AO182" i="18"/>
  <c r="Z182" i="18"/>
  <c r="Y182" i="18"/>
  <c r="U182" i="18"/>
  <c r="T182" i="18"/>
  <c r="AR181" i="18"/>
  <c r="AO181" i="18"/>
  <c r="AP181" i="18" s="1"/>
  <c r="Z181" i="18"/>
  <c r="Y181" i="18"/>
  <c r="U181" i="18"/>
  <c r="T181" i="18"/>
  <c r="AR180" i="18"/>
  <c r="AP180" i="18"/>
  <c r="AO180" i="18"/>
  <c r="Z180" i="18"/>
  <c r="Y180" i="18"/>
  <c r="U180" i="18"/>
  <c r="T180" i="18"/>
  <c r="AR179" i="18"/>
  <c r="AO179" i="18"/>
  <c r="AP179" i="18" s="1"/>
  <c r="Z179" i="18"/>
  <c r="Y179" i="18"/>
  <c r="U179" i="18"/>
  <c r="T179" i="18"/>
  <c r="AR178" i="18"/>
  <c r="AP178" i="18"/>
  <c r="AO178" i="18"/>
  <c r="Z178" i="18"/>
  <c r="Y178" i="18"/>
  <c r="U178" i="18"/>
  <c r="T178" i="18"/>
  <c r="AR177" i="18"/>
  <c r="AO177" i="18"/>
  <c r="AP177" i="18" s="1"/>
  <c r="Z177" i="18"/>
  <c r="Y177" i="18"/>
  <c r="U177" i="18"/>
  <c r="T177" i="18"/>
  <c r="AR176" i="18"/>
  <c r="AP176" i="18"/>
  <c r="AO176" i="18"/>
  <c r="Z176" i="18"/>
  <c r="Y176" i="18"/>
  <c r="U176" i="18"/>
  <c r="T176" i="18"/>
  <c r="AR175" i="18"/>
  <c r="AO175" i="18"/>
  <c r="AP175" i="18" s="1"/>
  <c r="Z175" i="18"/>
  <c r="Y175" i="18"/>
  <c r="U175" i="18"/>
  <c r="T175" i="18"/>
  <c r="AR174" i="18"/>
  <c r="AP174" i="18"/>
  <c r="AO174" i="18"/>
  <c r="Z174" i="18"/>
  <c r="Y174" i="18"/>
  <c r="U174" i="18"/>
  <c r="T174" i="18"/>
  <c r="AR173" i="18"/>
  <c r="AO173" i="18"/>
  <c r="AP173" i="18" s="1"/>
  <c r="Z173" i="18"/>
  <c r="Y173" i="18"/>
  <c r="U173" i="18"/>
  <c r="T173" i="18"/>
  <c r="AR172" i="18"/>
  <c r="AP172" i="18"/>
  <c r="AO172" i="18"/>
  <c r="Z172" i="18"/>
  <c r="Y172" i="18"/>
  <c r="U172" i="18"/>
  <c r="T172" i="18"/>
  <c r="AR171" i="18"/>
  <c r="AO171" i="18"/>
  <c r="AP171" i="18" s="1"/>
  <c r="Z171" i="18"/>
  <c r="Y171" i="18"/>
  <c r="U171" i="18"/>
  <c r="T171" i="18"/>
  <c r="AR170" i="18"/>
  <c r="AP170" i="18"/>
  <c r="AO170" i="18"/>
  <c r="Z170" i="18"/>
  <c r="Y170" i="18"/>
  <c r="U170" i="18"/>
  <c r="T170" i="18"/>
  <c r="AR169" i="18"/>
  <c r="AO169" i="18"/>
  <c r="AP169" i="18" s="1"/>
  <c r="Z169" i="18"/>
  <c r="Y169" i="18"/>
  <c r="U169" i="18"/>
  <c r="T169" i="18"/>
  <c r="AR168" i="18"/>
  <c r="AP168" i="18"/>
  <c r="AO168" i="18"/>
  <c r="Z168" i="18"/>
  <c r="Y168" i="18"/>
  <c r="U168" i="18"/>
  <c r="T168" i="18"/>
  <c r="AR167" i="18"/>
  <c r="AO167" i="18"/>
  <c r="AP167" i="18" s="1"/>
  <c r="Z167" i="18"/>
  <c r="Y167" i="18"/>
  <c r="T167" i="18"/>
  <c r="AR166" i="18"/>
  <c r="AO166" i="18"/>
  <c r="AP166" i="18" s="1"/>
  <c r="AR165" i="18"/>
  <c r="AP165" i="18"/>
  <c r="AO165" i="18"/>
  <c r="Z165" i="18"/>
  <c r="T165" i="18"/>
  <c r="AR164" i="18"/>
  <c r="AO164" i="18"/>
  <c r="AP164" i="18" s="1"/>
  <c r="AR163" i="18"/>
  <c r="AP163" i="18"/>
  <c r="AO163" i="18"/>
  <c r="AR162" i="18"/>
  <c r="AO162" i="18"/>
  <c r="AP162" i="18" s="1"/>
  <c r="AR161" i="18"/>
  <c r="AP161" i="18"/>
  <c r="AO161" i="18"/>
  <c r="AR160" i="18"/>
  <c r="AO160" i="18"/>
  <c r="AP160" i="18" s="1"/>
  <c r="AR159" i="18"/>
  <c r="AP159" i="18"/>
  <c r="AO159" i="18"/>
  <c r="AR158" i="18"/>
  <c r="AO158" i="18"/>
  <c r="AP158" i="18" s="1"/>
  <c r="AR157" i="18"/>
  <c r="AP157" i="18"/>
  <c r="AO157" i="18"/>
  <c r="AR156" i="18"/>
  <c r="AO156" i="18"/>
  <c r="AP156" i="18" s="1"/>
  <c r="AR155" i="18"/>
  <c r="AP155" i="18"/>
  <c r="AO155" i="18"/>
  <c r="AR154" i="18"/>
  <c r="AO154" i="18"/>
  <c r="AP154" i="18" s="1"/>
  <c r="AR153" i="18"/>
  <c r="AP153" i="18"/>
  <c r="AO153" i="18"/>
  <c r="AR152" i="18"/>
  <c r="AO152" i="18"/>
  <c r="AP152" i="18" s="1"/>
  <c r="AR151" i="18"/>
  <c r="AP151" i="18"/>
  <c r="AO151" i="18"/>
  <c r="AR150" i="18"/>
  <c r="AO150" i="18"/>
  <c r="AP150" i="18" s="1"/>
  <c r="AR149" i="18"/>
  <c r="AP149" i="18"/>
  <c r="AO149" i="18"/>
  <c r="AR148" i="18"/>
  <c r="AO148" i="18"/>
  <c r="AP148" i="18" s="1"/>
  <c r="AR147" i="18"/>
  <c r="AP147" i="18"/>
  <c r="AO147" i="18"/>
  <c r="AR146" i="18"/>
  <c r="AO146" i="18"/>
  <c r="AP146" i="18" s="1"/>
  <c r="AR145" i="18"/>
  <c r="AP145" i="18"/>
  <c r="AO145" i="18"/>
  <c r="AR144" i="18"/>
  <c r="AO144" i="18"/>
  <c r="AP144" i="18" s="1"/>
  <c r="Y144" i="18"/>
  <c r="U144" i="18"/>
  <c r="AR143" i="18"/>
  <c r="AP143" i="18"/>
  <c r="AO143" i="18"/>
  <c r="Y143" i="18"/>
  <c r="U143" i="18"/>
  <c r="AR142" i="18"/>
  <c r="AO142" i="18"/>
  <c r="AP142" i="18" s="1"/>
  <c r="AR141" i="18"/>
  <c r="AP141" i="18"/>
  <c r="AO141" i="18"/>
  <c r="Z141" i="18"/>
  <c r="T141" i="18"/>
  <c r="AR140" i="18"/>
  <c r="AO140" i="18"/>
  <c r="AP140" i="18" s="1"/>
  <c r="Z140" i="18"/>
  <c r="T140" i="18"/>
  <c r="AR139" i="18"/>
  <c r="AP139" i="18"/>
  <c r="AO139" i="18"/>
  <c r="Z139" i="18"/>
  <c r="Y139" i="18"/>
  <c r="U139" i="18"/>
  <c r="T139" i="18"/>
  <c r="AR138" i="18"/>
  <c r="AO138" i="18"/>
  <c r="AP138" i="18" s="1"/>
  <c r="Z138" i="18"/>
  <c r="Y138" i="18"/>
  <c r="U138" i="18"/>
  <c r="T138" i="18"/>
  <c r="AR137" i="18"/>
  <c r="AP137" i="18"/>
  <c r="AO137" i="18"/>
  <c r="Z137" i="18"/>
  <c r="Y137" i="18"/>
  <c r="U137" i="18"/>
  <c r="T137" i="18"/>
  <c r="AR136" i="18"/>
  <c r="AO136" i="18"/>
  <c r="AP136" i="18" s="1"/>
  <c r="Y136" i="18"/>
  <c r="U136" i="18"/>
  <c r="T136" i="18"/>
  <c r="AR135" i="18"/>
  <c r="AO135" i="18"/>
  <c r="AP135" i="18" s="1"/>
  <c r="AR134" i="18"/>
  <c r="AP134" i="18"/>
  <c r="AO134" i="18"/>
  <c r="Z134" i="18"/>
  <c r="Y134" i="18"/>
  <c r="U134" i="18"/>
  <c r="T134" i="18"/>
  <c r="AR133" i="18"/>
  <c r="AO133" i="18"/>
  <c r="AP133" i="18" s="1"/>
  <c r="Z133" i="18"/>
  <c r="Y133" i="18"/>
  <c r="U133" i="18"/>
  <c r="T133" i="18"/>
  <c r="AR132" i="18"/>
  <c r="AP132" i="18"/>
  <c r="AO132" i="18"/>
  <c r="Z132" i="18"/>
  <c r="Y132" i="18"/>
  <c r="U132" i="18"/>
  <c r="T132" i="18"/>
  <c r="AR131" i="18"/>
  <c r="AO131" i="18"/>
  <c r="AP131" i="18" s="1"/>
  <c r="Z131" i="18"/>
  <c r="Y131" i="18"/>
  <c r="T131" i="18"/>
  <c r="AR130" i="18"/>
  <c r="AO130" i="18"/>
  <c r="AP130" i="18" s="1"/>
  <c r="Z130" i="18"/>
  <c r="Y130" i="18"/>
  <c r="T130" i="18"/>
  <c r="AR129" i="18"/>
  <c r="AO129" i="18"/>
  <c r="AP129" i="18" s="1"/>
  <c r="T129" i="18"/>
  <c r="AR128" i="18"/>
  <c r="AO128" i="18"/>
  <c r="AP128" i="18" s="1"/>
  <c r="T128" i="18"/>
  <c r="AR127" i="18"/>
  <c r="AO127" i="18"/>
  <c r="AP127" i="18" s="1"/>
  <c r="Z127" i="18"/>
  <c r="AA127" i="18" s="1"/>
  <c r="Y127" i="18"/>
  <c r="T127" i="18"/>
  <c r="AR126" i="18"/>
  <c r="AP126" i="18"/>
  <c r="AO126" i="18"/>
  <c r="AA126" i="18"/>
  <c r="Z126" i="18"/>
  <c r="Y126" i="18"/>
  <c r="U126" i="18"/>
  <c r="T126" i="18"/>
  <c r="AR125" i="18"/>
  <c r="AP125" i="18"/>
  <c r="AO125" i="18"/>
  <c r="Z125" i="18"/>
  <c r="Y125" i="18"/>
  <c r="U125" i="18"/>
  <c r="T125" i="18"/>
  <c r="AR124" i="18"/>
  <c r="AO124" i="18"/>
  <c r="AP124" i="18" s="1"/>
  <c r="Z124" i="18"/>
  <c r="T124" i="18"/>
  <c r="AR123" i="18"/>
  <c r="AP123" i="18"/>
  <c r="AO123" i="18"/>
  <c r="Z123" i="18"/>
  <c r="Y123" i="18"/>
  <c r="U123" i="18"/>
  <c r="T123" i="18"/>
  <c r="AR122" i="18"/>
  <c r="AO122" i="18"/>
  <c r="AP122" i="18" s="1"/>
  <c r="Z122" i="18"/>
  <c r="Y122" i="18"/>
  <c r="U122" i="18"/>
  <c r="T122" i="18"/>
  <c r="AR121" i="18"/>
  <c r="AP121" i="18"/>
  <c r="AO121" i="18"/>
  <c r="Z121" i="18"/>
  <c r="Y121" i="18"/>
  <c r="U121" i="18"/>
  <c r="T121" i="18"/>
  <c r="AR120" i="18"/>
  <c r="AO120" i="18"/>
  <c r="AP120" i="18" s="1"/>
  <c r="T120" i="18"/>
  <c r="AR119" i="18"/>
  <c r="AO119" i="18"/>
  <c r="AP119" i="18" s="1"/>
  <c r="Z119" i="18"/>
  <c r="Y119" i="18"/>
  <c r="T119" i="18"/>
  <c r="AR118" i="18"/>
  <c r="AO118" i="18"/>
  <c r="AP118" i="18" s="1"/>
  <c r="AR117" i="18"/>
  <c r="AP117" i="18"/>
  <c r="AO117" i="18"/>
  <c r="Z117" i="18"/>
  <c r="Y117" i="18"/>
  <c r="AR116" i="18"/>
  <c r="AO116" i="18"/>
  <c r="AP116" i="18" s="1"/>
  <c r="Z116" i="18"/>
  <c r="Y116" i="18"/>
  <c r="U116" i="18"/>
  <c r="T116" i="18"/>
  <c r="AR115" i="18"/>
  <c r="AP115" i="18"/>
  <c r="AO115" i="18"/>
  <c r="AR114" i="18"/>
  <c r="AO114" i="18"/>
  <c r="AP114" i="18" s="1"/>
  <c r="Z114" i="18"/>
  <c r="Y114" i="18"/>
  <c r="U114" i="18"/>
  <c r="T114" i="18"/>
  <c r="AR113" i="18"/>
  <c r="AP113" i="18"/>
  <c r="AO113" i="18"/>
  <c r="Z113" i="18"/>
  <c r="Y113" i="18"/>
  <c r="U113" i="18"/>
  <c r="T113" i="18"/>
  <c r="AR112" i="18"/>
  <c r="AO112" i="18"/>
  <c r="AP112" i="18" s="1"/>
  <c r="T112" i="18"/>
  <c r="AR111" i="18"/>
  <c r="AO111" i="18"/>
  <c r="AP111" i="18" s="1"/>
  <c r="Z111" i="18"/>
  <c r="T111" i="18"/>
  <c r="AR110" i="18"/>
  <c r="AP110" i="18"/>
  <c r="AO110" i="18"/>
  <c r="Z110" i="18"/>
  <c r="T110" i="18"/>
  <c r="AR109" i="18"/>
  <c r="AO109" i="18"/>
  <c r="AP109" i="18" s="1"/>
  <c r="Z109" i="18"/>
  <c r="T109" i="18"/>
  <c r="AR108" i="18"/>
  <c r="AP108" i="18"/>
  <c r="AO108" i="18"/>
  <c r="Z108" i="18"/>
  <c r="T108" i="18"/>
  <c r="AR107" i="18"/>
  <c r="AO107" i="18"/>
  <c r="AP107" i="18" s="1"/>
  <c r="Z107" i="18"/>
  <c r="T107" i="18"/>
  <c r="AR106" i="18"/>
  <c r="AP106" i="18"/>
  <c r="AO106" i="18"/>
  <c r="Z106" i="18"/>
  <c r="T106" i="18"/>
  <c r="AR105" i="18"/>
  <c r="AO105" i="18"/>
  <c r="AP105" i="18" s="1"/>
  <c r="Z105" i="18"/>
  <c r="T105" i="18"/>
  <c r="AR104" i="18"/>
  <c r="AP104" i="18"/>
  <c r="AO104" i="18"/>
  <c r="Z104" i="18"/>
  <c r="T104" i="18"/>
  <c r="AR103" i="18"/>
  <c r="AO103" i="18"/>
  <c r="AP103" i="18" s="1"/>
  <c r="AR102" i="18"/>
  <c r="AP102" i="18"/>
  <c r="AO102" i="18"/>
  <c r="AR101" i="18"/>
  <c r="AO101" i="18"/>
  <c r="AP101" i="18" s="1"/>
  <c r="AR100" i="18"/>
  <c r="AP100" i="18"/>
  <c r="AO100" i="18"/>
  <c r="AR99" i="18"/>
  <c r="AO99" i="18"/>
  <c r="AP99" i="18" s="1"/>
  <c r="AR98" i="18"/>
  <c r="AP98" i="18"/>
  <c r="AO98" i="18"/>
  <c r="AR97" i="18"/>
  <c r="AO97" i="18"/>
  <c r="AP97" i="18" s="1"/>
  <c r="AR96" i="18"/>
  <c r="AP96" i="18"/>
  <c r="AO96" i="18"/>
  <c r="AR95" i="18"/>
  <c r="AO95" i="18"/>
  <c r="AP95" i="18" s="1"/>
  <c r="AR94" i="18"/>
  <c r="AP94" i="18"/>
  <c r="AO94" i="18"/>
  <c r="AR93" i="18"/>
  <c r="AO93" i="18"/>
  <c r="AP93" i="18" s="1"/>
  <c r="AR92" i="18"/>
  <c r="AP92" i="18"/>
  <c r="AO92" i="18"/>
  <c r="AR91" i="18"/>
  <c r="AO91" i="18"/>
  <c r="AP91" i="18" s="1"/>
  <c r="AR90" i="18"/>
  <c r="AP90" i="18"/>
  <c r="AO90" i="18"/>
  <c r="AR89" i="18"/>
  <c r="AO89" i="18"/>
  <c r="AP89" i="18" s="1"/>
  <c r="T89" i="18"/>
  <c r="AR88" i="18"/>
  <c r="AO88" i="18"/>
  <c r="AP88" i="18" s="1"/>
  <c r="Z88" i="18"/>
  <c r="U88" i="18"/>
  <c r="T88" i="18"/>
  <c r="AR87" i="18"/>
  <c r="AO87" i="18"/>
  <c r="AP87" i="18" s="1"/>
  <c r="AA87" i="18"/>
  <c r="Z87" i="18"/>
  <c r="V87" i="18"/>
  <c r="T87" i="18"/>
  <c r="AR86" i="18"/>
  <c r="AP86" i="18"/>
  <c r="AO86" i="18"/>
  <c r="AA86" i="18"/>
  <c r="T86" i="18"/>
  <c r="AR85" i="18"/>
  <c r="AO85" i="18"/>
  <c r="AP85" i="18" s="1"/>
  <c r="Z85" i="18"/>
  <c r="T85" i="18"/>
  <c r="AR84" i="18"/>
  <c r="AP84" i="18"/>
  <c r="AO84" i="18"/>
  <c r="Z84" i="18"/>
  <c r="T84" i="18"/>
  <c r="AR83" i="18"/>
  <c r="AO83" i="18"/>
  <c r="AP83" i="18" s="1"/>
  <c r="Z83" i="18"/>
  <c r="T83" i="18"/>
  <c r="AR82" i="18"/>
  <c r="AP82" i="18"/>
  <c r="AO82" i="18"/>
  <c r="AR81" i="18"/>
  <c r="AO81" i="18"/>
  <c r="AP81" i="18" s="1"/>
  <c r="T81" i="18"/>
  <c r="AR80" i="18"/>
  <c r="AO80" i="18"/>
  <c r="AP80" i="18" s="1"/>
  <c r="T80" i="18"/>
  <c r="AR79" i="18"/>
  <c r="AO79" i="18"/>
  <c r="AP79" i="18" s="1"/>
  <c r="AA79" i="18"/>
  <c r="V79" i="18"/>
  <c r="T79" i="18"/>
  <c r="AR78" i="18"/>
  <c r="AO78" i="18"/>
  <c r="AP78" i="18" s="1"/>
  <c r="Z78" i="18"/>
  <c r="U78" i="18"/>
  <c r="T78" i="18"/>
  <c r="AR77" i="18"/>
  <c r="AO77" i="18"/>
  <c r="AP77" i="18" s="1"/>
  <c r="Z77" i="18"/>
  <c r="U77" i="18"/>
  <c r="T77" i="18"/>
  <c r="AR76" i="18"/>
  <c r="AO76" i="18"/>
  <c r="AP76" i="18" s="1"/>
  <c r="Z76" i="18"/>
  <c r="T76" i="18"/>
  <c r="AR75" i="18"/>
  <c r="AP75" i="18"/>
  <c r="AO75" i="18"/>
  <c r="Z75" i="18"/>
  <c r="T75" i="18"/>
  <c r="AR74" i="18"/>
  <c r="AO74" i="18"/>
  <c r="AP74" i="18" s="1"/>
  <c r="T74" i="18"/>
  <c r="AR73" i="18"/>
  <c r="AO73" i="18"/>
  <c r="AP73" i="18" s="1"/>
  <c r="Z73" i="18"/>
  <c r="T73" i="18"/>
  <c r="AR72" i="18"/>
  <c r="AP72" i="18"/>
  <c r="AO72" i="18"/>
  <c r="Z72" i="18"/>
  <c r="T72" i="18"/>
  <c r="AR71" i="18"/>
  <c r="AO71" i="18"/>
  <c r="AP71" i="18" s="1"/>
  <c r="Z71" i="18"/>
  <c r="T71" i="18"/>
  <c r="AR70" i="18"/>
  <c r="AP70" i="18"/>
  <c r="AO70" i="18"/>
  <c r="U70" i="18"/>
  <c r="T70" i="18"/>
  <c r="AR69" i="18"/>
  <c r="AO69" i="18"/>
  <c r="AP69" i="18" s="1"/>
  <c r="Z69" i="18"/>
  <c r="AR68" i="18"/>
  <c r="AO68" i="18"/>
  <c r="AP68" i="18" s="1"/>
  <c r="Z68" i="18"/>
  <c r="T68" i="18"/>
  <c r="AR67" i="18"/>
  <c r="AP67" i="18"/>
  <c r="AO67" i="18"/>
  <c r="Z67" i="18"/>
  <c r="U67" i="18"/>
  <c r="T67" i="18"/>
  <c r="AR66" i="18"/>
  <c r="AP66" i="18"/>
  <c r="AO66" i="18"/>
  <c r="Z66" i="18"/>
  <c r="T66" i="18"/>
  <c r="AR65" i="18"/>
  <c r="AO65" i="18"/>
  <c r="AP65" i="18" s="1"/>
  <c r="Z65" i="18"/>
  <c r="Y65" i="18"/>
  <c r="U65" i="18"/>
  <c r="T65" i="18"/>
  <c r="AR64" i="18"/>
  <c r="AP64" i="18"/>
  <c r="AO64" i="18"/>
  <c r="Z64" i="18"/>
  <c r="Y64" i="18"/>
  <c r="U64" i="18"/>
  <c r="T64" i="18"/>
  <c r="AR63" i="18"/>
  <c r="AO63" i="18"/>
  <c r="AP63" i="18" s="1"/>
  <c r="Z63" i="18"/>
  <c r="Y63" i="18"/>
  <c r="U63" i="18"/>
  <c r="T63" i="18"/>
  <c r="AR62" i="18"/>
  <c r="AP62" i="18"/>
  <c r="AO62" i="18"/>
  <c r="Z62" i="18"/>
  <c r="Y62" i="18"/>
  <c r="U62" i="18"/>
  <c r="T62" i="18"/>
  <c r="AR61" i="18"/>
  <c r="AO61" i="18"/>
  <c r="AP61" i="18" s="1"/>
  <c r="Z61" i="18"/>
  <c r="Y61" i="18"/>
  <c r="U61" i="18"/>
  <c r="T61" i="18"/>
  <c r="AR60" i="18"/>
  <c r="AP60" i="18"/>
  <c r="AO60" i="18"/>
  <c r="Y60" i="18"/>
  <c r="U60" i="18"/>
  <c r="AR59" i="18"/>
  <c r="AO59" i="18"/>
  <c r="AP59" i="18" s="1"/>
  <c r="Z59" i="18"/>
  <c r="Y59" i="18"/>
  <c r="U59" i="18"/>
  <c r="T59" i="18"/>
  <c r="AR58" i="18"/>
  <c r="AP58" i="18"/>
  <c r="AO58" i="18"/>
  <c r="AR57" i="18"/>
  <c r="AO57" i="18"/>
  <c r="AP57" i="18" s="1"/>
  <c r="Y57" i="18"/>
  <c r="U57" i="18"/>
  <c r="AR56" i="18"/>
  <c r="AP56" i="18"/>
  <c r="AO56" i="18"/>
  <c r="Z56" i="18"/>
  <c r="U56" i="18"/>
  <c r="T56" i="18"/>
  <c r="AR55" i="18"/>
  <c r="AP55" i="18"/>
  <c r="AO55" i="18"/>
  <c r="Z55" i="18"/>
  <c r="Y55" i="18"/>
  <c r="U55" i="18"/>
  <c r="T55" i="18"/>
  <c r="AR54" i="18"/>
  <c r="AO54" i="18"/>
  <c r="AP54" i="18" s="1"/>
  <c r="Z54" i="18"/>
  <c r="Y54" i="18"/>
  <c r="U54" i="18"/>
  <c r="T54" i="18"/>
  <c r="AR53" i="18"/>
  <c r="AP53" i="18"/>
  <c r="AO53" i="18"/>
  <c r="Z53" i="18"/>
  <c r="Y53" i="18"/>
  <c r="U53" i="18"/>
  <c r="T53" i="18"/>
  <c r="AR52" i="18"/>
  <c r="AO52" i="18"/>
  <c r="AP52" i="18" s="1"/>
  <c r="Z52" i="18"/>
  <c r="Y52" i="18"/>
  <c r="U52" i="18"/>
  <c r="T52" i="18"/>
  <c r="AR51" i="18"/>
  <c r="AP51" i="18"/>
  <c r="AO51" i="18"/>
  <c r="Z51" i="18"/>
  <c r="Y51" i="18"/>
  <c r="U51" i="18"/>
  <c r="T51" i="18"/>
  <c r="AR50" i="18"/>
  <c r="AO50" i="18"/>
  <c r="AP50" i="18" s="1"/>
  <c r="Z50" i="18"/>
  <c r="Y50" i="18"/>
  <c r="U50" i="18"/>
  <c r="T50" i="18"/>
  <c r="AR49" i="18"/>
  <c r="AP49" i="18"/>
  <c r="AO49" i="18"/>
  <c r="Z49" i="18"/>
  <c r="Y49" i="18"/>
  <c r="U49" i="18"/>
  <c r="T49" i="18"/>
  <c r="AR48" i="18"/>
  <c r="AO48" i="18"/>
  <c r="AP48" i="18" s="1"/>
  <c r="Z48" i="18"/>
  <c r="Y48" i="18"/>
  <c r="U48" i="18"/>
  <c r="T48" i="18"/>
  <c r="AR47" i="18"/>
  <c r="AP47" i="18"/>
  <c r="AO47" i="18"/>
  <c r="Z47" i="18"/>
  <c r="Y47" i="18"/>
  <c r="U47" i="18"/>
  <c r="T47" i="18"/>
  <c r="AR46" i="18"/>
  <c r="AO46" i="18"/>
  <c r="AP46" i="18" s="1"/>
  <c r="Z46" i="18"/>
  <c r="Y46" i="18"/>
  <c r="U46" i="18"/>
  <c r="T46" i="18"/>
  <c r="AR45" i="18"/>
  <c r="AP45" i="18"/>
  <c r="AO45" i="18"/>
  <c r="Z45" i="18"/>
  <c r="U45" i="18"/>
  <c r="T45" i="18"/>
  <c r="AR44" i="18"/>
  <c r="AP44" i="18"/>
  <c r="AO44" i="18"/>
  <c r="Z44" i="18"/>
  <c r="Y44" i="18"/>
  <c r="U44" i="18"/>
  <c r="T44" i="18"/>
  <c r="AR43" i="18"/>
  <c r="AO43" i="18"/>
  <c r="AP43" i="18" s="1"/>
  <c r="Z43" i="18"/>
  <c r="Y43" i="18"/>
  <c r="U43" i="18"/>
  <c r="T43" i="18"/>
  <c r="AR42" i="18"/>
  <c r="AP42" i="18"/>
  <c r="AO42" i="18"/>
  <c r="Z42" i="18"/>
  <c r="T42" i="18"/>
  <c r="AR41" i="18"/>
  <c r="AO41" i="18"/>
  <c r="AP41" i="18" s="1"/>
  <c r="Z41" i="18"/>
  <c r="Y41" i="18"/>
  <c r="U41" i="18"/>
  <c r="T41" i="18"/>
  <c r="AR40" i="18"/>
  <c r="AP40" i="18"/>
  <c r="AO40" i="18"/>
  <c r="Z40" i="18"/>
  <c r="Y40" i="18"/>
  <c r="U40" i="18"/>
  <c r="T40" i="18"/>
  <c r="AR39" i="18"/>
  <c r="AO39" i="18"/>
  <c r="AP39" i="18" s="1"/>
  <c r="Z39" i="18"/>
  <c r="Y39" i="18"/>
  <c r="U39" i="18"/>
  <c r="T39" i="18"/>
  <c r="AR38" i="18"/>
  <c r="AP38" i="18"/>
  <c r="AO38" i="18"/>
  <c r="AR37" i="18"/>
  <c r="AO37" i="18"/>
  <c r="AP37" i="18" s="1"/>
  <c r="AR36" i="18"/>
  <c r="AP36" i="18"/>
  <c r="AO36" i="18"/>
  <c r="AR35" i="18"/>
  <c r="AO35" i="18"/>
  <c r="AP35" i="18" s="1"/>
  <c r="Z35" i="18"/>
  <c r="U35" i="18"/>
  <c r="T35" i="18"/>
  <c r="AR34" i="18"/>
  <c r="AO34" i="18"/>
  <c r="AP34" i="18" s="1"/>
  <c r="Z34" i="18"/>
  <c r="Y34" i="18"/>
  <c r="U34" i="18"/>
  <c r="T34" i="18"/>
  <c r="AR33" i="18"/>
  <c r="AP33" i="18"/>
  <c r="AO33" i="18"/>
  <c r="Z33" i="18"/>
  <c r="Y33" i="18"/>
  <c r="U33" i="18"/>
  <c r="T33" i="18"/>
  <c r="AR32" i="18"/>
  <c r="AP32" i="18"/>
  <c r="AO32" i="18"/>
  <c r="Z32" i="18"/>
  <c r="Y32" i="18"/>
  <c r="U32" i="18"/>
  <c r="T32" i="18"/>
  <c r="AR31" i="18"/>
  <c r="AP31" i="18"/>
  <c r="AO31" i="18"/>
  <c r="Z31" i="18"/>
  <c r="Y31" i="18"/>
  <c r="U31" i="18"/>
  <c r="T31" i="18"/>
  <c r="AR30" i="18"/>
  <c r="AO30" i="18"/>
  <c r="AP30" i="18" s="1"/>
  <c r="AA30" i="18"/>
  <c r="Z30" i="18"/>
  <c r="Y30" i="18"/>
  <c r="V30" i="18"/>
  <c r="U30" i="18"/>
  <c r="T30" i="18"/>
  <c r="AR29" i="18"/>
  <c r="AP29" i="18"/>
  <c r="AO29" i="18"/>
  <c r="Z29" i="18"/>
  <c r="Y29" i="18"/>
  <c r="U29" i="18"/>
  <c r="T29" i="18"/>
  <c r="AR28" i="18"/>
  <c r="AO28" i="18"/>
  <c r="AP28" i="18" s="1"/>
  <c r="Z28" i="18"/>
  <c r="Y28" i="18"/>
  <c r="U28" i="18"/>
  <c r="T28" i="18"/>
  <c r="AR27" i="18"/>
  <c r="AP27" i="18"/>
  <c r="AO27" i="18"/>
  <c r="Z27" i="18"/>
  <c r="Y27" i="18"/>
  <c r="U27" i="18"/>
  <c r="T27" i="18"/>
  <c r="AR26" i="18"/>
  <c r="AO26" i="18"/>
  <c r="AP26" i="18" s="1"/>
  <c r="Z26" i="18"/>
  <c r="Y26" i="18"/>
  <c r="U26" i="18"/>
  <c r="T26" i="18"/>
  <c r="AR25" i="18"/>
  <c r="AP25" i="18"/>
  <c r="AO25" i="18"/>
  <c r="Z25" i="18"/>
  <c r="Y25" i="18"/>
  <c r="U25" i="18"/>
  <c r="T25" i="18"/>
  <c r="AR24" i="18"/>
  <c r="AO24" i="18"/>
  <c r="AP24" i="18" s="1"/>
  <c r="Z24" i="18"/>
  <c r="U24" i="18"/>
  <c r="T24" i="18"/>
  <c r="AR23" i="18"/>
  <c r="AP23" i="18"/>
  <c r="AO23" i="18"/>
  <c r="Z23" i="18"/>
  <c r="T23" i="18"/>
  <c r="AR22" i="18"/>
  <c r="AP22" i="18"/>
  <c r="AO22" i="18"/>
  <c r="Z22" i="18"/>
  <c r="Y22" i="18"/>
  <c r="T22" i="18"/>
  <c r="AR21" i="18"/>
  <c r="AP21" i="18"/>
  <c r="AO21" i="18"/>
  <c r="Z21" i="18"/>
  <c r="Y21" i="18"/>
  <c r="U21" i="18"/>
  <c r="T21" i="18"/>
  <c r="AR20" i="18"/>
  <c r="AO20" i="18"/>
  <c r="AP20" i="18" s="1"/>
  <c r="Z20" i="18"/>
  <c r="Y20" i="18"/>
  <c r="U20" i="18"/>
  <c r="T20" i="18"/>
  <c r="AR19" i="18"/>
  <c r="AP19" i="18"/>
  <c r="AO19" i="18"/>
  <c r="Y19" i="18"/>
  <c r="U19" i="18"/>
  <c r="AR18" i="18"/>
  <c r="AO18" i="18"/>
  <c r="AP18" i="18" s="1"/>
  <c r="Z18" i="18"/>
  <c r="Y18" i="18"/>
  <c r="U18" i="18"/>
  <c r="T18" i="18"/>
  <c r="V18" i="18" s="1"/>
  <c r="AR17" i="18"/>
  <c r="AO17" i="18"/>
  <c r="AP17" i="18" s="1"/>
  <c r="AA17" i="18"/>
  <c r="Z17" i="18"/>
  <c r="Y17" i="18"/>
  <c r="V17" i="18"/>
  <c r="T17" i="18"/>
  <c r="AR16" i="18"/>
  <c r="AO16" i="18"/>
  <c r="AP16" i="18" s="1"/>
  <c r="AA16" i="18"/>
  <c r="Z16" i="18"/>
  <c r="Y16" i="18"/>
  <c r="V16" i="18"/>
  <c r="T16" i="18"/>
  <c r="AR15" i="18"/>
  <c r="AO15" i="18"/>
  <c r="AP15" i="18" s="1"/>
  <c r="AA15" i="18"/>
  <c r="AR14" i="18"/>
  <c r="AO14" i="18"/>
  <c r="AP14" i="18" s="1"/>
  <c r="Z14" i="18"/>
  <c r="T14" i="18"/>
  <c r="AR13" i="18"/>
  <c r="AP13" i="18"/>
  <c r="AO13" i="18"/>
  <c r="Z13" i="18"/>
  <c r="T13" i="18"/>
  <c r="AR12" i="18"/>
  <c r="AO12" i="18"/>
  <c r="AP12" i="18" s="1"/>
  <c r="Z12" i="18"/>
  <c r="T12" i="18"/>
  <c r="AR11" i="18"/>
  <c r="AP11" i="18"/>
  <c r="AO11" i="18"/>
  <c r="Z11" i="18"/>
  <c r="U11" i="18"/>
  <c r="T11" i="18"/>
  <c r="AR10" i="18"/>
  <c r="AP10" i="18"/>
  <c r="AO10" i="18"/>
  <c r="Z10" i="18"/>
  <c r="Y10" i="18"/>
  <c r="U10" i="18"/>
  <c r="T10" i="18"/>
  <c r="AR9" i="18"/>
  <c r="AO9" i="18"/>
  <c r="AP9" i="18" s="1"/>
  <c r="Z9" i="18"/>
  <c r="U9" i="18"/>
  <c r="T9" i="18"/>
  <c r="AR8" i="18"/>
  <c r="AO8" i="18"/>
  <c r="AP8" i="18" s="1"/>
  <c r="Z8" i="18"/>
  <c r="Y8" i="18"/>
  <c r="U8" i="18"/>
  <c r="T8" i="18"/>
  <c r="AR7" i="18"/>
  <c r="AP7" i="18"/>
  <c r="AO7" i="18"/>
  <c r="Z7" i="18"/>
  <c r="U7" i="18"/>
  <c r="T7" i="18"/>
  <c r="AR6" i="18"/>
  <c r="AP6" i="18"/>
  <c r="AO6" i="18"/>
  <c r="Z6" i="18"/>
  <c r="U6" i="18"/>
  <c r="T6" i="18"/>
  <c r="AR5" i="18"/>
  <c r="AP5" i="18"/>
  <c r="AO5" i="18"/>
  <c r="Z5" i="18"/>
  <c r="U5" i="18"/>
  <c r="T5" i="18"/>
  <c r="AR4" i="18"/>
  <c r="AP4" i="18"/>
  <c r="AO4" i="18"/>
  <c r="Z4" i="18"/>
  <c r="U4" i="18"/>
  <c r="T4" i="18"/>
  <c r="AR3" i="18"/>
  <c r="AP3" i="18"/>
  <c r="AO3" i="18"/>
  <c r="Z3" i="18"/>
  <c r="T3" i="18"/>
</calcChain>
</file>

<file path=xl/sharedStrings.xml><?xml version="1.0" encoding="utf-8"?>
<sst xmlns="http://schemas.openxmlformats.org/spreadsheetml/2006/main" count="6615" uniqueCount="1430">
  <si>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</si>
  <si>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</si>
  <si>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</si>
  <si>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</si>
  <si>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</si>
  <si>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</si>
  <si>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</si>
  <si>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</si>
  <si>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</si>
  <si>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</si>
  <si>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</si>
  <si>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</si>
  <si>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</si>
  <si>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</si>
  <si>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</si>
  <si>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</si>
  <si>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</si>
  <si>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</si>
  <si>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</si>
  <si>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</si>
  <si>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</si>
  <si>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</si>
  <si>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</si>
  <si>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</si>
  <si>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</si>
  <si>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</si>
  <si>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</si>
  <si>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</si>
  <si>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</si>
  <si>
    <t>Charging Time (10-80%)</t>
  </si>
  <si>
    <t>Charging Speed (km/min)</t>
  </si>
  <si>
    <t>Peak Discharging Power (kW)</t>
  </si>
  <si>
    <t>Pack Mass (kg)</t>
  </si>
  <si>
    <t>Peak Charging Power (kW)</t>
  </si>
  <si>
    <t>Pack Energy (kWh)</t>
  </si>
  <si>
    <t>Options</t>
  </si>
  <si>
    <t>S</t>
  </si>
  <si>
    <t>P</t>
  </si>
  <si>
    <t>Battery number</t>
  </si>
  <si>
    <t>Index #</t>
  </si>
  <si>
    <t>Group</t>
  </si>
  <si>
    <t>Company Name</t>
  </si>
  <si>
    <t>Chemistry_Detail</t>
  </si>
  <si>
    <t>Chemistry</t>
  </si>
  <si>
    <t>Format</t>
  </si>
  <si>
    <t>Part #</t>
  </si>
  <si>
    <t>Cell Status</t>
  </si>
  <si>
    <t>Cell Shape</t>
  </si>
  <si>
    <t>Cycle Life</t>
  </si>
  <si>
    <t>Last Cycle % OF Initial Capacity</t>
  </si>
  <si>
    <t>vol. Energy Density (Wh/l)</t>
  </si>
  <si>
    <t>grav. Energy Density (Wh/kg)</t>
  </si>
  <si>
    <t>Max Capacity (AH)</t>
  </si>
  <si>
    <t>Open Circuit Voltage (V)</t>
  </si>
  <si>
    <t>Nominal Voltage (V)</t>
  </si>
  <si>
    <t>Cut Off Voltage (V)</t>
  </si>
  <si>
    <t>Standard Discharge Current (A)</t>
  </si>
  <si>
    <t>Max Constant Discharge Current (A)</t>
  </si>
  <si>
    <t>C-rate_discharge_cyclelife</t>
  </si>
  <si>
    <t>Weight (gr)</t>
  </si>
  <si>
    <t>Volume (CC)</t>
  </si>
  <si>
    <t>Fast/Quick Charge Current</t>
  </si>
  <si>
    <t>Standard Charge Current (A)</t>
  </si>
  <si>
    <t>C-rate_charge_cyclelife</t>
  </si>
  <si>
    <t>t_rest_h</t>
  </si>
  <si>
    <t>Length (mm)</t>
  </si>
  <si>
    <t>Height (mm)</t>
  </si>
  <si>
    <t>Width (mm)</t>
  </si>
  <si>
    <t>Diameter (mm)</t>
  </si>
  <si>
    <t>Year</t>
  </si>
  <si>
    <t>Data sheet</t>
  </si>
  <si>
    <t>Secondary source</t>
  </si>
  <si>
    <t>ID / Date</t>
  </si>
  <si>
    <t>Note</t>
  </si>
  <si>
    <t>Charging Methode</t>
  </si>
  <si>
    <t>Crate_CV_cutoff</t>
  </si>
  <si>
    <t>t_cycle_DOD_0.868-Av.</t>
  </si>
  <si>
    <t>Cell Format</t>
  </si>
  <si>
    <t>Pack to Cell Ratio</t>
  </si>
  <si>
    <t>Capacity density</t>
  </si>
  <si>
    <t>Battery_1</t>
  </si>
  <si>
    <t>ISI-001</t>
  </si>
  <si>
    <t>Kokam</t>
  </si>
  <si>
    <t>Nickel rich</t>
  </si>
  <si>
    <t>NMC</t>
  </si>
  <si>
    <t>Pouch</t>
  </si>
  <si>
    <t>SLPB080085270</t>
  </si>
  <si>
    <t>Active</t>
  </si>
  <si>
    <t>Prismatic</t>
  </si>
  <si>
    <t>not defined</t>
  </si>
  <si>
    <t>not applicable</t>
  </si>
  <si>
    <t>x</t>
  </si>
  <si>
    <t xml:space="preserve">KKDS-20200406-BM-CEL-03 </t>
  </si>
  <si>
    <t>TUM</t>
  </si>
  <si>
    <t>CC-CV</t>
  </si>
  <si>
    <t>Battery_2</t>
  </si>
  <si>
    <t>ISI-002</t>
  </si>
  <si>
    <t>SLPB98188216P</t>
  </si>
  <si>
    <t>-</t>
  </si>
  <si>
    <t>Battery_3</t>
  </si>
  <si>
    <t>ISI-010</t>
  </si>
  <si>
    <t>SLPB120460330</t>
  </si>
  <si>
    <t xml:space="preserve">KKDS-20200514-BM-CEL-24 </t>
  </si>
  <si>
    <t>SDL_25604</t>
  </si>
  <si>
    <t>Battery_4</t>
  </si>
  <si>
    <t>ISI-011</t>
  </si>
  <si>
    <t>SLPB140460330</t>
  </si>
  <si>
    <t>Battery_5</t>
  </si>
  <si>
    <t>ISI-012</t>
  </si>
  <si>
    <t>SLPB160460330</t>
  </si>
  <si>
    <t xml:space="preserve">KKDS-20200514-BM-CEL-26 </t>
  </si>
  <si>
    <t>SDL_21687</t>
  </si>
  <si>
    <t>Battery_6</t>
  </si>
  <si>
    <t>ISI-013</t>
  </si>
  <si>
    <t>SLPB100216216H</t>
  </si>
  <si>
    <t>Battery_7</t>
  </si>
  <si>
    <t>ISI-014</t>
  </si>
  <si>
    <t>SLPB120216216HR2</t>
  </si>
  <si>
    <t xml:space="preserve">KKDS-20200310-BM-CEL-01 </t>
  </si>
  <si>
    <t>Battery_8</t>
  </si>
  <si>
    <t>ISI-015</t>
  </si>
  <si>
    <t>SLPB120216216G1H</t>
  </si>
  <si>
    <t xml:space="preserve">KKDS-20200916-BM-CEL-31 </t>
  </si>
  <si>
    <t>Battery_9</t>
  </si>
  <si>
    <t>ISI-016</t>
  </si>
  <si>
    <t>SLPB125255255H</t>
  </si>
  <si>
    <t>Battery_10</t>
  </si>
  <si>
    <t>ISI-018</t>
  </si>
  <si>
    <t>CALB</t>
  </si>
  <si>
    <t>Lithium Iron Phosphate</t>
  </si>
  <si>
    <t>LFP</t>
  </si>
  <si>
    <t>CA40</t>
  </si>
  <si>
    <t>Battery_11</t>
  </si>
  <si>
    <t>ISI-019</t>
  </si>
  <si>
    <t>CA60</t>
  </si>
  <si>
    <t>Battery_12</t>
  </si>
  <si>
    <t>ISI-020</t>
  </si>
  <si>
    <t>CA100</t>
  </si>
  <si>
    <t>Battery_13</t>
  </si>
  <si>
    <t>ISI-021</t>
  </si>
  <si>
    <t>SE180AHA</t>
  </si>
  <si>
    <t>15.08.2016</t>
  </si>
  <si>
    <t>Battery_14</t>
  </si>
  <si>
    <t>ISI-022</t>
  </si>
  <si>
    <t>CATL</t>
  </si>
  <si>
    <t>LEP71H3L7-01</t>
  </si>
  <si>
    <t xml:space="preserve">Document: CTPS-71H3L7-01 </t>
  </si>
  <si>
    <t>Battery_15</t>
  </si>
  <si>
    <t>ISI-023</t>
  </si>
  <si>
    <t>LEP54H4K1</t>
  </si>
  <si>
    <t>Battery_16</t>
  </si>
  <si>
    <t>ISI-024</t>
  </si>
  <si>
    <t>COSLIGHT</t>
  </si>
  <si>
    <t>FP45173209A</t>
  </si>
  <si>
    <t>Battery_17</t>
  </si>
  <si>
    <t>ISI-025</t>
  </si>
  <si>
    <t>ECO POWER GROUP</t>
  </si>
  <si>
    <t>EC-AU228-NAH3L4</t>
  </si>
  <si>
    <t>Battery_18</t>
  </si>
  <si>
    <t>ISI-026a</t>
  </si>
  <si>
    <t>ISI-026</t>
  </si>
  <si>
    <t>EVE Energy</t>
  </si>
  <si>
    <t>LF280N-72174</t>
  </si>
  <si>
    <t>22.12.2019</t>
  </si>
  <si>
    <t>@45°C</t>
  </si>
  <si>
    <t>Battery_19</t>
  </si>
  <si>
    <t>ISI-027a</t>
  </si>
  <si>
    <t>ISI-027</t>
  </si>
  <si>
    <t>LF304-72174</t>
  </si>
  <si>
    <t>07.05.2020</t>
  </si>
  <si>
    <t>@25°C</t>
  </si>
  <si>
    <t>Battery_20</t>
  </si>
  <si>
    <t>ISI-028</t>
  </si>
  <si>
    <t>Jiangsu FREY</t>
  </si>
  <si>
    <t>FREY36130290-100PF</t>
  </si>
  <si>
    <t>Battery_21</t>
  </si>
  <si>
    <t>ISI-029</t>
  </si>
  <si>
    <t>GBS ZhEJIANG Systems</t>
  </si>
  <si>
    <t>GBS-LFP200Ah-B</t>
  </si>
  <si>
    <t>(V3.0)</t>
  </si>
  <si>
    <t>Battery_22</t>
  </si>
  <si>
    <t>ISI-03</t>
  </si>
  <si>
    <t>SLPB130255255P</t>
  </si>
  <si>
    <t>Battery_23</t>
  </si>
  <si>
    <t>ISI-030</t>
  </si>
  <si>
    <t>GFB</t>
  </si>
  <si>
    <t>48173125-100Ah</t>
  </si>
  <si>
    <t>25.03.2019</t>
  </si>
  <si>
    <t>Battery_24</t>
  </si>
  <si>
    <t>ISI-031</t>
  </si>
  <si>
    <t>JIANGSU HIGEE</t>
  </si>
  <si>
    <t>HJLFP48173170E-152Ah</t>
  </si>
  <si>
    <t>08.08.2018</t>
  </si>
  <si>
    <t>Battery_25</t>
  </si>
  <si>
    <t>ISI-032a</t>
  </si>
  <si>
    <t>ISI-032</t>
  </si>
  <si>
    <t>HJLFP48173170E-120Ah</t>
  </si>
  <si>
    <t>06.07.2019</t>
  </si>
  <si>
    <t>Fresh cell, standard charge/discharge procedure</t>
  </si>
  <si>
    <t>Battery_26</t>
  </si>
  <si>
    <t>ISI-033a</t>
  </si>
  <si>
    <t>ISI-033</t>
  </si>
  <si>
    <t>LF280-72174</t>
  </si>
  <si>
    <t>30.04.2019</t>
  </si>
  <si>
    <t>Battery_27</t>
  </si>
  <si>
    <t>ISI-034a</t>
  </si>
  <si>
    <t>ISI-034</t>
  </si>
  <si>
    <t>LF280K-72174</t>
  </si>
  <si>
    <t>23.03.2021</t>
  </si>
  <si>
    <t>Battery_28</t>
  </si>
  <si>
    <t>ISI-035</t>
  </si>
  <si>
    <t>Lishen</t>
  </si>
  <si>
    <t>LP44147272-130Ah</t>
  </si>
  <si>
    <t>17.02.2017</t>
  </si>
  <si>
    <t>Battery_29</t>
  </si>
  <si>
    <t>ISI-036</t>
  </si>
  <si>
    <t>LP37173207-150Ah</t>
  </si>
  <si>
    <t>19.09.2019</t>
  </si>
  <si>
    <t>Battery_30</t>
  </si>
  <si>
    <t>ISI-037</t>
  </si>
  <si>
    <t>LP54173210-202Ah</t>
  </si>
  <si>
    <t>23.01.2018</t>
  </si>
  <si>
    <t>Battery_31</t>
  </si>
  <si>
    <t>ISI-038</t>
  </si>
  <si>
    <t>LP71173207-272Ah</t>
  </si>
  <si>
    <t>15.06.2019</t>
  </si>
  <si>
    <t>Battery_32</t>
  </si>
  <si>
    <t>ISI-039</t>
  </si>
  <si>
    <t>CRJ Technology Limited</t>
  </si>
  <si>
    <t>RJ-LFP71173200-271</t>
  </si>
  <si>
    <t>Battery_33</t>
  </si>
  <si>
    <t>ISI-04</t>
  </si>
  <si>
    <t>SLPB120216216</t>
  </si>
  <si>
    <t xml:space="preserve">KKDS-20200514-BM-CEL-19 </t>
  </si>
  <si>
    <t>Battery_34</t>
  </si>
  <si>
    <t>ISI-040</t>
  </si>
  <si>
    <t>Sinopoly</t>
  </si>
  <si>
    <t>Sinopoly 100 Ah</t>
  </si>
  <si>
    <t>Battery_35</t>
  </si>
  <si>
    <t>ISI-041</t>
  </si>
  <si>
    <t>Sinopoly 400 Ah</t>
  </si>
  <si>
    <t>Battery_36</t>
  </si>
  <si>
    <t>ISI-042</t>
  </si>
  <si>
    <t>A123</t>
  </si>
  <si>
    <t>A123 39AH</t>
  </si>
  <si>
    <t>Battery_37</t>
  </si>
  <si>
    <t>ISI-043</t>
  </si>
  <si>
    <t>A123 50AH</t>
  </si>
  <si>
    <t>2021</t>
  </si>
  <si>
    <t>Battery_38</t>
  </si>
  <si>
    <t>ISI-044</t>
  </si>
  <si>
    <t>A123 26AH</t>
  </si>
  <si>
    <t>2016</t>
  </si>
  <si>
    <t>Battery_39</t>
  </si>
  <si>
    <t>ISI-045</t>
  </si>
  <si>
    <t>A123 32AH</t>
  </si>
  <si>
    <t>2018</t>
  </si>
  <si>
    <t>Battery_40</t>
  </si>
  <si>
    <t>ISI-046</t>
  </si>
  <si>
    <t>AMP20M1HD-A</t>
  </si>
  <si>
    <t>MD100105-02, 2011</t>
  </si>
  <si>
    <t>@23°C</t>
  </si>
  <si>
    <t>Battery_41</t>
  </si>
  <si>
    <t>ISI-048</t>
  </si>
  <si>
    <t>BAK</t>
  </si>
  <si>
    <t>NMC811</t>
  </si>
  <si>
    <t>Cylindrical</t>
  </si>
  <si>
    <t>N21700CB-48</t>
  </si>
  <si>
    <t>Cyl</t>
  </si>
  <si>
    <t xml:space="preserve">P/PR03/PB-D-N21700CB-48-LS </t>
  </si>
  <si>
    <t>Battery_42</t>
  </si>
  <si>
    <t>ISI-049</t>
  </si>
  <si>
    <t>26650HC2</t>
  </si>
  <si>
    <t>Battery_43</t>
  </si>
  <si>
    <t>ISI-05</t>
  </si>
  <si>
    <t>Battery_44</t>
  </si>
  <si>
    <t>ISI-050</t>
  </si>
  <si>
    <t>100Ah CATL LiFePO4</t>
  </si>
  <si>
    <t>Battery_45</t>
  </si>
  <si>
    <t>ISI-051</t>
  </si>
  <si>
    <t>120Ah CATL LiFePO4</t>
  </si>
  <si>
    <t>Battery_46</t>
  </si>
  <si>
    <t>ISI-052</t>
  </si>
  <si>
    <t>280Ah CATL LiFePO4</t>
  </si>
  <si>
    <t>Battery_47</t>
  </si>
  <si>
    <t>ISI-053</t>
  </si>
  <si>
    <t>NMC 811</t>
  </si>
  <si>
    <t>50Ah CATL 811</t>
  </si>
  <si>
    <t>Battery_48</t>
  </si>
  <si>
    <t>ISI-054</t>
  </si>
  <si>
    <t>ENERDEL</t>
  </si>
  <si>
    <t>CE175-360 Moxie+</t>
  </si>
  <si>
    <t>File No.: 07-10004-04</t>
  </si>
  <si>
    <t>@30°C</t>
  </si>
  <si>
    <t>Battery_49</t>
  </si>
  <si>
    <t>ISI-055</t>
  </si>
  <si>
    <t>CE250-370 Moxie+</t>
  </si>
  <si>
    <t>File No.: 07-20001-00</t>
  </si>
  <si>
    <t>Battery_50</t>
  </si>
  <si>
    <t>ISI-056</t>
  </si>
  <si>
    <t>CP160-365 Moxie+</t>
  </si>
  <si>
    <t>File No.: 07-10005-05</t>
  </si>
  <si>
    <t>Battery_51</t>
  </si>
  <si>
    <t>ISI-057</t>
  </si>
  <si>
    <t>ENERTECH</t>
  </si>
  <si>
    <t>NMC, NCA, NMC/NCA</t>
  </si>
  <si>
    <t>SPB 58253172EG1 / 17Ah</t>
  </si>
  <si>
    <t>(x)</t>
  </si>
  <si>
    <t>Battery_52</t>
  </si>
  <si>
    <t>ISI-058</t>
  </si>
  <si>
    <t>SPB 58253172P3 / 23Ah</t>
  </si>
  <si>
    <t>Battery_53</t>
  </si>
  <si>
    <t>ISI-059</t>
  </si>
  <si>
    <t>SPB 58253172V2 / 22Ah</t>
  </si>
  <si>
    <t>Battery_54</t>
  </si>
  <si>
    <t>ISI-06</t>
  </si>
  <si>
    <t>SLPB120216216G1</t>
  </si>
  <si>
    <t xml:space="preserve">KKDS-20200429-BM-CEL-09 </t>
  </si>
  <si>
    <t>Battery_55</t>
  </si>
  <si>
    <t>ISI-060</t>
  </si>
  <si>
    <t>SPB 58253172V3 / 25Ah</t>
  </si>
  <si>
    <t>Battery_56</t>
  </si>
  <si>
    <t>ISI-061</t>
  </si>
  <si>
    <t>58253172V4 / 30Ah</t>
  </si>
  <si>
    <t>Battery_57</t>
  </si>
  <si>
    <t>ISI-062</t>
  </si>
  <si>
    <t>SPB 59235172PG1</t>
  </si>
  <si>
    <t>Battery_58</t>
  </si>
  <si>
    <t>ISI-063</t>
  </si>
  <si>
    <t>SPB 70115145 / 12 Ah</t>
  </si>
  <si>
    <t>Battery_59</t>
  </si>
  <si>
    <t>ISI-064</t>
  </si>
  <si>
    <t>SPB 90190260V2 / 40Ah</t>
  </si>
  <si>
    <t>Battery_60</t>
  </si>
  <si>
    <t>ISI-065</t>
  </si>
  <si>
    <t>SPB704684</t>
  </si>
  <si>
    <t>18.07.2012</t>
  </si>
  <si>
    <t>Battery_61</t>
  </si>
  <si>
    <t>ISI-066</t>
  </si>
  <si>
    <t>GeneralElectronics</t>
  </si>
  <si>
    <t>GEB 126090</t>
  </si>
  <si>
    <t>Battery_62</t>
  </si>
  <si>
    <t>ISI-067</t>
  </si>
  <si>
    <t>GEB 855085</t>
  </si>
  <si>
    <t>Battery_63</t>
  </si>
  <si>
    <t>ISI-068</t>
  </si>
  <si>
    <t>GEB 9059156</t>
  </si>
  <si>
    <t>Battery_64</t>
  </si>
  <si>
    <t>ISI-069</t>
  </si>
  <si>
    <t>GEB 21700</t>
  </si>
  <si>
    <t>04.07.2018</t>
  </si>
  <si>
    <t>Battery_65</t>
  </si>
  <si>
    <t>ISI-07</t>
  </si>
  <si>
    <t>SLPB120216216G2</t>
  </si>
  <si>
    <t xml:space="preserve">KKDS-20200514-BM-CEL-21 </t>
  </si>
  <si>
    <t>Battery_66</t>
  </si>
  <si>
    <t>ISI-070</t>
  </si>
  <si>
    <t>GEB 26650</t>
  </si>
  <si>
    <t>30.07.2018</t>
  </si>
  <si>
    <t>Cycle life &gt; 600</t>
  </si>
  <si>
    <t>Battery_67</t>
  </si>
  <si>
    <t>ISI-071</t>
  </si>
  <si>
    <t>GEB 32650</t>
  </si>
  <si>
    <t>06.03.2019</t>
  </si>
  <si>
    <t>Battery_68</t>
  </si>
  <si>
    <t>ISI-072</t>
  </si>
  <si>
    <t>Great Power</t>
  </si>
  <si>
    <t>GP 21700</t>
  </si>
  <si>
    <t>27.03.2018</t>
  </si>
  <si>
    <t>Cycle life &gt;&gt; 500</t>
  </si>
  <si>
    <t>Battery_69</t>
  </si>
  <si>
    <t>ISI-073</t>
  </si>
  <si>
    <t>Hitachi</t>
  </si>
  <si>
    <t>L0578G1A1</t>
  </si>
  <si>
    <t>02.2013</t>
  </si>
  <si>
    <t>Battery_70</t>
  </si>
  <si>
    <t>ISI-074</t>
  </si>
  <si>
    <t>L13A0N2C1</t>
  </si>
  <si>
    <t>Battery_71</t>
  </si>
  <si>
    <t>ISI-075</t>
  </si>
  <si>
    <t>L15A0N2C1</t>
  </si>
  <si>
    <t>Battery_72</t>
  </si>
  <si>
    <t>ISI-076</t>
  </si>
  <si>
    <t>KeepPower</t>
  </si>
  <si>
    <t>KP 21700</t>
  </si>
  <si>
    <t>Battery_73</t>
  </si>
  <si>
    <t>ISI-077a</t>
  </si>
  <si>
    <t>ISI-077</t>
  </si>
  <si>
    <t>LECLANCHÉ</t>
  </si>
  <si>
    <t>Lithium Titanate</t>
  </si>
  <si>
    <t>LTO</t>
  </si>
  <si>
    <t>LT 34 Ah (936901)</t>
  </si>
  <si>
    <t>LT34 EN D20212_1</t>
  </si>
  <si>
    <t>@80% DoD</t>
  </si>
  <si>
    <t>Battery_74</t>
  </si>
  <si>
    <t>ISI-078a</t>
  </si>
  <si>
    <t>ISI-078</t>
  </si>
  <si>
    <t>GL60 (936A04)</t>
  </si>
  <si>
    <t>GL60 EN D201910_2</t>
  </si>
  <si>
    <t>@100% DoD</t>
  </si>
  <si>
    <t>Battery_75</t>
  </si>
  <si>
    <t>ISI-079a</t>
  </si>
  <si>
    <t>ISI-079</t>
  </si>
  <si>
    <t>NMC 622</t>
  </si>
  <si>
    <t>GL65</t>
  </si>
  <si>
    <t>GL65 EN-EUR B20213_0</t>
  </si>
  <si>
    <t>Battery_76</t>
  </si>
  <si>
    <t>ISI-08</t>
  </si>
  <si>
    <t>SLPB120255255</t>
  </si>
  <si>
    <t xml:space="preserve">KKDS-20200514-BM-CEL-22 </t>
  </si>
  <si>
    <t>Battery_77</t>
  </si>
  <si>
    <t>ISI-080</t>
  </si>
  <si>
    <t>LG Chem</t>
  </si>
  <si>
    <t>INR18650 MJ1</t>
  </si>
  <si>
    <t>SDL</t>
  </si>
  <si>
    <t>Battery_78</t>
  </si>
  <si>
    <t>ISI-081</t>
  </si>
  <si>
    <t>INR21700 M50T</t>
  </si>
  <si>
    <t>16.07.2018</t>
  </si>
  <si>
    <t>Battery_79</t>
  </si>
  <si>
    <t>ISI-082</t>
  </si>
  <si>
    <t>INR21700 M50</t>
  </si>
  <si>
    <t>22.09.2017</t>
  </si>
  <si>
    <t>Battery_80</t>
  </si>
  <si>
    <t>ISI-083</t>
  </si>
  <si>
    <t>NCA</t>
  </si>
  <si>
    <t>LR2170SA</t>
  </si>
  <si>
    <t>19.05.2017</t>
  </si>
  <si>
    <t>SDL-26861</t>
  </si>
  <si>
    <t>Battery_81</t>
  </si>
  <si>
    <t>ISI-085</t>
  </si>
  <si>
    <t>Panasonic</t>
  </si>
  <si>
    <t>Panasonic NCR21700A</t>
  </si>
  <si>
    <t>Battery_82</t>
  </si>
  <si>
    <t>ISI-086</t>
  </si>
  <si>
    <t>NCR20700A</t>
  </si>
  <si>
    <t>Battery_83</t>
  </si>
  <si>
    <t>ISI-087</t>
  </si>
  <si>
    <t>NCR20700B</t>
  </si>
  <si>
    <t>SDL_25605</t>
  </si>
  <si>
    <t>Battery_84</t>
  </si>
  <si>
    <t>ISI-088</t>
  </si>
  <si>
    <t>Samsung</t>
  </si>
  <si>
    <t>INR21700-40T</t>
  </si>
  <si>
    <t>12.2017</t>
  </si>
  <si>
    <t>Battery_85</t>
  </si>
  <si>
    <t>ISI-089</t>
  </si>
  <si>
    <t>INR21700-48G</t>
  </si>
  <si>
    <t>10.2015</t>
  </si>
  <si>
    <t>Battery_86</t>
  </si>
  <si>
    <t>ISI-09</t>
  </si>
  <si>
    <t>SLPB130255255G1</t>
  </si>
  <si>
    <t>Battery_87</t>
  </si>
  <si>
    <t>ISI-090</t>
  </si>
  <si>
    <t>VAPCELL</t>
  </si>
  <si>
    <t>INR21700</t>
  </si>
  <si>
    <t>24.05.2011</t>
  </si>
  <si>
    <t>Battery_88</t>
  </si>
  <si>
    <t>ISI-091</t>
  </si>
  <si>
    <t>Eagle Picher Technologies LLC</t>
  </si>
  <si>
    <t>LiBG18EV-1</t>
  </si>
  <si>
    <t>Dimensionen aus Inches in mm umgerechnet</t>
  </si>
  <si>
    <t>Battery_89</t>
  </si>
  <si>
    <t>ISI-092</t>
  </si>
  <si>
    <t>SLC-16050-003</t>
  </si>
  <si>
    <t>keine genaue Angabe zu Life Cycle</t>
  </si>
  <si>
    <t>Battery_90</t>
  </si>
  <si>
    <t>ISI-093</t>
  </si>
  <si>
    <t>SLC-21060-001</t>
  </si>
  <si>
    <t>N/A</t>
  </si>
  <si>
    <t>Battery_91</t>
  </si>
  <si>
    <t>ISI-100</t>
  </si>
  <si>
    <t>Amita Technologies</t>
  </si>
  <si>
    <t>9299130NE</t>
  </si>
  <si>
    <r>
      <t xml:space="preserve">1C-1C RT 1500 Cycle </t>
    </r>
    <r>
      <rPr>
        <sz val="10"/>
        <color theme="1"/>
        <rFont val="Calibri"/>
        <family val="2"/>
        <scheme val="minor"/>
      </rPr>
      <t xml:space="preserve">≧ </t>
    </r>
    <r>
      <rPr>
        <sz val="10"/>
        <color theme="1"/>
        <rFont val="Calibri"/>
        <family val="2"/>
      </rPr>
      <t>70%SOH</t>
    </r>
  </si>
  <si>
    <t>Battery_92</t>
  </si>
  <si>
    <t>ISI-101</t>
  </si>
  <si>
    <t>NMC / LTO</t>
  </si>
  <si>
    <t>120155250L-AL40</t>
  </si>
  <si>
    <t>15.10.2019</t>
  </si>
  <si>
    <t>1C-1C RT &gt; 10000</t>
  </si>
  <si>
    <t>Battery_93</t>
  </si>
  <si>
    <t>ISI-102</t>
  </si>
  <si>
    <t>120155250P-LF01</t>
  </si>
  <si>
    <t>18.06.2020</t>
  </si>
  <si>
    <t>Battery_94</t>
  </si>
  <si>
    <t>ISI-103a</t>
  </si>
  <si>
    <t>ISI-103</t>
  </si>
  <si>
    <t>120155250N- AM44E</t>
  </si>
  <si>
    <t>Battery_95</t>
  </si>
  <si>
    <t>ISI-104</t>
  </si>
  <si>
    <t>120155250NH-NH02</t>
  </si>
  <si>
    <t>Battery_96</t>
  </si>
  <si>
    <t>ISI-105</t>
  </si>
  <si>
    <t>5099130NRS</t>
  </si>
  <si>
    <t>07.12.2008</t>
  </si>
  <si>
    <t>Datasheet als Screenshot Webseite</t>
  </si>
  <si>
    <t>Battery_97</t>
  </si>
  <si>
    <t>ISI-106</t>
  </si>
  <si>
    <t>7799130N</t>
  </si>
  <si>
    <t>Battery_98</t>
  </si>
  <si>
    <t>ISI-107</t>
  </si>
  <si>
    <t>8399130NE</t>
  </si>
  <si>
    <t>Battery_99</t>
  </si>
  <si>
    <t>ISI-108</t>
  </si>
  <si>
    <t>7799130ND</t>
  </si>
  <si>
    <t>Battery_100</t>
  </si>
  <si>
    <t>ISI-109</t>
  </si>
  <si>
    <t>7799130P</t>
  </si>
  <si>
    <t>Battery_101</t>
  </si>
  <si>
    <t>ISI-110</t>
  </si>
  <si>
    <t>9299130N</t>
  </si>
  <si>
    <t>Battery_102</t>
  </si>
  <si>
    <t>ISI-111</t>
  </si>
  <si>
    <t>Eemb Co</t>
  </si>
  <si>
    <t>LP7851119F</t>
  </si>
  <si>
    <t>no data spec. energy</t>
  </si>
  <si>
    <t>Battery_103</t>
  </si>
  <si>
    <t>ISI-112</t>
  </si>
  <si>
    <t>LP1167220F</t>
  </si>
  <si>
    <t>13.10.2016</t>
  </si>
  <si>
    <t>Battery_104</t>
  </si>
  <si>
    <t>ISI-113</t>
  </si>
  <si>
    <t>LP7568130F</t>
  </si>
  <si>
    <t>18.09.2015</t>
  </si>
  <si>
    <t>Battery_105</t>
  </si>
  <si>
    <t>ISI-114</t>
  </si>
  <si>
    <t>LP9590120F</t>
  </si>
  <si>
    <t>30.06.2018</t>
  </si>
  <si>
    <t>Battery_106</t>
  </si>
  <si>
    <t>ISI-115</t>
  </si>
  <si>
    <t>LP60100100F</t>
  </si>
  <si>
    <t>Battery_107</t>
  </si>
  <si>
    <t>ISI-116</t>
  </si>
  <si>
    <t>LP90100160F</t>
  </si>
  <si>
    <t>18.07.2017</t>
  </si>
  <si>
    <t>Battery_108</t>
  </si>
  <si>
    <t>ISI-117</t>
  </si>
  <si>
    <t>10.06.2015</t>
  </si>
  <si>
    <t>Battery_109</t>
  </si>
  <si>
    <t>ISI-118</t>
  </si>
  <si>
    <t>LP 32770</t>
  </si>
  <si>
    <t>Battery_110</t>
  </si>
  <si>
    <t>ISI-119</t>
  </si>
  <si>
    <t>BMZ / Sony</t>
  </si>
  <si>
    <t>BMZ 21700 50EL</t>
  </si>
  <si>
    <t>Battery_111</t>
  </si>
  <si>
    <t>ISI-120</t>
  </si>
  <si>
    <t>Zenlabs / Envia</t>
  </si>
  <si>
    <t>ENV 11.6 Ah</t>
  </si>
  <si>
    <t>12.06.2019</t>
  </si>
  <si>
    <t>Battery_112</t>
  </si>
  <si>
    <t>ISI-121</t>
  </si>
  <si>
    <t>ENV 50.4 Ah</t>
  </si>
  <si>
    <t>Battery_113</t>
  </si>
  <si>
    <t>ISI-122</t>
  </si>
  <si>
    <t>Yoku Energy (Shenzhen) Co</t>
  </si>
  <si>
    <t>Battery_114</t>
  </si>
  <si>
    <t>ISI-123</t>
  </si>
  <si>
    <t>LF105-73103</t>
  </si>
  <si>
    <t>17.10.2017</t>
  </si>
  <si>
    <t>Battery_115</t>
  </si>
  <si>
    <t>ISI-124</t>
  </si>
  <si>
    <t>LF90K</t>
  </si>
  <si>
    <t>Battery_116</t>
  </si>
  <si>
    <t>ISI-125</t>
  </si>
  <si>
    <t>BMZ / TerraE</t>
  </si>
  <si>
    <t>INR 21700 50 E</t>
  </si>
  <si>
    <t>24.09.2021</t>
  </si>
  <si>
    <t>Battery_117</t>
  </si>
  <si>
    <t>ISI-126</t>
  </si>
  <si>
    <t>SKI</t>
  </si>
  <si>
    <t>SKI Kia Niro</t>
  </si>
  <si>
    <t>Battery_118</t>
  </si>
  <si>
    <t>ISI-127</t>
  </si>
  <si>
    <t>L148N50B</t>
  </si>
  <si>
    <t>10.2019</t>
  </si>
  <si>
    <t>Battery_119</t>
  </si>
  <si>
    <t>ISI-128</t>
  </si>
  <si>
    <t>L135F72 (CAM72)</t>
  </si>
  <si>
    <t>Battery_120</t>
  </si>
  <si>
    <t>ISI-129</t>
  </si>
  <si>
    <t>L160F100B</t>
  </si>
  <si>
    <t>Battery_121</t>
  </si>
  <si>
    <t>ISI-130</t>
  </si>
  <si>
    <t>LFP176Ah</t>
  </si>
  <si>
    <t>Battery_122</t>
  </si>
  <si>
    <t>ISI-131</t>
  </si>
  <si>
    <t>26650FS3</t>
  </si>
  <si>
    <t>Battery_123</t>
  </si>
  <si>
    <t>ISI-132</t>
  </si>
  <si>
    <t>CS0495RT001A</t>
  </si>
  <si>
    <t>17.02.2022</t>
  </si>
  <si>
    <t>Batemo</t>
  </si>
  <si>
    <t>Battery_124</t>
  </si>
  <si>
    <t>ISI-133</t>
  </si>
  <si>
    <t>N21700CG-50</t>
  </si>
  <si>
    <t>22.04.2020</t>
  </si>
  <si>
    <t>Battery_125</t>
  </si>
  <si>
    <t>ISI-134</t>
  </si>
  <si>
    <t>NCR2170‑M</t>
  </si>
  <si>
    <t>01.09.2021</t>
  </si>
  <si>
    <t>Battery_126</t>
  </si>
  <si>
    <t>ISI-135</t>
  </si>
  <si>
    <t>Molicel</t>
  </si>
  <si>
    <t>INR-21700-P42B</t>
  </si>
  <si>
    <t>Battery_127</t>
  </si>
  <si>
    <t>ISI-137</t>
  </si>
  <si>
    <t>INR-21700-50S</t>
  </si>
  <si>
    <t>Battery_128</t>
  </si>
  <si>
    <t>ISI-138</t>
  </si>
  <si>
    <t>A7</t>
  </si>
  <si>
    <t>01.05.2017</t>
  </si>
  <si>
    <t>Battery_129</t>
  </si>
  <si>
    <t>ISI-139</t>
  </si>
  <si>
    <t>C‑PR51A</t>
  </si>
  <si>
    <t>Battery_130</t>
  </si>
  <si>
    <t>ISI-140</t>
  </si>
  <si>
    <t>E61V</t>
  </si>
  <si>
    <t>01.04.2021</t>
  </si>
  <si>
    <t>Battery_131</t>
  </si>
  <si>
    <t>ISI-141</t>
  </si>
  <si>
    <t>E66A</t>
  </si>
  <si>
    <t>01.11.2020</t>
  </si>
  <si>
    <t>Battery_132</t>
  </si>
  <si>
    <t>ISI-142</t>
  </si>
  <si>
    <t>E63</t>
  </si>
  <si>
    <t>26.02.2018</t>
  </si>
  <si>
    <t>@25°C Room</t>
  </si>
  <si>
    <t>Battery_133</t>
  </si>
  <si>
    <t>ISI-143a</t>
  </si>
  <si>
    <t>ISI-143</t>
  </si>
  <si>
    <t>INR21700-48X</t>
  </si>
  <si>
    <t>2020</t>
  </si>
  <si>
    <t>Battery_134</t>
  </si>
  <si>
    <t>ISI-144</t>
  </si>
  <si>
    <t>E63B</t>
  </si>
  <si>
    <t>Battery_135</t>
  </si>
  <si>
    <t>ISI-145</t>
  </si>
  <si>
    <t>NMC712</t>
  </si>
  <si>
    <t>E78</t>
  </si>
  <si>
    <t>2022</t>
  </si>
  <si>
    <t>Battery_136</t>
  </si>
  <si>
    <t>ISI-146</t>
  </si>
  <si>
    <t>A123 20AH</t>
  </si>
  <si>
    <t>Battery_137</t>
  </si>
  <si>
    <t>ISI-147</t>
  </si>
  <si>
    <t>NX2.1</t>
  </si>
  <si>
    <t>Battery_138</t>
  </si>
  <si>
    <t>ISI-148</t>
  </si>
  <si>
    <t>CA400</t>
  </si>
  <si>
    <t>Battery_139</t>
  </si>
  <si>
    <t>ISI-149</t>
  </si>
  <si>
    <t>CAM72</t>
  </si>
  <si>
    <t>Battery_140</t>
  </si>
  <si>
    <t>ISI-150</t>
  </si>
  <si>
    <t>Melasta</t>
  </si>
  <si>
    <t>MB-LFP-32173128</t>
  </si>
  <si>
    <t>Battery_141</t>
  </si>
  <si>
    <t>ISI-151</t>
  </si>
  <si>
    <t>MB-IFR26650</t>
  </si>
  <si>
    <t>Battery_142</t>
  </si>
  <si>
    <t>ISI-152</t>
  </si>
  <si>
    <t>SLPBB042126</t>
  </si>
  <si>
    <t>Battery_143</t>
  </si>
  <si>
    <t>ISI-153</t>
  </si>
  <si>
    <t>SLPB70205130P</t>
  </si>
  <si>
    <t>28.04.2011</t>
  </si>
  <si>
    <t>Battery_144</t>
  </si>
  <si>
    <t>ISI-154</t>
  </si>
  <si>
    <t>Saft</t>
  </si>
  <si>
    <t>INT 176065 ISR FL</t>
  </si>
  <si>
    <t>12.2020</t>
  </si>
  <si>
    <t>Battery_145</t>
  </si>
  <si>
    <t>ISI-155</t>
  </si>
  <si>
    <t>MP 144350 XLR</t>
  </si>
  <si>
    <t>04.2018</t>
  </si>
  <si>
    <t>Battery_146</t>
  </si>
  <si>
    <t>ISI-156</t>
  </si>
  <si>
    <t>MP 176065 ISE</t>
  </si>
  <si>
    <t>07.2009</t>
  </si>
  <si>
    <t>Battery_147</t>
  </si>
  <si>
    <t>ISI-157a</t>
  </si>
  <si>
    <t>ISI-157</t>
  </si>
  <si>
    <t>Gaia</t>
  </si>
  <si>
    <t>HP 602030</t>
  </si>
  <si>
    <t>06.2009</t>
  </si>
  <si>
    <t>Battery_148</t>
  </si>
  <si>
    <t>ISI-158</t>
  </si>
  <si>
    <t>Keeppower</t>
  </si>
  <si>
    <t>NH2140</t>
  </si>
  <si>
    <t>Battery_149</t>
  </si>
  <si>
    <t>ISI-159a</t>
  </si>
  <si>
    <t>ISI-159</t>
  </si>
  <si>
    <t>NCR18650BF</t>
  </si>
  <si>
    <t>Battery_150</t>
  </si>
  <si>
    <t>ISI-159b</t>
  </si>
  <si>
    <t>Battery_151</t>
  </si>
  <si>
    <t>ISI-160a</t>
  </si>
  <si>
    <t>ISI-160</t>
  </si>
  <si>
    <t>NCA596080</t>
  </si>
  <si>
    <t>Battery_152</t>
  </si>
  <si>
    <t>ISI-160b</t>
  </si>
  <si>
    <t>Battery_153</t>
  </si>
  <si>
    <t>ISI-161</t>
  </si>
  <si>
    <t>INR21700-30T</t>
  </si>
  <si>
    <t>Version No. 2.0</t>
  </si>
  <si>
    <t>Battery_154</t>
  </si>
  <si>
    <t>ISI-162</t>
  </si>
  <si>
    <t>Hypercell</t>
  </si>
  <si>
    <t>NCR20700</t>
  </si>
  <si>
    <t>29.09.2018</t>
  </si>
  <si>
    <t>Battery_155</t>
  </si>
  <si>
    <t>ISI-163</t>
  </si>
  <si>
    <t>UPF673791</t>
  </si>
  <si>
    <t>Battery_156</t>
  </si>
  <si>
    <t>ISI-164</t>
  </si>
  <si>
    <t>SLPB65216216</t>
  </si>
  <si>
    <t>Battery_157</t>
  </si>
  <si>
    <t>ISI-165</t>
  </si>
  <si>
    <t>SLPB90216216</t>
  </si>
  <si>
    <t>Battery_158</t>
  </si>
  <si>
    <t>ISI-166</t>
  </si>
  <si>
    <t>SLPB53460330</t>
  </si>
  <si>
    <t>Battery_159</t>
  </si>
  <si>
    <t>ISI-167</t>
  </si>
  <si>
    <t>SLPB30205130H</t>
  </si>
  <si>
    <t>Battery_160</t>
  </si>
  <si>
    <t>ISI-168</t>
  </si>
  <si>
    <t>SLPB41205130H</t>
  </si>
  <si>
    <t>Battery_161</t>
  </si>
  <si>
    <t>ISI-169</t>
  </si>
  <si>
    <t>SLPB11043140H</t>
  </si>
  <si>
    <t>Battery_162</t>
  </si>
  <si>
    <t>ISI-170</t>
  </si>
  <si>
    <t>SLPB45205130P</t>
  </si>
  <si>
    <t>Battery_163</t>
  </si>
  <si>
    <t>ISI-171</t>
  </si>
  <si>
    <t>SPB 58253172P4</t>
  </si>
  <si>
    <t>Battery_164</t>
  </si>
  <si>
    <t>ISI-172</t>
  </si>
  <si>
    <t>120155250NH - NH04</t>
  </si>
  <si>
    <t>Battery_165</t>
  </si>
  <si>
    <t>ISI-173</t>
  </si>
  <si>
    <t>INR 21700 58 E</t>
  </si>
  <si>
    <t>24.02.2022</t>
  </si>
  <si>
    <t>Battery_166</t>
  </si>
  <si>
    <t>ISI-174</t>
  </si>
  <si>
    <t>Yinglong</t>
  </si>
  <si>
    <t>LTO 9Ah</t>
  </si>
  <si>
    <t>Battery_167</t>
  </si>
  <si>
    <t>ISI-175</t>
  </si>
  <si>
    <t>LTO 40Ah</t>
  </si>
  <si>
    <t>Battery_168</t>
  </si>
  <si>
    <t>ISI-176</t>
  </si>
  <si>
    <t>LTO 45Ah</t>
  </si>
  <si>
    <t>Battery_169</t>
  </si>
  <si>
    <t>ISI-177</t>
  </si>
  <si>
    <t>LTO 30Ah</t>
  </si>
  <si>
    <t>Battery_170</t>
  </si>
  <si>
    <t>ISI-178</t>
  </si>
  <si>
    <t>LTO 33Ah</t>
  </si>
  <si>
    <t>Battery_171</t>
  </si>
  <si>
    <t>ISI-179</t>
  </si>
  <si>
    <t>LTO 68Ah</t>
  </si>
  <si>
    <t>Battery_172</t>
  </si>
  <si>
    <t>ISI-180</t>
  </si>
  <si>
    <t>ELERIX</t>
  </si>
  <si>
    <t>EX-T30K</t>
  </si>
  <si>
    <t>Battery_173</t>
  </si>
  <si>
    <t>ISI-181</t>
  </si>
  <si>
    <t>LTO 21Ah</t>
  </si>
  <si>
    <t>Battery_174</t>
  </si>
  <si>
    <t>ISI-182</t>
  </si>
  <si>
    <t>Battery_175</t>
  </si>
  <si>
    <t>ISI-183</t>
  </si>
  <si>
    <t>D11</t>
  </si>
  <si>
    <t>Battery_176</t>
  </si>
  <si>
    <t>ISI-184</t>
  </si>
  <si>
    <t>D12</t>
  </si>
  <si>
    <t>Battery_177</t>
  </si>
  <si>
    <t>ISI-185</t>
  </si>
  <si>
    <t>D13</t>
  </si>
  <si>
    <t>Battery_178</t>
  </si>
  <si>
    <t>ISI-186</t>
  </si>
  <si>
    <t>D21</t>
  </si>
  <si>
    <t>Battery_179</t>
  </si>
  <si>
    <t>ISI-187</t>
  </si>
  <si>
    <t>INP42P</t>
  </si>
  <si>
    <t>Battery_180</t>
  </si>
  <si>
    <t>ISI-188</t>
  </si>
  <si>
    <t>INP50E</t>
  </si>
  <si>
    <t>Battery_181</t>
  </si>
  <si>
    <t>ISI-189</t>
  </si>
  <si>
    <t>INP60E</t>
  </si>
  <si>
    <t>Battery_182</t>
  </si>
  <si>
    <t>ISI-190</t>
  </si>
  <si>
    <t>INP72P</t>
  </si>
  <si>
    <t>Battery_183</t>
  </si>
  <si>
    <t>ISI-191</t>
  </si>
  <si>
    <t>INP80E</t>
  </si>
  <si>
    <t>Battery_184</t>
  </si>
  <si>
    <t>ISI-192</t>
  </si>
  <si>
    <t>LF50</t>
  </si>
  <si>
    <t>Battery_185</t>
  </si>
  <si>
    <t>ISI-193</t>
  </si>
  <si>
    <t>LF56K</t>
  </si>
  <si>
    <t>Battery_186</t>
  </si>
  <si>
    <t>ISI-194</t>
  </si>
  <si>
    <t>LF75</t>
  </si>
  <si>
    <t>Battery_187</t>
  </si>
  <si>
    <t>SDL-01248</t>
  </si>
  <si>
    <t>VL 34570</t>
  </si>
  <si>
    <t>07.2019</t>
  </si>
  <si>
    <t>Battery_188</t>
  </si>
  <si>
    <t>SDL-02926</t>
  </si>
  <si>
    <t>SLPB50106100</t>
  </si>
  <si>
    <t>Battery_189</t>
  </si>
  <si>
    <t>SDL-02927</t>
  </si>
  <si>
    <t>SLPB75106100</t>
  </si>
  <si>
    <t>Battery_190</t>
  </si>
  <si>
    <t>SDL-02928</t>
  </si>
  <si>
    <t>SLPB75106205</t>
  </si>
  <si>
    <t>Battery_191</t>
  </si>
  <si>
    <t>SDL-02929</t>
  </si>
  <si>
    <t>SLPB60216216</t>
  </si>
  <si>
    <t>Battery_192</t>
  </si>
  <si>
    <t>SDL-02933</t>
  </si>
  <si>
    <t>SLPB70460330</t>
  </si>
  <si>
    <t>Battery_193</t>
  </si>
  <si>
    <t>SDL-02945</t>
  </si>
  <si>
    <t>SLPB55205130H</t>
  </si>
  <si>
    <t>Battery_194</t>
  </si>
  <si>
    <t>SDL-02946</t>
  </si>
  <si>
    <t>SLPB78216216H</t>
  </si>
  <si>
    <t>Battery_195</t>
  </si>
  <si>
    <t>SDL-02948</t>
  </si>
  <si>
    <t>SLPB60460330H</t>
  </si>
  <si>
    <t>Battery_196</t>
  </si>
  <si>
    <t>SDL-02949</t>
  </si>
  <si>
    <t>SLPB80460330H</t>
  </si>
  <si>
    <t>Battery_197</t>
  </si>
  <si>
    <t>SDL-02950</t>
  </si>
  <si>
    <t>SPLB160460330H</t>
  </si>
  <si>
    <t>Battery_198</t>
  </si>
  <si>
    <t>SDL-03609</t>
  </si>
  <si>
    <t>HYB Battery Co</t>
  </si>
  <si>
    <t>IMP206990S</t>
  </si>
  <si>
    <t xml:space="preserve">File No: QP–09–E302 </t>
  </si>
  <si>
    <t>Battery_199</t>
  </si>
  <si>
    <t>SDL-03617</t>
  </si>
  <si>
    <t>IMP50110140S</t>
  </si>
  <si>
    <t>Battery_200</t>
  </si>
  <si>
    <t>SDL-05872</t>
  </si>
  <si>
    <t>Advanced Electronics Energy</t>
  </si>
  <si>
    <t>AE8867220PMHRE</t>
  </si>
  <si>
    <t>Battery_201</t>
  </si>
  <si>
    <t>SDL-06597</t>
  </si>
  <si>
    <t>656096</t>
  </si>
  <si>
    <t>19.01.2011</t>
  </si>
  <si>
    <t>Battery_202</t>
  </si>
  <si>
    <t>SDL-06638</t>
  </si>
  <si>
    <t>6567100</t>
  </si>
  <si>
    <t>Battery_203</t>
  </si>
  <si>
    <t>SDL-06646</t>
  </si>
  <si>
    <t>7545135</t>
  </si>
  <si>
    <t>25.10.2008</t>
  </si>
  <si>
    <t>Battery_204</t>
  </si>
  <si>
    <t>SDL-07234</t>
  </si>
  <si>
    <t>ATL - Amperex Technology</t>
  </si>
  <si>
    <t>8235138</t>
  </si>
  <si>
    <t>11.12.2008</t>
  </si>
  <si>
    <t>Battery_205</t>
  </si>
  <si>
    <t>SDL-07236</t>
  </si>
  <si>
    <t>8045135</t>
  </si>
  <si>
    <t>Battery_206</t>
  </si>
  <si>
    <t>SDL-07237</t>
  </si>
  <si>
    <t>8845135</t>
  </si>
  <si>
    <t>Battery_207</t>
  </si>
  <si>
    <t>SDL-07238</t>
  </si>
  <si>
    <t>5048168</t>
  </si>
  <si>
    <t>16.12.2008</t>
  </si>
  <si>
    <t>Battery_208</t>
  </si>
  <si>
    <t>SDL-07239</t>
  </si>
  <si>
    <t>6048168</t>
  </si>
  <si>
    <t>Battery_209</t>
  </si>
  <si>
    <t>SDL-07240</t>
  </si>
  <si>
    <t>7048168</t>
  </si>
  <si>
    <t>Battery_210</t>
  </si>
  <si>
    <t>SDL-09564</t>
  </si>
  <si>
    <t>VL 12 V</t>
  </si>
  <si>
    <t>02.2007</t>
  </si>
  <si>
    <t>Battery_211</t>
  </si>
  <si>
    <t>SDL-09565</t>
  </si>
  <si>
    <t>VL 34480</t>
  </si>
  <si>
    <t>11.2007</t>
  </si>
  <si>
    <t>Battery_212</t>
  </si>
  <si>
    <t>SDL-09566</t>
  </si>
  <si>
    <t>VL 37570</t>
  </si>
  <si>
    <t>Battery_213</t>
  </si>
  <si>
    <t>SDL-12690</t>
  </si>
  <si>
    <t>General Electronics Battery Co</t>
  </si>
  <si>
    <t>GEB32650</t>
  </si>
  <si>
    <t>Battery_214</t>
  </si>
  <si>
    <t>SDL-12800</t>
  </si>
  <si>
    <t>VL 4V</t>
  </si>
  <si>
    <t>04.2007</t>
  </si>
  <si>
    <t>Battery_215</t>
  </si>
  <si>
    <t>SDL-12801</t>
  </si>
  <si>
    <t>VL 6A</t>
  </si>
  <si>
    <t>09.2007</t>
  </si>
  <si>
    <t>Battery_216</t>
  </si>
  <si>
    <t>SDL-12802</t>
  </si>
  <si>
    <t>VL 8V</t>
  </si>
  <si>
    <t>Battery_217</t>
  </si>
  <si>
    <t>SDL-14721</t>
  </si>
  <si>
    <t>E-One Moli Energy (Canada) Limited</t>
  </si>
  <si>
    <t>IBR-26700A</t>
  </si>
  <si>
    <t>09.2006</t>
  </si>
  <si>
    <t>Battery_218</t>
  </si>
  <si>
    <t>SDL-14857</t>
  </si>
  <si>
    <t>VL 32600-125</t>
  </si>
  <si>
    <t>01.2010</t>
  </si>
  <si>
    <t>Battery_219</t>
  </si>
  <si>
    <t>SDL-14876</t>
  </si>
  <si>
    <t>VL 34P</t>
  </si>
  <si>
    <t>06.2007</t>
  </si>
  <si>
    <t>Battery_220</t>
  </si>
  <si>
    <t>SDL-14955</t>
  </si>
  <si>
    <t>Wuhan Lisun Power Corp. Ltd</t>
  </si>
  <si>
    <t>IMP225054S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</si>
  <si>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Q/LX.S.E.04.022-2006 </t>
    </r>
  </si>
  <si>
    <t>Battery_221</t>
  </si>
  <si>
    <t>SDL-14956</t>
  </si>
  <si>
    <t>IMP225058S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</si>
  <si>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Q/LX.S.E.04.021-2006 </t>
    </r>
  </si>
  <si>
    <t>Battery_222</t>
  </si>
  <si>
    <t>SDL-14957</t>
  </si>
  <si>
    <t>ICP174167S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</si>
  <si>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Q/LX.S.E.04.002-2006 </t>
    </r>
  </si>
  <si>
    <t>Battery_223</t>
  </si>
  <si>
    <t>SDL-14958</t>
  </si>
  <si>
    <t>ICP254145S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</si>
  <si>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Q/LX.S.E.04.024-2006 </t>
    </r>
  </si>
  <si>
    <t>Battery_224</t>
  </si>
  <si>
    <t>SDL-14959</t>
  </si>
  <si>
    <t>ICP225054S</t>
  </si>
  <si>
    <t>Battery_225</t>
  </si>
  <si>
    <t>SDL-14960</t>
  </si>
  <si>
    <t>IMP225069S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</si>
  <si>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Q/LX.S.E.04.008-2006 </t>
    </r>
  </si>
  <si>
    <t>Battery_226</t>
  </si>
  <si>
    <t>SDL-14961</t>
  </si>
  <si>
    <t>ICP226769S</t>
  </si>
  <si>
    <t>Battery_227</t>
  </si>
  <si>
    <t>SDL-14962</t>
  </si>
  <si>
    <t>ICP225069S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</si>
  <si>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Q/LX.S.E.04.006-2006 </t>
    </r>
  </si>
  <si>
    <t>Battery_228</t>
  </si>
  <si>
    <t>SDL-14963</t>
  </si>
  <si>
    <t>ICP226754M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</si>
  <si>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Q/LX.S.E.04.016-2006 </t>
    </r>
  </si>
  <si>
    <t>Battery_229</t>
  </si>
  <si>
    <t>SDL-14964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</si>
  <si>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Q/LX.S.E.04.010-2006 </t>
    </r>
  </si>
  <si>
    <t>Battery_230</t>
  </si>
  <si>
    <t>SDL-14965</t>
  </si>
  <si>
    <t>ICP257054M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</si>
  <si>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Q/LX.S.E.04.018-2006 </t>
    </r>
  </si>
  <si>
    <t>Battery_231</t>
  </si>
  <si>
    <t>SDL-16572</t>
  </si>
  <si>
    <t>VL 52E</t>
  </si>
  <si>
    <t>Battery_232</t>
  </si>
  <si>
    <t>SDL-16776</t>
  </si>
  <si>
    <t>Kayo battery co., ltd</t>
  </si>
  <si>
    <t>KFL 32650-10P</t>
  </si>
  <si>
    <t>Battery_233</t>
  </si>
  <si>
    <t>SDL-16777</t>
  </si>
  <si>
    <t>KFL 32650</t>
  </si>
  <si>
    <t>Battery_234</t>
  </si>
  <si>
    <t>SDL-16819</t>
  </si>
  <si>
    <t>GS Yuasa Technology</t>
  </si>
  <si>
    <t>Lithium Cobalt Oxide</t>
  </si>
  <si>
    <t>LCO</t>
  </si>
  <si>
    <t>LVP10</t>
  </si>
  <si>
    <t>Battery_235</t>
  </si>
  <si>
    <t>SDL-16835a</t>
  </si>
  <si>
    <t>SDL-16835</t>
  </si>
  <si>
    <t>EAS Batteries</t>
  </si>
  <si>
    <t>HP-601300 NCA</t>
  </si>
  <si>
    <t>Battery_236</t>
  </si>
  <si>
    <t>SDL-18448</t>
  </si>
  <si>
    <t>MP174565</t>
  </si>
  <si>
    <t>09.2009</t>
  </si>
  <si>
    <t>Battery_237</t>
  </si>
  <si>
    <t>SDL-18449</t>
  </si>
  <si>
    <t>MP174865 IS</t>
  </si>
  <si>
    <t>Battery_238</t>
  </si>
  <si>
    <t>SDL-18452</t>
  </si>
  <si>
    <t>VL 48E</t>
  </si>
  <si>
    <t>Battery_239</t>
  </si>
  <si>
    <t>SDL-18653</t>
  </si>
  <si>
    <t>VL 10VFE</t>
  </si>
  <si>
    <t>Battery_240</t>
  </si>
  <si>
    <t>SDL-18654</t>
  </si>
  <si>
    <t>VL 25PFE</t>
  </si>
  <si>
    <t>08.2007</t>
  </si>
  <si>
    <t>Battery_241</t>
  </si>
  <si>
    <t>SDL-20110</t>
  </si>
  <si>
    <t>ambigious - LCO</t>
  </si>
  <si>
    <t>LP6545135</t>
  </si>
  <si>
    <t>Battery_242</t>
  </si>
  <si>
    <t>SDL-20112a</t>
  </si>
  <si>
    <t>SDL-20112</t>
  </si>
  <si>
    <t>LP8545135-PCM-LD</t>
  </si>
  <si>
    <t>14.10.2015</t>
  </si>
  <si>
    <t>Battery_243</t>
  </si>
  <si>
    <t>SDL-20112b</t>
  </si>
  <si>
    <t>Battery_244</t>
  </si>
  <si>
    <t>SDL-20131a</t>
  </si>
  <si>
    <t>SDL-20131</t>
  </si>
  <si>
    <t>LP6548166</t>
  </si>
  <si>
    <t>03.11.2020</t>
  </si>
  <si>
    <t>Battery_245</t>
  </si>
  <si>
    <t>SDL-20132a</t>
  </si>
  <si>
    <t>SDL-20132</t>
  </si>
  <si>
    <t>LP6848166</t>
  </si>
  <si>
    <t>Battery_246</t>
  </si>
  <si>
    <t>SDL-20133a</t>
  </si>
  <si>
    <t>SDL-20133</t>
  </si>
  <si>
    <t>LP7548166</t>
  </si>
  <si>
    <t>28.07.2017</t>
  </si>
  <si>
    <t>Battery_247</t>
  </si>
  <si>
    <t>SDL-20149a</t>
  </si>
  <si>
    <t>SDL-20149</t>
  </si>
  <si>
    <t>LP855085-PCM-NTC-LD</t>
  </si>
  <si>
    <t>Battery_248</t>
  </si>
  <si>
    <t>SDL-20153a</t>
  </si>
  <si>
    <t>SDL-20153</t>
  </si>
  <si>
    <t>LP9051109-PCM-NTC-LD</t>
  </si>
  <si>
    <t>Battery_249</t>
  </si>
  <si>
    <t>SDL-20180a</t>
  </si>
  <si>
    <t>SDL-20180</t>
  </si>
  <si>
    <t>LP925572</t>
  </si>
  <si>
    <t>14.07.2017</t>
  </si>
  <si>
    <t>Battery_250</t>
  </si>
  <si>
    <t>SDL-20209a</t>
  </si>
  <si>
    <t>SDL-20209</t>
  </si>
  <si>
    <t>LP956167-PCM-LD</t>
  </si>
  <si>
    <t>23.09.2015</t>
  </si>
  <si>
    <t>Battery_251</t>
  </si>
  <si>
    <t>SDL-20211a</t>
  </si>
  <si>
    <t>SDL-20211</t>
  </si>
  <si>
    <t>LP656194-PCM-LD</t>
  </si>
  <si>
    <t>21.01.2015</t>
  </si>
  <si>
    <t>Battery_252</t>
  </si>
  <si>
    <t>SDL-20223a</t>
  </si>
  <si>
    <t>SDL-20223</t>
  </si>
  <si>
    <t xml:space="preserve">LP857062-PCM-NTC-LD </t>
  </si>
  <si>
    <t>04.03.2015</t>
  </si>
  <si>
    <t>Battery_253</t>
  </si>
  <si>
    <t>SDL-20224a</t>
  </si>
  <si>
    <t>SDL-20224</t>
  </si>
  <si>
    <t>LP50100100</t>
  </si>
  <si>
    <t>02.11.2018</t>
  </si>
  <si>
    <t>Battery_254</t>
  </si>
  <si>
    <t>SDL-20226</t>
  </si>
  <si>
    <t>LP61100100</t>
  </si>
  <si>
    <t>Battery_255</t>
  </si>
  <si>
    <t>SDL-20228a</t>
  </si>
  <si>
    <t>SDL-20228</t>
  </si>
  <si>
    <t>LP38103122</t>
  </si>
  <si>
    <t>05.11.2014</t>
  </si>
  <si>
    <t>Battery_256</t>
  </si>
  <si>
    <t>SDL-20231</t>
  </si>
  <si>
    <t>LP55103122</t>
  </si>
  <si>
    <t>Battery_257</t>
  </si>
  <si>
    <t>SDL-20232</t>
  </si>
  <si>
    <t>LP70103122</t>
  </si>
  <si>
    <t>Battery_258</t>
  </si>
  <si>
    <t>SDL-20371a</t>
  </si>
  <si>
    <t>SDL-20371</t>
  </si>
  <si>
    <t>Battery_259</t>
  </si>
  <si>
    <t>SDL-20382</t>
  </si>
  <si>
    <t>LP8867220</t>
  </si>
  <si>
    <t>03.02.2015</t>
  </si>
  <si>
    <t>Battery_260</t>
  </si>
  <si>
    <t>SDL-20391</t>
  </si>
  <si>
    <t>ENAX</t>
  </si>
  <si>
    <t>ENL-LM20</t>
  </si>
  <si>
    <t xml:space="preserve">PR-L-02-03 </t>
  </si>
  <si>
    <t>Battery_261</t>
  </si>
  <si>
    <t>SDL-20392</t>
  </si>
  <si>
    <t>ENW-LM08</t>
  </si>
  <si>
    <t xml:space="preserve">PR-W-02-01 </t>
  </si>
  <si>
    <t>Battery_262</t>
  </si>
  <si>
    <t>SDL-20393</t>
  </si>
  <si>
    <t>ENS-XE36</t>
  </si>
  <si>
    <t xml:space="preserve">PR-S-03-01 </t>
  </si>
  <si>
    <t>Battery_263</t>
  </si>
  <si>
    <t>SDL-21234</t>
  </si>
  <si>
    <t>Neosonic Li-Polymer Energy</t>
  </si>
  <si>
    <t>KMBNK08035130S</t>
  </si>
  <si>
    <t>Battery_264</t>
  </si>
  <si>
    <t>SDL-21235</t>
  </si>
  <si>
    <t>KMBNS08035130S</t>
  </si>
  <si>
    <t>Battery_265</t>
  </si>
  <si>
    <t>SDL-21236</t>
  </si>
  <si>
    <t>KMBNK06035195S</t>
  </si>
  <si>
    <t>Battery_266</t>
  </si>
  <si>
    <t>SDL-21237</t>
  </si>
  <si>
    <t>KMBNS06035195S</t>
  </si>
  <si>
    <t>Battery_267</t>
  </si>
  <si>
    <t>SDL-21238</t>
  </si>
  <si>
    <t>KMBNK06065108S</t>
  </si>
  <si>
    <t>Battery_268</t>
  </si>
  <si>
    <t>SDL-21239</t>
  </si>
  <si>
    <t>KMBNS06065108S</t>
  </si>
  <si>
    <t>Battery_269</t>
  </si>
  <si>
    <t>SDL-21240</t>
  </si>
  <si>
    <t>KMBNK45065144S</t>
  </si>
  <si>
    <t>Battery_270</t>
  </si>
  <si>
    <t>SDL-21241</t>
  </si>
  <si>
    <t>KMBNS45065144S</t>
  </si>
  <si>
    <t>Battery_271</t>
  </si>
  <si>
    <t>SDL-21778</t>
  </si>
  <si>
    <t>904823</t>
  </si>
  <si>
    <t>Datenblatt_904823_v01_eng.doc</t>
  </si>
  <si>
    <t>Battery_272</t>
  </si>
  <si>
    <t>SDL-22152</t>
  </si>
  <si>
    <t>LVP65</t>
  </si>
  <si>
    <t>Battery_273</t>
  </si>
  <si>
    <t>SDL-22176a</t>
  </si>
  <si>
    <t>SDL-22176</t>
  </si>
  <si>
    <t>HE-602030 NCA 55AH</t>
  </si>
  <si>
    <t>Rev. 1.1/1.2</t>
  </si>
  <si>
    <t>Battery_274</t>
  </si>
  <si>
    <t>SDL-22176b</t>
  </si>
  <si>
    <t>Rev. 1..1/1.2</t>
  </si>
  <si>
    <t>Battery_275</t>
  </si>
  <si>
    <t>SDL-22254</t>
  </si>
  <si>
    <t>VL 45E FE</t>
  </si>
  <si>
    <t>Battery_276</t>
  </si>
  <si>
    <t>SDL-22408</t>
  </si>
  <si>
    <t>VL 5U</t>
  </si>
  <si>
    <t>10.2009</t>
  </si>
  <si>
    <t>Battery_277</t>
  </si>
  <si>
    <t>SDL-22470a</t>
  </si>
  <si>
    <t>SDL-22470</t>
  </si>
  <si>
    <t>UHP-341440 NCA</t>
  </si>
  <si>
    <t>12.12.2008</t>
  </si>
  <si>
    <t>Battery_278</t>
  </si>
  <si>
    <t>SDL-23011</t>
  </si>
  <si>
    <t>Battronix</t>
  </si>
  <si>
    <t>LCB8570170EC1</t>
  </si>
  <si>
    <t>12.09.2009</t>
  </si>
  <si>
    <t>Battery_279</t>
  </si>
  <si>
    <t>SDL-23066a</t>
  </si>
  <si>
    <t>SDL-23066</t>
  </si>
  <si>
    <t>Thunder-Sky</t>
  </si>
  <si>
    <t>WB-LYP40AHA</t>
  </si>
  <si>
    <t>Battery_280</t>
  </si>
  <si>
    <t>SDL-23067a</t>
  </si>
  <si>
    <t>SDL-23067</t>
  </si>
  <si>
    <t>WB-LYP60AHA</t>
  </si>
  <si>
    <t>Battery_281</t>
  </si>
  <si>
    <t>SDL-23068a</t>
  </si>
  <si>
    <t>SDL-23068</t>
  </si>
  <si>
    <t>WB-LYP90AHA</t>
  </si>
  <si>
    <t>Battery_282</t>
  </si>
  <si>
    <t>SDL-23069a</t>
  </si>
  <si>
    <t>SDL-23069</t>
  </si>
  <si>
    <t>WB-LYP100AHA</t>
  </si>
  <si>
    <t>Battery_283</t>
  </si>
  <si>
    <t>SDL-23070a</t>
  </si>
  <si>
    <t>SDL-23070</t>
  </si>
  <si>
    <t>WB-LYP160AHA</t>
  </si>
  <si>
    <t>Battery_284</t>
  </si>
  <si>
    <t>SDL-23071a</t>
  </si>
  <si>
    <t>SDL-23071</t>
  </si>
  <si>
    <t>WB-LYP200AHA</t>
  </si>
  <si>
    <t>Battery_285</t>
  </si>
  <si>
    <t>SDL-23072a</t>
  </si>
  <si>
    <t>SDL-23072</t>
  </si>
  <si>
    <t>WB-LYP260AHA</t>
  </si>
  <si>
    <t>Battery_286</t>
  </si>
  <si>
    <t>SDL-23073a</t>
  </si>
  <si>
    <t>SDL-23073</t>
  </si>
  <si>
    <t>WB-LYP300AHA</t>
  </si>
  <si>
    <t>Battery_287</t>
  </si>
  <si>
    <t>SDL-23074a</t>
  </si>
  <si>
    <t>SDL-23074</t>
  </si>
  <si>
    <t>WB-LYP400AHA</t>
  </si>
  <si>
    <t>Battery_288</t>
  </si>
  <si>
    <t>SDL-23075a</t>
  </si>
  <si>
    <t>SDL-23075</t>
  </si>
  <si>
    <t>WB-LYP700AHA</t>
  </si>
  <si>
    <t>Battery_289</t>
  </si>
  <si>
    <t>SDL-23076a</t>
  </si>
  <si>
    <t>SDL-23076</t>
  </si>
  <si>
    <t>WB-LYP1000AHA</t>
  </si>
  <si>
    <t>Battery_290</t>
  </si>
  <si>
    <t>SDL-23077a</t>
  </si>
  <si>
    <t>SDL-23077</t>
  </si>
  <si>
    <t>WB-LYP1000AHC</t>
  </si>
  <si>
    <t>Battery_291</t>
  </si>
  <si>
    <t>SDL-23220</t>
  </si>
  <si>
    <t>Optimum Battery Co Ltd</t>
  </si>
  <si>
    <t>OPT-32650F</t>
  </si>
  <si>
    <t>Battery_292</t>
  </si>
  <si>
    <t>SDL-23256</t>
  </si>
  <si>
    <t>Chengdu Jianzhong Lithium Battery Company Ltd</t>
  </si>
  <si>
    <t>ICR26650</t>
  </si>
  <si>
    <t>17.07.2015</t>
  </si>
  <si>
    <t>Battery_293</t>
  </si>
  <si>
    <t>SDL-23257</t>
  </si>
  <si>
    <t>SLPB11543140H5</t>
  </si>
  <si>
    <t>Paper</t>
  </si>
  <si>
    <t>Battery_294</t>
  </si>
  <si>
    <t>SDL-23465</t>
  </si>
  <si>
    <t>Auto Energy Technology Co</t>
  </si>
  <si>
    <t>YT185185185</t>
  </si>
  <si>
    <t>Battery_295</t>
  </si>
  <si>
    <t>SDL-23541</t>
  </si>
  <si>
    <t>EnerDel, INC</t>
  </si>
  <si>
    <t>HEV CELL</t>
  </si>
  <si>
    <t>24.05.2012</t>
  </si>
  <si>
    <t>Battery_296</t>
  </si>
  <si>
    <t>SDL-23543a</t>
  </si>
  <si>
    <t>SDL-23543</t>
  </si>
  <si>
    <t>Headway Group</t>
  </si>
  <si>
    <t>HW38120S/L</t>
  </si>
  <si>
    <t>Battery_297</t>
  </si>
  <si>
    <t>SDL-23544a</t>
  </si>
  <si>
    <t>SDL-23544</t>
  </si>
  <si>
    <t>HW38140S</t>
  </si>
  <si>
    <t>Battery_298</t>
  </si>
  <si>
    <t>SDL-23547a</t>
  </si>
  <si>
    <t>SDL-23547</t>
  </si>
  <si>
    <t>HW40152S</t>
  </si>
  <si>
    <t>Battery_299</t>
  </si>
  <si>
    <t>SDL-2494</t>
  </si>
  <si>
    <t>VES100</t>
  </si>
  <si>
    <t>Battery_300</t>
  </si>
  <si>
    <t>SDL-2495</t>
  </si>
  <si>
    <t>VES140</t>
  </si>
  <si>
    <t>Battery_301</t>
  </si>
  <si>
    <t>SDL-2496</t>
  </si>
  <si>
    <t>VES180</t>
  </si>
  <si>
    <t>Battery_302</t>
  </si>
  <si>
    <t>SDL-2500</t>
  </si>
  <si>
    <t>MP174865</t>
  </si>
  <si>
    <t>Battery_303</t>
  </si>
  <si>
    <t>SDL-2502</t>
  </si>
  <si>
    <t>MP176065</t>
  </si>
  <si>
    <t>03.2005</t>
  </si>
  <si>
    <t>Battery_304</t>
  </si>
  <si>
    <t>SDL-2503</t>
  </si>
  <si>
    <t>VL 45E</t>
  </si>
  <si>
    <t>Battery_305</t>
  </si>
  <si>
    <t>SDL-2504</t>
  </si>
  <si>
    <t>VL 41M</t>
  </si>
  <si>
    <t>Battery_306</t>
  </si>
  <si>
    <t>SDL-2505</t>
  </si>
  <si>
    <t>VL 27M</t>
  </si>
  <si>
    <t>Battery_307</t>
  </si>
  <si>
    <t>SDL-2506</t>
  </si>
  <si>
    <t>VL 7P</t>
  </si>
  <si>
    <t>Battery_308</t>
  </si>
  <si>
    <t>SDL-2507</t>
  </si>
  <si>
    <t>VL 20P</t>
  </si>
  <si>
    <t>Battery_309</t>
  </si>
  <si>
    <t>SDL-2508</t>
  </si>
  <si>
    <t>VL 30P</t>
  </si>
  <si>
    <t>Battery_310</t>
  </si>
  <si>
    <t>SDL-2524</t>
  </si>
  <si>
    <t>Quallion LLC</t>
  </si>
  <si>
    <t>LNCAO</t>
  </si>
  <si>
    <t>QL015KA</t>
  </si>
  <si>
    <t>Battery_311</t>
  </si>
  <si>
    <t>SDL-25474</t>
  </si>
  <si>
    <t>Guangzhou FULLRIVER Battery New Technology Co</t>
  </si>
  <si>
    <t>32700Fe5400</t>
  </si>
  <si>
    <t>06.2012</t>
  </si>
  <si>
    <t>Battery_312</t>
  </si>
  <si>
    <t>SDL-25565</t>
  </si>
  <si>
    <t>INR18650MJ1</t>
  </si>
  <si>
    <t>22.08.2014</t>
  </si>
  <si>
    <t>Battery_313</t>
  </si>
  <si>
    <t>SDL-25566</t>
  </si>
  <si>
    <t>MP174565xtd</t>
  </si>
  <si>
    <t>08.2019</t>
  </si>
  <si>
    <t>Battery_314</t>
  </si>
  <si>
    <t>SDL-25567</t>
  </si>
  <si>
    <t>MP176065xtd</t>
  </si>
  <si>
    <t>Battery_315</t>
  </si>
  <si>
    <t>SDL-25591a</t>
  </si>
  <si>
    <t>SDL-25591</t>
  </si>
  <si>
    <t>HE-341440 NCA</t>
  </si>
  <si>
    <t>Doc HE 341440 NCA - 2011-13</t>
  </si>
  <si>
    <t>Battery_316</t>
  </si>
  <si>
    <t>SDL-25608</t>
  </si>
  <si>
    <t>INR20650 M42</t>
  </si>
  <si>
    <t>07.12.2015</t>
  </si>
  <si>
    <t>Battery_317</t>
  </si>
  <si>
    <t>SDL-25622</t>
  </si>
  <si>
    <t>ENV23426-XP</t>
  </si>
  <si>
    <t>Battery_318</t>
  </si>
  <si>
    <t>SDL-26864</t>
  </si>
  <si>
    <t>LR2170SC</t>
  </si>
  <si>
    <t>26.07.2017</t>
  </si>
  <si>
    <t>Battery_319</t>
  </si>
  <si>
    <t>SDL-26865</t>
  </si>
  <si>
    <t>LR2170SF</t>
  </si>
  <si>
    <t>Battery_320</t>
  </si>
  <si>
    <t>SDL-26872</t>
  </si>
  <si>
    <t>Amprius / Wuxi Lead</t>
  </si>
  <si>
    <t>LCO - Silicon Nanowire</t>
  </si>
  <si>
    <t>ANW3.6-455055</t>
  </si>
  <si>
    <t>Battery_321</t>
  </si>
  <si>
    <t>SDL-26901</t>
  </si>
  <si>
    <t>E485795CH</t>
  </si>
  <si>
    <t>AMP/JS-SPEC-A07-05</t>
  </si>
  <si>
    <t>Battery_322</t>
  </si>
  <si>
    <t>SDL-26910</t>
  </si>
  <si>
    <t>Hangzhou Future Power Technology Co</t>
  </si>
  <si>
    <t>FT655894P</t>
  </si>
  <si>
    <t>Customer Code F0635</t>
  </si>
  <si>
    <t>Battery_323</t>
  </si>
  <si>
    <t>SDL-26913</t>
  </si>
  <si>
    <t>BMZ 21700 40PS1</t>
  </si>
  <si>
    <t>2017</t>
  </si>
  <si>
    <t>Battery_324</t>
  </si>
  <si>
    <t>SDL-26914</t>
  </si>
  <si>
    <t>BMZ 21700 42 PM</t>
  </si>
  <si>
    <t>Battery_325</t>
  </si>
  <si>
    <t>SDL-26917</t>
  </si>
  <si>
    <t>BMZ 21700 52E</t>
  </si>
  <si>
    <t>Battery_326</t>
  </si>
  <si>
    <t>SDL-26918</t>
  </si>
  <si>
    <t>Murata</t>
  </si>
  <si>
    <t>US21700VTC6A</t>
  </si>
  <si>
    <t>Battery_327</t>
  </si>
  <si>
    <t>SDL-26925</t>
  </si>
  <si>
    <t>Dongguan K-Tech New Energy</t>
  </si>
  <si>
    <t>INR21700P-4000mAh</t>
  </si>
  <si>
    <t>12.01.2018</t>
  </si>
  <si>
    <t>Battery_328</t>
  </si>
  <si>
    <t>SDL-26944</t>
  </si>
  <si>
    <t>LTO66160H/40Ah</t>
  </si>
  <si>
    <t>12.12.2016</t>
  </si>
  <si>
    <t>Battery_329</t>
  </si>
  <si>
    <t>SDL-26945</t>
  </si>
  <si>
    <t>35Ah</t>
  </si>
  <si>
    <t>Battery_330</t>
  </si>
  <si>
    <t>TUM-001a</t>
  </si>
  <si>
    <t>TUM-001</t>
  </si>
  <si>
    <t xml:space="preserve">SDI 94Ah </t>
  </si>
  <si>
    <t>31.12.2015</t>
  </si>
  <si>
    <t>0.5C/1C 5200 @70% - 1C/1C: 1,500 / 2,500</t>
  </si>
  <si>
    <t>Battery_331</t>
  </si>
  <si>
    <t>TUM-02</t>
  </si>
  <si>
    <t>SLPB065070180</t>
  </si>
  <si>
    <t xml:space="preserve">KKDS-20200406-BM-CEL-02 </t>
  </si>
  <si>
    <t>Battery_332</t>
  </si>
  <si>
    <t>TUM-03</t>
  </si>
  <si>
    <t>Battery_333</t>
  </si>
  <si>
    <t>TUM-04</t>
  </si>
  <si>
    <t>INR21700-50E</t>
  </si>
  <si>
    <t>19.12.2017</t>
  </si>
  <si>
    <t>Battery_334</t>
  </si>
  <si>
    <t>TUM-05</t>
  </si>
  <si>
    <t>ID.3</t>
  </si>
  <si>
    <t>Wassiliadis et al. 2022</t>
  </si>
  <si>
    <t>Battery_335</t>
  </si>
  <si>
    <t>ISI-047</t>
  </si>
  <si>
    <t>AutoEnergy</t>
  </si>
  <si>
    <t>50Ah 55380</t>
  </si>
  <si>
    <t>Battery_336</t>
  </si>
  <si>
    <t>SDL-06600</t>
  </si>
  <si>
    <t>8235135</t>
  </si>
  <si>
    <t>10.09.2008</t>
  </si>
  <si>
    <t>Battery_337</t>
  </si>
  <si>
    <t>SDL-07227</t>
  </si>
  <si>
    <t>5080122</t>
  </si>
  <si>
    <t>Battery_338</t>
  </si>
  <si>
    <t>SDL-25621</t>
  </si>
  <si>
    <t>ENV35011-CRC</t>
  </si>
  <si>
    <t>Battery_339</t>
  </si>
  <si>
    <t>ISI-084</t>
  </si>
  <si>
    <t>OSN</t>
  </si>
  <si>
    <t>OSN-08198255-LT28</t>
  </si>
  <si>
    <t>Battery_340</t>
  </si>
  <si>
    <t>ISI-017</t>
  </si>
  <si>
    <t>SLPB125255255G1H</t>
  </si>
  <si>
    <t xml:space="preserve"> </t>
  </si>
  <si>
    <t>Battery_341</t>
  </si>
  <si>
    <t>ISI-094</t>
  </si>
  <si>
    <t>LP 32975</t>
  </si>
  <si>
    <t>LP32975-0419</t>
  </si>
  <si>
    <t>Battery_342</t>
  </si>
  <si>
    <t>ISI-095</t>
  </si>
  <si>
    <t>LP 33037</t>
  </si>
  <si>
    <t>Battery_343</t>
  </si>
  <si>
    <t>ISI-096</t>
  </si>
  <si>
    <t>LP 33081</t>
  </si>
  <si>
    <t xml:space="preserve">LP33081-0419 </t>
  </si>
  <si>
    <t>Battery_344</t>
  </si>
  <si>
    <t>ISI-097</t>
  </si>
  <si>
    <t>LP 33330</t>
  </si>
  <si>
    <t>no charge data</t>
  </si>
  <si>
    <t>Battery_345</t>
  </si>
  <si>
    <t>ISI-098</t>
  </si>
  <si>
    <t>LP 33450</t>
  </si>
  <si>
    <t xml:space="preserve">LP33450-0319 </t>
  </si>
  <si>
    <t>Battery_346</t>
  </si>
  <si>
    <t>ISI-099</t>
  </si>
  <si>
    <t>LP 34100</t>
  </si>
  <si>
    <t>low temperature cell</t>
  </si>
  <si>
    <t>Audi</t>
  </si>
  <si>
    <t>new time</t>
  </si>
  <si>
    <t>new speed</t>
  </si>
  <si>
    <t>Ah</t>
  </si>
  <si>
    <t>charging Current</t>
  </si>
  <si>
    <t>Energy</t>
  </si>
  <si>
    <t>charging power</t>
  </si>
  <si>
    <t>max Voltage</t>
  </si>
  <si>
    <t>voltage</t>
  </si>
  <si>
    <t>option 1</t>
  </si>
  <si>
    <t>option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</si>
</sst>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i/>
      <sz val="11"/>
      <color theme="8"/>
      <name val="Calibri"/>
      <family val="2"/>
      <scheme val="minor"/>
    </font>
    <font>
      <i/>
      <sz val="11"/>
      <color theme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8"/>
      <name val="ConduitITCStd"/>
    </font>
    <font>
      <i/>
      <sz val="11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rgb="FFFFC000"/>
      <name val="Calibri"/>
      <family val="2"/>
      <scheme val="minor"/>
    </font>
    <font>
      <sz val="11"/>
      <color theme="8"/>
      <name val="TimesNewRomanPSMT"/>
    </font>
    <font>
      <sz val="11"/>
      <color theme="8"/>
      <name val="Arial"/>
      <family val="2"/>
    </font>
    <font>
      <sz val="11"/>
      <color theme="8"/>
      <name val="SimSun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4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2" fillId="0" borderId="0" xfId="0" applyFont="1"/>
    <xf numFmtId="0" fontId="3" fillId="0" borderId="1" xfId="0" applyFont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2" fillId="3" borderId="1" xfId="0" applyFont="1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horizontal="center"/>
    </xf>
    <xf numFmtId="0" fontId="0" fillId="4" borderId="1" xfId="0" applyFill="1" applyBorder="1"/>
    <xf numFmtId="0" fontId="7" fillId="4" borderId="1" xfId="1" applyFont="1" applyFill="1" applyBorder="1" applyAlignment="1">
      <alignment horizontal="center"/>
    </xf>
    <xf numFmtId="0" fontId="8" fillId="4" borderId="1" xfId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9" fillId="4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12" fillId="0" borderId="1" xfId="0" applyFont="1" applyBorder="1" applyAlignment="1">
      <alignment horizontal="center"/>
    </xf>
    <xf numFmtId="9" fontId="10" fillId="0" borderId="1" xfId="0" applyNumberFormat="1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/>
    <xf numFmtId="0" fontId="17" fillId="0" borderId="1" xfId="0" applyFont="1" applyBorder="1"/>
    <xf numFmtId="0" fontId="11" fillId="0" borderId="1" xfId="0" applyFont="1" applyBorder="1"/>
    <xf numFmtId="0" fontId="18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0" fillId="0" borderId="1" xfId="0" quotePrefix="1" applyFont="1" applyBorder="1" applyAlignment="1">
      <alignment horizontal="center"/>
    </xf>
    <xf numFmtId="1" fontId="0" fillId="0" borderId="1" xfId="0" applyNumberFormat="1" applyBorder="1"/>
    <xf numFmtId="164" fontId="0" fillId="0" borderId="1" xfId="0" applyNumberFormat="1" applyBorder="1"/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right"/>
    </xf>
    <xf numFmtId="49" fontId="5" fillId="0" borderId="1" xfId="0" applyNumberFormat="1" applyFont="1" applyBorder="1" applyAlignment="1">
      <alignment horizontal="center"/>
    </xf>
    <xf numFmtId="0" fontId="5" fillId="0" borderId="0" xfId="0" applyFont="1"/>
    <xf numFmtId="0" fontId="7" fillId="0" borderId="1" xfId="0" quotePrefix="1" applyFont="1" applyBorder="1" applyAlignment="1">
      <alignment horizontal="center"/>
    </xf>
    <xf numFmtId="9" fontId="7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46A3-EC72-4518-81FB-8BEE9A40F641}">
  <sheetPr codeName="Sheet5"/>
  <dimension ref="A1:AD869"/>
  <sheetViews>
    <sheetView workbookViewId="0">
      <selection activeCell="N10" sqref="N10"/>
    </sheetView>
  </sheetViews>
  <sheetFormatPr defaultRowHeight="14.4"/>
  <sheetData>
    <row r="1" spans="1:3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>
      <c r="A2">
        <v>311.04387573943012</v>
      </c>
      <c r="B2">
        <v>8.4</v>
      </c>
      <c r="C2">
        <v>25.920322978285839</v>
      </c>
      <c r="D2">
        <v>483.51600000000008</v>
      </c>
      <c r="E2">
        <v>695.05394190871368</v>
      </c>
      <c r="F2">
        <v>302.19749999999999</v>
      </c>
      <c r="G2">
        <v>60.439500000000002</v>
      </c>
      <c r="H2">
        <v>96</v>
      </c>
      <c r="I2">
        <v>110</v>
      </c>
      <c r="J2">
        <v>27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60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30">
      <c r="A3">
        <v>350.25959873923119</v>
      </c>
      <c r="B3">
        <v>11.144</v>
      </c>
      <c r="C3">
        <v>22.00123107658488</v>
      </c>
      <c r="D3">
        <v>524.77200000000005</v>
      </c>
      <c r="E3">
        <v>689.92531120331955</v>
      </c>
      <c r="F3">
        <v>553.86</v>
      </c>
      <c r="G3">
        <v>67.964399999999998</v>
      </c>
      <c r="H3">
        <v>163</v>
      </c>
      <c r="I3">
        <v>63</v>
      </c>
      <c r="J3">
        <v>8</v>
      </c>
      <c r="K3">
        <v>40</v>
      </c>
      <c r="L3">
        <v>55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60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30">
      <c r="A4">
        <v>314.14884545719133</v>
      </c>
      <c r="B4">
        <v>10.5</v>
      </c>
      <c r="C4">
        <v>20.94325636381275</v>
      </c>
      <c r="D4">
        <v>483.96</v>
      </c>
      <c r="E4">
        <v>662.14107883817428</v>
      </c>
      <c r="F4">
        <v>241.98</v>
      </c>
      <c r="G4">
        <v>60.494999999999997</v>
      </c>
      <c r="H4">
        <v>22</v>
      </c>
      <c r="I4">
        <v>109</v>
      </c>
      <c r="J4">
        <v>2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60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30">
      <c r="A5">
        <v>383.44721772978693</v>
      </c>
      <c r="B5">
        <v>14</v>
      </c>
      <c r="C5">
        <v>19.17236088648934</v>
      </c>
      <c r="D5">
        <v>371.036</v>
      </c>
      <c r="E5">
        <v>680.23236514522819</v>
      </c>
      <c r="F5">
        <v>222.6216</v>
      </c>
      <c r="G5">
        <v>74.207200000000014</v>
      </c>
      <c r="H5">
        <v>52</v>
      </c>
      <c r="I5">
        <v>109</v>
      </c>
      <c r="J5">
        <v>8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60</v>
      </c>
      <c r="S5">
        <v>700</v>
      </c>
      <c r="T5">
        <v>475</v>
      </c>
      <c r="U5">
        <v>275</v>
      </c>
      <c r="V5">
        <v>370</v>
      </c>
      <c r="W5">
        <v>155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>
      <c r="A6">
        <v>370.68970064763653</v>
      </c>
      <c r="B6">
        <v>14.410666666666669</v>
      </c>
      <c r="C6">
        <v>18.006300225759549</v>
      </c>
      <c r="D6">
        <v>556.65</v>
      </c>
      <c r="E6">
        <v>688.26251041781143</v>
      </c>
      <c r="F6">
        <v>493.29</v>
      </c>
      <c r="G6">
        <v>71.896000000000001</v>
      </c>
      <c r="H6">
        <v>164</v>
      </c>
      <c r="I6">
        <v>55</v>
      </c>
      <c r="J6">
        <v>5</v>
      </c>
      <c r="K6">
        <v>40</v>
      </c>
      <c r="L6">
        <v>65</v>
      </c>
      <c r="M6">
        <v>5</v>
      </c>
      <c r="N6">
        <v>1995</v>
      </c>
      <c r="O6">
        <v>0.27</v>
      </c>
      <c r="P6">
        <v>2.4700000000000002</v>
      </c>
      <c r="Q6">
        <v>1.4999999999999999E-2</v>
      </c>
      <c r="R6">
        <v>60</v>
      </c>
      <c r="S6">
        <v>700</v>
      </c>
      <c r="T6">
        <v>475</v>
      </c>
      <c r="U6">
        <v>275</v>
      </c>
      <c r="V6">
        <v>370</v>
      </c>
      <c r="W6">
        <v>155</v>
      </c>
      <c r="Z6">
        <v>372</v>
      </c>
      <c r="AA6">
        <v>10.01</v>
      </c>
      <c r="AB6">
        <v>315</v>
      </c>
      <c r="AC6">
        <v>90000</v>
      </c>
      <c r="AD6">
        <v>50000</v>
      </c>
    </row>
    <row r="7" spans="1:30">
      <c r="A7">
        <v>340.34455966306791</v>
      </c>
      <c r="B7">
        <v>13.48263636363636</v>
      </c>
      <c r="C7">
        <v>17.67022304381813</v>
      </c>
      <c r="D7">
        <v>548.06399999999996</v>
      </c>
      <c r="E7">
        <v>690.87440812155864</v>
      </c>
      <c r="F7">
        <v>484.70400000000001</v>
      </c>
      <c r="G7">
        <v>66.057600000000008</v>
      </c>
      <c r="H7">
        <v>95</v>
      </c>
      <c r="I7">
        <v>56</v>
      </c>
      <c r="J7">
        <v>5</v>
      </c>
      <c r="K7">
        <v>40</v>
      </c>
      <c r="L7">
        <v>64</v>
      </c>
      <c r="M7">
        <v>5</v>
      </c>
      <c r="N7">
        <v>1995</v>
      </c>
      <c r="O7">
        <v>0.27</v>
      </c>
      <c r="P7">
        <v>2.4700000000000002</v>
      </c>
      <c r="Q7">
        <v>1.4999999999999999E-2</v>
      </c>
      <c r="R7">
        <v>60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30">
      <c r="A8">
        <v>334.42172392480558</v>
      </c>
      <c r="B8">
        <v>14</v>
      </c>
      <c r="C8">
        <v>16.721086196240279</v>
      </c>
      <c r="D8">
        <v>2602.1952000000001</v>
      </c>
      <c r="E8">
        <v>699.16182572614116</v>
      </c>
      <c r="F8">
        <v>195.16463999999999</v>
      </c>
      <c r="G8">
        <v>65.054880000000011</v>
      </c>
      <c r="H8">
        <v>161</v>
      </c>
      <c r="I8">
        <v>111</v>
      </c>
      <c r="J8">
        <v>33</v>
      </c>
      <c r="K8">
        <v>0</v>
      </c>
      <c r="L8">
        <v>0</v>
      </c>
      <c r="M8">
        <v>0</v>
      </c>
      <c r="N8">
        <v>1995</v>
      </c>
      <c r="O8">
        <v>0.27</v>
      </c>
      <c r="P8">
        <v>2.4700000000000002</v>
      </c>
      <c r="Q8">
        <v>1.4999999999999999E-2</v>
      </c>
      <c r="R8">
        <v>60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30">
      <c r="A9">
        <v>319.39540421019018</v>
      </c>
      <c r="B9">
        <v>14</v>
      </c>
      <c r="C9">
        <v>15.969770210509511</v>
      </c>
      <c r="D9">
        <v>483.96</v>
      </c>
      <c r="E9">
        <v>602.4398340248963</v>
      </c>
      <c r="F9">
        <v>181.48500000000001</v>
      </c>
      <c r="G9">
        <v>60.494999999999997</v>
      </c>
      <c r="H9">
        <v>9</v>
      </c>
      <c r="I9">
        <v>109</v>
      </c>
      <c r="J9">
        <v>2</v>
      </c>
      <c r="K9">
        <v>0</v>
      </c>
      <c r="L9">
        <v>0</v>
      </c>
      <c r="M9">
        <v>0</v>
      </c>
      <c r="N9">
        <v>1995</v>
      </c>
      <c r="O9">
        <v>0.27</v>
      </c>
      <c r="P9">
        <v>2.4700000000000002</v>
      </c>
      <c r="Q9">
        <v>1.4999999999999999E-2</v>
      </c>
      <c r="R9">
        <v>60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30">
      <c r="A10">
        <v>315.79623083168531</v>
      </c>
      <c r="B10">
        <v>14</v>
      </c>
      <c r="C10">
        <v>15.789811541584269</v>
      </c>
      <c r="D10">
        <v>483.072</v>
      </c>
      <c r="E10">
        <v>636.54771784232366</v>
      </c>
      <c r="F10">
        <v>181.15199999999999</v>
      </c>
      <c r="G10">
        <v>60.384</v>
      </c>
      <c r="H10">
        <v>6</v>
      </c>
      <c r="I10">
        <v>102</v>
      </c>
      <c r="J10">
        <v>4</v>
      </c>
      <c r="K10">
        <v>0</v>
      </c>
      <c r="L10">
        <v>0</v>
      </c>
      <c r="M10">
        <v>0</v>
      </c>
      <c r="N10">
        <v>1995</v>
      </c>
      <c r="O10">
        <v>0.27</v>
      </c>
      <c r="P10">
        <v>2.4700000000000002</v>
      </c>
      <c r="Q10">
        <v>1.4999999999999999E-2</v>
      </c>
      <c r="R10">
        <v>60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30">
      <c r="A11">
        <v>347.45433504926018</v>
      </c>
      <c r="B11">
        <v>16.744</v>
      </c>
      <c r="C11">
        <v>14.52568290339717</v>
      </c>
      <c r="D11">
        <v>600.62</v>
      </c>
      <c r="E11">
        <v>687.93360995850617</v>
      </c>
      <c r="F11">
        <v>444.91800000000001</v>
      </c>
      <c r="G11">
        <v>67.383399999999995</v>
      </c>
      <c r="H11">
        <v>52</v>
      </c>
      <c r="I11">
        <v>56</v>
      </c>
      <c r="J11">
        <v>10</v>
      </c>
      <c r="K11">
        <v>40</v>
      </c>
      <c r="L11">
        <v>61</v>
      </c>
      <c r="M11">
        <v>5</v>
      </c>
      <c r="N11">
        <v>1995</v>
      </c>
      <c r="O11">
        <v>0.27</v>
      </c>
      <c r="P11">
        <v>2.4700000000000002</v>
      </c>
      <c r="Q11">
        <v>1.4999999999999999E-2</v>
      </c>
      <c r="R11">
        <v>60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30">
      <c r="A12">
        <v>340.65346460613608</v>
      </c>
      <c r="B12">
        <v>16.744</v>
      </c>
      <c r="C12">
        <v>14.2413655771796</v>
      </c>
      <c r="D12">
        <v>722.48832000000004</v>
      </c>
      <c r="E12">
        <v>684.68049792531122</v>
      </c>
      <c r="F12">
        <v>445.17311999999998</v>
      </c>
      <c r="G12">
        <v>66.005760000000009</v>
      </c>
      <c r="H12">
        <v>8</v>
      </c>
      <c r="I12">
        <v>54</v>
      </c>
      <c r="J12">
        <v>4</v>
      </c>
      <c r="K12">
        <v>40</v>
      </c>
      <c r="L12">
        <v>64</v>
      </c>
      <c r="M12">
        <v>5</v>
      </c>
      <c r="N12">
        <v>1995</v>
      </c>
      <c r="O12">
        <v>0.27</v>
      </c>
      <c r="P12">
        <v>2.4700000000000002</v>
      </c>
      <c r="Q12">
        <v>1.4999999999999999E-2</v>
      </c>
      <c r="R12">
        <v>60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30">
      <c r="A13">
        <v>333.85315712082468</v>
      </c>
      <c r="B13">
        <v>16.744</v>
      </c>
      <c r="C13">
        <v>13.957071785987649</v>
      </c>
      <c r="D13">
        <v>593.40599999999995</v>
      </c>
      <c r="E13">
        <v>687.05726141078844</v>
      </c>
      <c r="F13">
        <v>442.53</v>
      </c>
      <c r="G13">
        <v>64.730159999999998</v>
      </c>
      <c r="H13">
        <v>53</v>
      </c>
      <c r="I13">
        <v>60</v>
      </c>
      <c r="J13">
        <v>9</v>
      </c>
      <c r="K13">
        <v>40</v>
      </c>
      <c r="L13">
        <v>52</v>
      </c>
      <c r="M13">
        <v>6</v>
      </c>
      <c r="N13">
        <v>1995</v>
      </c>
      <c r="O13">
        <v>0.27</v>
      </c>
      <c r="P13">
        <v>2.4700000000000002</v>
      </c>
      <c r="Q13">
        <v>1.4999999999999999E-2</v>
      </c>
      <c r="R13">
        <v>60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30">
      <c r="A14">
        <v>408.67949197084567</v>
      </c>
      <c r="B14">
        <v>21</v>
      </c>
      <c r="C14">
        <v>13.622649732361531</v>
      </c>
      <c r="D14">
        <v>371.42399999999998</v>
      </c>
      <c r="E14">
        <v>620.12614107883826</v>
      </c>
      <c r="F14">
        <v>155.57759999999999</v>
      </c>
      <c r="G14">
        <v>77.788799999999995</v>
      </c>
      <c r="H14">
        <v>39</v>
      </c>
      <c r="I14">
        <v>111</v>
      </c>
      <c r="J14">
        <v>6</v>
      </c>
      <c r="K14">
        <v>0</v>
      </c>
      <c r="L14">
        <v>0</v>
      </c>
      <c r="M14">
        <v>0</v>
      </c>
      <c r="N14">
        <v>1995</v>
      </c>
      <c r="O14">
        <v>0.27</v>
      </c>
      <c r="P14">
        <v>2.4700000000000002</v>
      </c>
      <c r="Q14">
        <v>1.4999999999999999E-2</v>
      </c>
      <c r="R14">
        <v>60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30">
      <c r="A15">
        <v>325.80157100222391</v>
      </c>
      <c r="B15">
        <v>16.744</v>
      </c>
      <c r="C15">
        <v>13.62046701514314</v>
      </c>
      <c r="D15">
        <v>699.84</v>
      </c>
      <c r="E15">
        <v>686.24896265560164</v>
      </c>
      <c r="F15">
        <v>436.68</v>
      </c>
      <c r="G15">
        <v>63.155099999999997</v>
      </c>
      <c r="H15">
        <v>9</v>
      </c>
      <c r="I15">
        <v>51</v>
      </c>
      <c r="J15">
        <v>3</v>
      </c>
      <c r="K15">
        <v>40</v>
      </c>
      <c r="L15">
        <v>64</v>
      </c>
      <c r="M15">
        <v>5</v>
      </c>
      <c r="N15">
        <v>1995</v>
      </c>
      <c r="O15">
        <v>0.27</v>
      </c>
      <c r="P15">
        <v>2.4700000000000002</v>
      </c>
      <c r="Q15">
        <v>1.4999999999999999E-2</v>
      </c>
      <c r="R15">
        <v>60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30">
      <c r="A16">
        <v>344.61600923445172</v>
      </c>
      <c r="B16">
        <v>18.899999999999999</v>
      </c>
      <c r="C16">
        <v>12.76355589757229</v>
      </c>
      <c r="D16">
        <v>429.57</v>
      </c>
      <c r="E16">
        <v>690.37344398340247</v>
      </c>
      <c r="F16">
        <v>288.60000000000002</v>
      </c>
      <c r="G16">
        <v>66.877499999999998</v>
      </c>
      <c r="H16">
        <v>22</v>
      </c>
      <c r="I16">
        <v>55</v>
      </c>
      <c r="J16">
        <v>3</v>
      </c>
      <c r="K16">
        <v>163</v>
      </c>
      <c r="L16">
        <v>57</v>
      </c>
      <c r="M16">
        <v>4</v>
      </c>
      <c r="N16">
        <v>1995</v>
      </c>
      <c r="O16">
        <v>0.27</v>
      </c>
      <c r="P16">
        <v>2.4700000000000002</v>
      </c>
      <c r="Q16">
        <v>1.4999999999999999E-2</v>
      </c>
      <c r="R16">
        <v>60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386.26385266874843</v>
      </c>
      <c r="B17">
        <v>22.4</v>
      </c>
      <c r="C17">
        <v>12.07074539589839</v>
      </c>
      <c r="D17">
        <v>490.07040000000001</v>
      </c>
      <c r="E17">
        <v>689.83402489626565</v>
      </c>
      <c r="F17">
        <v>264.06639999999999</v>
      </c>
      <c r="G17">
        <v>74.948800000000006</v>
      </c>
      <c r="H17">
        <v>8</v>
      </c>
      <c r="I17">
        <v>51</v>
      </c>
      <c r="J17">
        <v>5</v>
      </c>
      <c r="K17">
        <v>163</v>
      </c>
      <c r="L17">
        <v>58</v>
      </c>
      <c r="M17">
        <v>4</v>
      </c>
      <c r="N17">
        <v>1995</v>
      </c>
      <c r="O17">
        <v>0.27</v>
      </c>
      <c r="P17">
        <v>2.4700000000000002</v>
      </c>
      <c r="Q17">
        <v>1.4999999999999999E-2</v>
      </c>
      <c r="R17">
        <v>60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318.42403522903982</v>
      </c>
      <c r="B18">
        <v>18.899999999999999</v>
      </c>
      <c r="C18">
        <v>11.79348278626073</v>
      </c>
      <c r="D18">
        <v>494.03879999999998</v>
      </c>
      <c r="E18">
        <v>688.01825726141078</v>
      </c>
      <c r="F18">
        <v>268.81425000000002</v>
      </c>
      <c r="G18">
        <v>61.754849999999998</v>
      </c>
      <c r="H18">
        <v>22</v>
      </c>
      <c r="I18">
        <v>48</v>
      </c>
      <c r="J18">
        <v>3</v>
      </c>
      <c r="K18">
        <v>96</v>
      </c>
      <c r="L18">
        <v>63</v>
      </c>
      <c r="M18">
        <v>17</v>
      </c>
      <c r="N18">
        <v>1995</v>
      </c>
      <c r="O18">
        <v>0.27</v>
      </c>
      <c r="P18">
        <v>2.4700000000000002</v>
      </c>
      <c r="Q18">
        <v>1.4999999999999999E-2</v>
      </c>
      <c r="R18">
        <v>60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312.47127791788711</v>
      </c>
      <c r="B19">
        <v>18.899999999999999</v>
      </c>
      <c r="C19">
        <v>11.573010293255081</v>
      </c>
      <c r="D19">
        <v>423.048</v>
      </c>
      <c r="E19">
        <v>690.02489626556007</v>
      </c>
      <c r="F19">
        <v>263.20800000000003</v>
      </c>
      <c r="G19">
        <v>60.633600000000001</v>
      </c>
      <c r="H19">
        <v>22</v>
      </c>
      <c r="I19">
        <v>48</v>
      </c>
      <c r="J19">
        <v>3</v>
      </c>
      <c r="K19">
        <v>57</v>
      </c>
      <c r="L19">
        <v>59</v>
      </c>
      <c r="M19">
        <v>6</v>
      </c>
      <c r="N19">
        <v>1995</v>
      </c>
      <c r="O19">
        <v>0.27</v>
      </c>
      <c r="P19">
        <v>2.4700000000000002</v>
      </c>
      <c r="Q19">
        <v>1.4999999999999999E-2</v>
      </c>
      <c r="R19">
        <v>60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368.70075196244272</v>
      </c>
      <c r="B20">
        <v>22.4</v>
      </c>
      <c r="C20">
        <v>11.52189849882633</v>
      </c>
      <c r="D20">
        <v>1059.2952</v>
      </c>
      <c r="E20">
        <v>681.76763485477181</v>
      </c>
      <c r="F20">
        <v>309.12464</v>
      </c>
      <c r="G20">
        <v>71.383359999999996</v>
      </c>
      <c r="H20">
        <v>163</v>
      </c>
      <c r="I20">
        <v>52</v>
      </c>
      <c r="J20">
        <v>10</v>
      </c>
      <c r="K20">
        <v>161</v>
      </c>
      <c r="L20">
        <v>57</v>
      </c>
      <c r="M20">
        <v>23</v>
      </c>
      <c r="N20">
        <v>1995</v>
      </c>
      <c r="O20">
        <v>0.27</v>
      </c>
      <c r="P20">
        <v>2.4700000000000002</v>
      </c>
      <c r="Q20">
        <v>1.4999999999999999E-2</v>
      </c>
      <c r="R20">
        <v>60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382.91273181173432</v>
      </c>
      <c r="B21">
        <v>23.744</v>
      </c>
      <c r="C21">
        <v>11.288700819921409</v>
      </c>
      <c r="D21">
        <v>693.45119999999997</v>
      </c>
      <c r="E21">
        <v>687.24315352697101</v>
      </c>
      <c r="F21">
        <v>415.29039999999998</v>
      </c>
      <c r="G21">
        <v>74.245999999999995</v>
      </c>
      <c r="H21">
        <v>39</v>
      </c>
      <c r="I21">
        <v>58</v>
      </c>
      <c r="J21">
        <v>8</v>
      </c>
      <c r="K21">
        <v>40</v>
      </c>
      <c r="L21">
        <v>62</v>
      </c>
      <c r="M21">
        <v>5</v>
      </c>
      <c r="N21">
        <v>1995</v>
      </c>
      <c r="O21">
        <v>0.27</v>
      </c>
      <c r="P21">
        <v>2.4700000000000002</v>
      </c>
      <c r="Q21">
        <v>1.4999999999999999E-2</v>
      </c>
      <c r="R21">
        <v>60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359.14233555225059</v>
      </c>
      <c r="B22">
        <v>22.4</v>
      </c>
      <c r="C22">
        <v>11.223197986007831</v>
      </c>
      <c r="D22">
        <v>414.5924</v>
      </c>
      <c r="E22">
        <v>690.29543568464726</v>
      </c>
      <c r="F22">
        <v>253.16325000000001</v>
      </c>
      <c r="G22">
        <v>69.695050000000009</v>
      </c>
      <c r="H22">
        <v>52</v>
      </c>
      <c r="I22">
        <v>56</v>
      </c>
      <c r="J22">
        <v>10</v>
      </c>
      <c r="K22">
        <v>96</v>
      </c>
      <c r="L22">
        <v>57</v>
      </c>
      <c r="M22">
        <v>19</v>
      </c>
      <c r="N22">
        <v>1995</v>
      </c>
      <c r="O22">
        <v>0.27</v>
      </c>
      <c r="P22">
        <v>2.4700000000000002</v>
      </c>
      <c r="Q22">
        <v>1.4999999999999999E-2</v>
      </c>
      <c r="R22">
        <v>60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355.69102630346651</v>
      </c>
      <c r="B23">
        <v>22.4</v>
      </c>
      <c r="C23">
        <v>11.11534457198333</v>
      </c>
      <c r="D23">
        <v>545.49</v>
      </c>
      <c r="E23">
        <v>690.29543568464726</v>
      </c>
      <c r="F23">
        <v>248.63685000000001</v>
      </c>
      <c r="G23">
        <v>69.025290000000012</v>
      </c>
      <c r="H23">
        <v>8</v>
      </c>
      <c r="I23">
        <v>56</v>
      </c>
      <c r="J23">
        <v>4</v>
      </c>
      <c r="K23">
        <v>96</v>
      </c>
      <c r="L23">
        <v>57</v>
      </c>
      <c r="M23">
        <v>19</v>
      </c>
      <c r="N23">
        <v>1995</v>
      </c>
      <c r="O23">
        <v>0.27</v>
      </c>
      <c r="P23">
        <v>2.4700000000000002</v>
      </c>
      <c r="Q23">
        <v>1.4999999999999999E-2</v>
      </c>
      <c r="R23">
        <v>60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351.692316187188</v>
      </c>
      <c r="B24">
        <v>22.166666666666661</v>
      </c>
      <c r="C24">
        <v>11.10607314275331</v>
      </c>
      <c r="D24">
        <v>376.81200000000001</v>
      </c>
      <c r="E24">
        <v>690.7622370279953</v>
      </c>
      <c r="F24">
        <v>251.42400000000001</v>
      </c>
      <c r="G24">
        <v>68.257999999999996</v>
      </c>
      <c r="H24">
        <v>164</v>
      </c>
      <c r="I24">
        <v>64</v>
      </c>
      <c r="J24">
        <v>4</v>
      </c>
      <c r="K24">
        <v>147</v>
      </c>
      <c r="L24">
        <v>43</v>
      </c>
      <c r="M24">
        <v>3</v>
      </c>
      <c r="N24">
        <v>1995</v>
      </c>
      <c r="O24">
        <v>0.27</v>
      </c>
      <c r="P24">
        <v>2.4700000000000002</v>
      </c>
      <c r="Q24">
        <v>1.4999999999999999E-2</v>
      </c>
      <c r="R24">
        <v>60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354.85094299544159</v>
      </c>
      <c r="B25">
        <v>22.4</v>
      </c>
      <c r="C25">
        <v>11.08909196860755</v>
      </c>
      <c r="D25">
        <v>439.78199999999998</v>
      </c>
      <c r="E25">
        <v>691.98340248962654</v>
      </c>
      <c r="F25">
        <v>246.642</v>
      </c>
      <c r="G25">
        <v>68.894000000000005</v>
      </c>
      <c r="H25">
        <v>6</v>
      </c>
      <c r="I25">
        <v>53</v>
      </c>
      <c r="J25">
        <v>6</v>
      </c>
      <c r="K25">
        <v>163</v>
      </c>
      <c r="L25">
        <v>59</v>
      </c>
      <c r="M25">
        <v>4</v>
      </c>
      <c r="N25">
        <v>1995</v>
      </c>
      <c r="O25">
        <v>0.27</v>
      </c>
      <c r="P25">
        <v>2.4700000000000002</v>
      </c>
      <c r="Q25">
        <v>1.4999999999999999E-2</v>
      </c>
      <c r="R25">
        <v>60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349.44927111553949</v>
      </c>
      <c r="B26">
        <v>22.166666666666661</v>
      </c>
      <c r="C26">
        <v>11.035240140490719</v>
      </c>
      <c r="D26">
        <v>442.22399999999999</v>
      </c>
      <c r="E26">
        <v>684.67754373774346</v>
      </c>
      <c r="F26">
        <v>259.07400000000001</v>
      </c>
      <c r="G26">
        <v>67.709999999999994</v>
      </c>
      <c r="H26">
        <v>22</v>
      </c>
      <c r="I26">
        <v>56</v>
      </c>
      <c r="J26">
        <v>3</v>
      </c>
      <c r="K26">
        <v>164</v>
      </c>
      <c r="L26">
        <v>57</v>
      </c>
      <c r="M26">
        <v>2</v>
      </c>
      <c r="N26">
        <v>1995</v>
      </c>
      <c r="O26">
        <v>0.27</v>
      </c>
      <c r="P26">
        <v>2.4700000000000002</v>
      </c>
      <c r="Q26">
        <v>1.4999999999999999E-2</v>
      </c>
      <c r="R26">
        <v>60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349.26607984809272</v>
      </c>
      <c r="B27">
        <v>22.400000000000009</v>
      </c>
      <c r="C27">
        <v>10.914564995252899</v>
      </c>
      <c r="D27">
        <v>451.548</v>
      </c>
      <c r="E27">
        <v>691.39419087136935</v>
      </c>
      <c r="F27">
        <v>295.43759999999997</v>
      </c>
      <c r="G27">
        <v>67.7988</v>
      </c>
      <c r="H27">
        <v>163</v>
      </c>
      <c r="I27">
        <v>56</v>
      </c>
      <c r="J27">
        <v>9</v>
      </c>
      <c r="K27">
        <v>143</v>
      </c>
      <c r="L27">
        <v>53</v>
      </c>
      <c r="M27">
        <v>9</v>
      </c>
      <c r="N27">
        <v>1995</v>
      </c>
      <c r="O27">
        <v>0.27</v>
      </c>
      <c r="P27">
        <v>2.4700000000000002</v>
      </c>
      <c r="Q27">
        <v>1.4999999999999999E-2</v>
      </c>
      <c r="R27">
        <v>60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347.4795957069594</v>
      </c>
      <c r="B28">
        <v>22.4</v>
      </c>
      <c r="C28">
        <v>10.85873736584248</v>
      </c>
      <c r="D28">
        <v>475.46560000000011</v>
      </c>
      <c r="E28">
        <v>688.82987551867222</v>
      </c>
      <c r="F28">
        <v>244.7296</v>
      </c>
      <c r="G28">
        <v>67.404800000000009</v>
      </c>
      <c r="H28">
        <v>8</v>
      </c>
      <c r="I28">
        <v>55</v>
      </c>
      <c r="J28">
        <v>4</v>
      </c>
      <c r="K28">
        <v>57</v>
      </c>
      <c r="L28">
        <v>52</v>
      </c>
      <c r="M28">
        <v>7</v>
      </c>
      <c r="N28">
        <v>1995</v>
      </c>
      <c r="O28">
        <v>0.27</v>
      </c>
      <c r="P28">
        <v>2.4700000000000002</v>
      </c>
      <c r="Q28">
        <v>1.4999999999999999E-2</v>
      </c>
      <c r="R28">
        <v>60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397.94432184865741</v>
      </c>
      <c r="B29">
        <v>25.666666666666661</v>
      </c>
      <c r="C29">
        <v>10.85302695950884</v>
      </c>
      <c r="D29">
        <v>370.96199999999999</v>
      </c>
      <c r="E29">
        <v>690.01317507588533</v>
      </c>
      <c r="F29">
        <v>257.74200000000002</v>
      </c>
      <c r="G29">
        <v>77.218999999999994</v>
      </c>
      <c r="H29">
        <v>164</v>
      </c>
      <c r="I29">
        <v>59</v>
      </c>
      <c r="J29">
        <v>5</v>
      </c>
      <c r="K29">
        <v>6</v>
      </c>
      <c r="L29">
        <v>51</v>
      </c>
      <c r="M29">
        <v>3</v>
      </c>
      <c r="N29">
        <v>1995</v>
      </c>
      <c r="O29">
        <v>0.27</v>
      </c>
      <c r="P29">
        <v>2.4700000000000002</v>
      </c>
      <c r="Q29">
        <v>1.4999999999999999E-2</v>
      </c>
      <c r="R29">
        <v>60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347.26232699632902</v>
      </c>
      <c r="B30">
        <v>22.4</v>
      </c>
      <c r="C30">
        <v>10.85194771863528</v>
      </c>
      <c r="D30">
        <v>403.18740000000003</v>
      </c>
      <c r="E30">
        <v>691.62323651452277</v>
      </c>
      <c r="F30">
        <v>246.32024999999999</v>
      </c>
      <c r="G30">
        <v>67.414050000000003</v>
      </c>
      <c r="H30">
        <v>53</v>
      </c>
      <c r="I30">
        <v>55</v>
      </c>
      <c r="J30">
        <v>10</v>
      </c>
      <c r="K30">
        <v>96</v>
      </c>
      <c r="L30">
        <v>57</v>
      </c>
      <c r="M30">
        <v>19</v>
      </c>
      <c r="N30">
        <v>1995</v>
      </c>
      <c r="O30">
        <v>0.27</v>
      </c>
      <c r="P30">
        <v>2.4700000000000002</v>
      </c>
      <c r="Q30">
        <v>1.4999999999999999E-2</v>
      </c>
      <c r="R30">
        <v>60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395.3961253121804</v>
      </c>
      <c r="B31">
        <v>25.666666666666661</v>
      </c>
      <c r="C31">
        <v>10.78353069033219</v>
      </c>
      <c r="D31">
        <v>495.44400000000007</v>
      </c>
      <c r="E31">
        <v>690.6367680314313</v>
      </c>
      <c r="F31">
        <v>233.244</v>
      </c>
      <c r="G31">
        <v>76.7376</v>
      </c>
      <c r="H31">
        <v>8</v>
      </c>
      <c r="I31">
        <v>52</v>
      </c>
      <c r="J31">
        <v>5</v>
      </c>
      <c r="K31">
        <v>164</v>
      </c>
      <c r="L31">
        <v>60</v>
      </c>
      <c r="M31">
        <v>2</v>
      </c>
      <c r="N31">
        <v>1995</v>
      </c>
      <c r="O31">
        <v>0.27</v>
      </c>
      <c r="P31">
        <v>2.4700000000000002</v>
      </c>
      <c r="Q31">
        <v>1.4999999999999999E-2</v>
      </c>
      <c r="R31">
        <v>60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361.82066377219292</v>
      </c>
      <c r="B32">
        <v>23.744</v>
      </c>
      <c r="C32">
        <v>10.66688277630286</v>
      </c>
      <c r="D32">
        <v>520.58879999999999</v>
      </c>
      <c r="E32">
        <v>687.2697095435683</v>
      </c>
      <c r="F32">
        <v>410.41919999999999</v>
      </c>
      <c r="G32">
        <v>70.156800000000004</v>
      </c>
      <c r="H32">
        <v>54</v>
      </c>
      <c r="I32">
        <v>56</v>
      </c>
      <c r="J32">
        <v>4</v>
      </c>
      <c r="K32">
        <v>40</v>
      </c>
      <c r="L32">
        <v>64</v>
      </c>
      <c r="M32">
        <v>5</v>
      </c>
      <c r="N32">
        <v>1995</v>
      </c>
      <c r="O32">
        <v>0.27</v>
      </c>
      <c r="P32">
        <v>2.4700000000000002</v>
      </c>
      <c r="Q32">
        <v>1.4999999999999999E-2</v>
      </c>
      <c r="R32">
        <v>60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340.86098737785647</v>
      </c>
      <c r="B33">
        <v>22.4</v>
      </c>
      <c r="C33">
        <v>10.65190585555802</v>
      </c>
      <c r="D33">
        <v>409.36800000000011</v>
      </c>
      <c r="E33">
        <v>692.8215767634855</v>
      </c>
      <c r="F33">
        <v>233.803</v>
      </c>
      <c r="G33">
        <v>66.192999999999998</v>
      </c>
      <c r="H33">
        <v>7</v>
      </c>
      <c r="I33">
        <v>53</v>
      </c>
      <c r="J33">
        <v>5</v>
      </c>
      <c r="K33">
        <v>163</v>
      </c>
      <c r="L33">
        <v>57</v>
      </c>
      <c r="M33">
        <v>4</v>
      </c>
      <c r="N33">
        <v>1995</v>
      </c>
      <c r="O33">
        <v>0.27</v>
      </c>
      <c r="P33">
        <v>2.4700000000000002</v>
      </c>
      <c r="Q33">
        <v>1.4999999999999999E-2</v>
      </c>
      <c r="R33">
        <v>60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390.47044873766743</v>
      </c>
      <c r="B34">
        <v>25.666666666666671</v>
      </c>
      <c r="C34">
        <v>10.649194056481839</v>
      </c>
      <c r="D34">
        <v>1104.8052</v>
      </c>
      <c r="E34">
        <v>681.85153569290651</v>
      </c>
      <c r="F34">
        <v>258.43464</v>
      </c>
      <c r="G34">
        <v>75.599879999999999</v>
      </c>
      <c r="H34">
        <v>164</v>
      </c>
      <c r="I34">
        <v>57</v>
      </c>
      <c r="J34">
        <v>5</v>
      </c>
      <c r="K34">
        <v>161</v>
      </c>
      <c r="L34">
        <v>56</v>
      </c>
      <c r="M34">
        <v>23</v>
      </c>
      <c r="N34">
        <v>1995</v>
      </c>
      <c r="O34">
        <v>0.27</v>
      </c>
      <c r="P34">
        <v>2.4700000000000002</v>
      </c>
      <c r="Q34">
        <v>1.4999999999999999E-2</v>
      </c>
      <c r="R34">
        <v>60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340.56723814189161</v>
      </c>
      <c r="B35">
        <v>22.4</v>
      </c>
      <c r="C35">
        <v>10.642726191934109</v>
      </c>
      <c r="D35">
        <v>446.00832000000003</v>
      </c>
      <c r="E35">
        <v>687.7344398340249</v>
      </c>
      <c r="F35">
        <v>232.05312000000001</v>
      </c>
      <c r="G35">
        <v>66.044160000000005</v>
      </c>
      <c r="H35">
        <v>8</v>
      </c>
      <c r="I35">
        <v>54</v>
      </c>
      <c r="J35">
        <v>4</v>
      </c>
      <c r="K35">
        <v>295</v>
      </c>
      <c r="L35">
        <v>60</v>
      </c>
      <c r="M35">
        <v>6</v>
      </c>
      <c r="N35">
        <v>1995</v>
      </c>
      <c r="O35">
        <v>0.27</v>
      </c>
      <c r="P35">
        <v>2.4700000000000002</v>
      </c>
      <c r="Q35">
        <v>1.4999999999999999E-2</v>
      </c>
      <c r="R35">
        <v>60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359.95110705334702</v>
      </c>
      <c r="B36">
        <v>23.744</v>
      </c>
      <c r="C36">
        <v>10.61176612775197</v>
      </c>
      <c r="D36">
        <v>524.77200000000005</v>
      </c>
      <c r="E36">
        <v>687.37593360995857</v>
      </c>
      <c r="F36">
        <v>414</v>
      </c>
      <c r="G36">
        <v>69.796320000000009</v>
      </c>
      <c r="H36">
        <v>55</v>
      </c>
      <c r="I36">
        <v>66</v>
      </c>
      <c r="J36">
        <v>8</v>
      </c>
      <c r="K36">
        <v>40</v>
      </c>
      <c r="L36">
        <v>54</v>
      </c>
      <c r="M36">
        <v>6</v>
      </c>
      <c r="N36">
        <v>1995</v>
      </c>
      <c r="O36">
        <v>0.27</v>
      </c>
      <c r="P36">
        <v>2.4700000000000002</v>
      </c>
      <c r="Q36">
        <v>1.4999999999999999E-2</v>
      </c>
      <c r="R36">
        <v>60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338.42334303188738</v>
      </c>
      <c r="B37">
        <v>22.4</v>
      </c>
      <c r="C37">
        <v>10.575729469746481</v>
      </c>
      <c r="D37">
        <v>522.14400000000001</v>
      </c>
      <c r="E37">
        <v>688.06307053941907</v>
      </c>
      <c r="F37">
        <v>239.76</v>
      </c>
      <c r="G37">
        <v>65.634299999999996</v>
      </c>
      <c r="H37">
        <v>9</v>
      </c>
      <c r="I37">
        <v>52</v>
      </c>
      <c r="J37">
        <v>3</v>
      </c>
      <c r="K37">
        <v>96</v>
      </c>
      <c r="L37">
        <v>61</v>
      </c>
      <c r="M37">
        <v>18</v>
      </c>
      <c r="N37">
        <v>1995</v>
      </c>
      <c r="O37">
        <v>0.27</v>
      </c>
      <c r="P37">
        <v>2.4700000000000002</v>
      </c>
      <c r="Q37">
        <v>1.4999999999999999E-2</v>
      </c>
      <c r="R37">
        <v>60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384.33640637312419</v>
      </c>
      <c r="B38">
        <v>25.666666666666661</v>
      </c>
      <c r="C38">
        <v>10.481901991994301</v>
      </c>
      <c r="D38">
        <v>607.16999999999996</v>
      </c>
      <c r="E38">
        <v>687.0443885794167</v>
      </c>
      <c r="F38">
        <v>252.41399999999999</v>
      </c>
      <c r="G38">
        <v>74.518000000000001</v>
      </c>
      <c r="H38">
        <v>164</v>
      </c>
      <c r="I38">
        <v>58</v>
      </c>
      <c r="J38">
        <v>5</v>
      </c>
      <c r="K38">
        <v>2</v>
      </c>
      <c r="L38">
        <v>47</v>
      </c>
      <c r="M38">
        <v>4</v>
      </c>
      <c r="N38">
        <v>1995</v>
      </c>
      <c r="O38">
        <v>0.27</v>
      </c>
      <c r="P38">
        <v>2.4700000000000002</v>
      </c>
      <c r="Q38">
        <v>1.4999999999999999E-2</v>
      </c>
      <c r="R38">
        <v>60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332.85757474643322</v>
      </c>
      <c r="B39">
        <v>22.4</v>
      </c>
      <c r="C39">
        <v>10.40179921082604</v>
      </c>
      <c r="D39">
        <v>555.04440000000011</v>
      </c>
      <c r="E39">
        <v>687.71452282157679</v>
      </c>
      <c r="F39">
        <v>280.22615999999999</v>
      </c>
      <c r="G39">
        <v>64.548720000000003</v>
      </c>
      <c r="H39">
        <v>163</v>
      </c>
      <c r="I39">
        <v>52</v>
      </c>
      <c r="J39">
        <v>9</v>
      </c>
      <c r="K39">
        <v>162</v>
      </c>
      <c r="L39">
        <v>57</v>
      </c>
      <c r="M39">
        <v>14</v>
      </c>
      <c r="N39">
        <v>1995</v>
      </c>
      <c r="O39">
        <v>0.27</v>
      </c>
      <c r="P39">
        <v>2.4700000000000002</v>
      </c>
      <c r="Q39">
        <v>1.4999999999999999E-2</v>
      </c>
      <c r="R39">
        <v>60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331.61832352814912</v>
      </c>
      <c r="B40">
        <v>22.4</v>
      </c>
      <c r="C40">
        <v>10.36307261025466</v>
      </c>
      <c r="D40">
        <v>449.68799999999999</v>
      </c>
      <c r="E40">
        <v>688.03319502074692</v>
      </c>
      <c r="F40">
        <v>233.238</v>
      </c>
      <c r="G40">
        <v>64.313999999999993</v>
      </c>
      <c r="H40">
        <v>9</v>
      </c>
      <c r="I40">
        <v>52</v>
      </c>
      <c r="J40">
        <v>3</v>
      </c>
      <c r="K40">
        <v>57</v>
      </c>
      <c r="L40">
        <v>60</v>
      </c>
      <c r="M40">
        <v>6</v>
      </c>
      <c r="N40">
        <v>1995</v>
      </c>
      <c r="O40">
        <v>0.27</v>
      </c>
      <c r="P40">
        <v>2.4700000000000002</v>
      </c>
      <c r="Q40">
        <v>1.4999999999999999E-2</v>
      </c>
      <c r="R40">
        <v>60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373.76079655166592</v>
      </c>
      <c r="B41">
        <v>25.666666666666661</v>
      </c>
      <c r="C41">
        <v>10.19347626959089</v>
      </c>
      <c r="D41">
        <v>495.50400000000002</v>
      </c>
      <c r="E41">
        <v>689.69432759127926</v>
      </c>
      <c r="F41">
        <v>229.10400000000001</v>
      </c>
      <c r="G41">
        <v>72.52</v>
      </c>
      <c r="H41">
        <v>9</v>
      </c>
      <c r="I41">
        <v>48</v>
      </c>
      <c r="J41">
        <v>4</v>
      </c>
      <c r="K41">
        <v>164</v>
      </c>
      <c r="L41">
        <v>52</v>
      </c>
      <c r="M41">
        <v>2</v>
      </c>
      <c r="N41">
        <v>1995</v>
      </c>
      <c r="O41">
        <v>0.27</v>
      </c>
      <c r="P41">
        <v>2.4700000000000002</v>
      </c>
      <c r="Q41">
        <v>1.4999999999999999E-2</v>
      </c>
      <c r="R41">
        <v>60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325.8828856782917</v>
      </c>
      <c r="B42">
        <v>22.4</v>
      </c>
      <c r="C42">
        <v>10.183840177446619</v>
      </c>
      <c r="D42">
        <v>929.07</v>
      </c>
      <c r="E42">
        <v>683.41908713692942</v>
      </c>
      <c r="F42">
        <v>228.58600000000001</v>
      </c>
      <c r="G42">
        <v>63.122</v>
      </c>
      <c r="H42">
        <v>2</v>
      </c>
      <c r="I42">
        <v>56</v>
      </c>
      <c r="J42">
        <v>7</v>
      </c>
      <c r="K42">
        <v>163</v>
      </c>
      <c r="L42">
        <v>53</v>
      </c>
      <c r="M42">
        <v>4</v>
      </c>
      <c r="N42">
        <v>1995</v>
      </c>
      <c r="O42">
        <v>0.27</v>
      </c>
      <c r="P42">
        <v>2.4700000000000002</v>
      </c>
      <c r="Q42">
        <v>1.4999999999999999E-2</v>
      </c>
      <c r="R42">
        <v>60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342.60819441555111</v>
      </c>
      <c r="B43">
        <v>23.744</v>
      </c>
      <c r="C43">
        <v>10.100477429703741</v>
      </c>
      <c r="D43">
        <v>612.38800000000003</v>
      </c>
      <c r="E43">
        <v>688.37178423236514</v>
      </c>
      <c r="F43">
        <v>411.75040000000001</v>
      </c>
      <c r="G43">
        <v>66.451520000000002</v>
      </c>
      <c r="H43">
        <v>33</v>
      </c>
      <c r="I43">
        <v>58</v>
      </c>
      <c r="J43">
        <v>4</v>
      </c>
      <c r="K43">
        <v>40</v>
      </c>
      <c r="L43">
        <v>54</v>
      </c>
      <c r="M43">
        <v>6</v>
      </c>
      <c r="N43">
        <v>1995</v>
      </c>
      <c r="O43">
        <v>0.27</v>
      </c>
      <c r="P43">
        <v>2.4700000000000002</v>
      </c>
      <c r="Q43">
        <v>1.4999999999999999E-2</v>
      </c>
      <c r="R43">
        <v>60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342.60819441555111</v>
      </c>
      <c r="B44">
        <v>23.744</v>
      </c>
      <c r="C44">
        <v>10.100477429703741</v>
      </c>
      <c r="D44">
        <v>612.38800000000003</v>
      </c>
      <c r="E44">
        <v>688.37178423236514</v>
      </c>
      <c r="F44">
        <v>411.75040000000001</v>
      </c>
      <c r="G44">
        <v>66.451520000000002</v>
      </c>
      <c r="H44">
        <v>332</v>
      </c>
      <c r="I44">
        <v>58</v>
      </c>
      <c r="J44">
        <v>4</v>
      </c>
      <c r="K44">
        <v>40</v>
      </c>
      <c r="L44">
        <v>54</v>
      </c>
      <c r="M44">
        <v>6</v>
      </c>
      <c r="N44">
        <v>1995</v>
      </c>
      <c r="O44">
        <v>0.27</v>
      </c>
      <c r="P44">
        <v>2.4700000000000002</v>
      </c>
      <c r="Q44">
        <v>1.4999999999999999E-2</v>
      </c>
      <c r="R44">
        <v>60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356.70565850846708</v>
      </c>
      <c r="B45">
        <v>24.73863636363637</v>
      </c>
      <c r="C45">
        <v>10.09327908319778</v>
      </c>
      <c r="D45">
        <v>1095.5712000000001</v>
      </c>
      <c r="E45">
        <v>680.91388147346254</v>
      </c>
      <c r="F45">
        <v>249.20063999999999</v>
      </c>
      <c r="G45">
        <v>69.044880000000006</v>
      </c>
      <c r="H45">
        <v>95</v>
      </c>
      <c r="I45">
        <v>57</v>
      </c>
      <c r="J45">
        <v>5</v>
      </c>
      <c r="K45">
        <v>161</v>
      </c>
      <c r="L45">
        <v>56</v>
      </c>
      <c r="M45">
        <v>23</v>
      </c>
      <c r="N45">
        <v>1995</v>
      </c>
      <c r="O45">
        <v>0.27</v>
      </c>
      <c r="P45">
        <v>2.4700000000000002</v>
      </c>
      <c r="Q45">
        <v>1.4999999999999999E-2</v>
      </c>
      <c r="R45">
        <v>60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368.71455180561492</v>
      </c>
      <c r="B46">
        <v>25.666666666666671</v>
      </c>
      <c r="C46">
        <v>10.055851412880401</v>
      </c>
      <c r="D46">
        <v>478.85399999999998</v>
      </c>
      <c r="E46">
        <v>686.40358925598571</v>
      </c>
      <c r="F46">
        <v>231.63480000000001</v>
      </c>
      <c r="G46">
        <v>71.476600000000005</v>
      </c>
      <c r="H46">
        <v>164</v>
      </c>
      <c r="I46">
        <v>55</v>
      </c>
      <c r="J46">
        <v>5</v>
      </c>
      <c r="K46">
        <v>143</v>
      </c>
      <c r="L46">
        <v>58</v>
      </c>
      <c r="M46">
        <v>8</v>
      </c>
      <c r="N46">
        <v>1995</v>
      </c>
      <c r="O46">
        <v>0.27</v>
      </c>
      <c r="P46">
        <v>2.4700000000000002</v>
      </c>
      <c r="Q46">
        <v>1.4999999999999999E-2</v>
      </c>
      <c r="R46">
        <v>60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418.58990066428231</v>
      </c>
      <c r="B47">
        <v>29.4</v>
      </c>
      <c r="C47">
        <v>9.966426206292434</v>
      </c>
      <c r="D47">
        <v>421.67039999999997</v>
      </c>
      <c r="E47">
        <v>663.55684647302905</v>
      </c>
      <c r="F47">
        <v>223.43680000000001</v>
      </c>
      <c r="G47">
        <v>80.63839999999999</v>
      </c>
      <c r="H47">
        <v>39</v>
      </c>
      <c r="I47">
        <v>57</v>
      </c>
      <c r="J47">
        <v>9</v>
      </c>
      <c r="K47">
        <v>163</v>
      </c>
      <c r="L47">
        <v>56</v>
      </c>
      <c r="M47">
        <v>4</v>
      </c>
      <c r="N47">
        <v>1995</v>
      </c>
      <c r="O47">
        <v>0.27</v>
      </c>
      <c r="P47">
        <v>2.4700000000000002</v>
      </c>
      <c r="Q47">
        <v>1.4999999999999999E-2</v>
      </c>
      <c r="R47">
        <v>60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317.00602219441998</v>
      </c>
      <c r="B48">
        <v>22.4</v>
      </c>
      <c r="C48">
        <v>9.9064381935756245</v>
      </c>
      <c r="D48">
        <v>428.96800000000002</v>
      </c>
      <c r="E48">
        <v>681.69294605809125</v>
      </c>
      <c r="F48">
        <v>225.46799999999999</v>
      </c>
      <c r="G48">
        <v>61.373600000000003</v>
      </c>
      <c r="H48">
        <v>6</v>
      </c>
      <c r="I48">
        <v>55</v>
      </c>
      <c r="J48">
        <v>5</v>
      </c>
      <c r="K48">
        <v>57</v>
      </c>
      <c r="L48">
        <v>59</v>
      </c>
      <c r="M48">
        <v>6</v>
      </c>
      <c r="N48">
        <v>1995</v>
      </c>
      <c r="O48">
        <v>0.27</v>
      </c>
      <c r="P48">
        <v>2.4700000000000002</v>
      </c>
      <c r="Q48">
        <v>1.4999999999999999E-2</v>
      </c>
      <c r="R48">
        <v>60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335.53747377712517</v>
      </c>
      <c r="B49">
        <v>23.744</v>
      </c>
      <c r="C49">
        <v>9.8920245806935512</v>
      </c>
      <c r="D49">
        <v>513.02700000000004</v>
      </c>
      <c r="E49">
        <v>688.63734439834025</v>
      </c>
      <c r="F49">
        <v>406.17</v>
      </c>
      <c r="G49">
        <v>65.084819999999993</v>
      </c>
      <c r="H49">
        <v>36</v>
      </c>
      <c r="I49">
        <v>62</v>
      </c>
      <c r="J49">
        <v>5</v>
      </c>
      <c r="K49">
        <v>40</v>
      </c>
      <c r="L49">
        <v>54</v>
      </c>
      <c r="M49">
        <v>6</v>
      </c>
      <c r="N49">
        <v>1995</v>
      </c>
      <c r="O49">
        <v>0.27</v>
      </c>
      <c r="P49">
        <v>2.4700000000000002</v>
      </c>
      <c r="Q49">
        <v>1.4999999999999999E-2</v>
      </c>
      <c r="R49">
        <v>60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315.28172938485159</v>
      </c>
      <c r="B50">
        <v>22.4</v>
      </c>
      <c r="C50">
        <v>9.8525540432766103</v>
      </c>
      <c r="D50">
        <v>489.52480000000003</v>
      </c>
      <c r="E50">
        <v>690.72199170124475</v>
      </c>
      <c r="F50">
        <v>228.34180000000001</v>
      </c>
      <c r="G50">
        <v>61.190600000000003</v>
      </c>
      <c r="H50">
        <v>7</v>
      </c>
      <c r="I50">
        <v>57</v>
      </c>
      <c r="J50">
        <v>4</v>
      </c>
      <c r="K50">
        <v>96</v>
      </c>
      <c r="L50">
        <v>55</v>
      </c>
      <c r="M50">
        <v>20</v>
      </c>
      <c r="N50">
        <v>1995</v>
      </c>
      <c r="O50">
        <v>0.27</v>
      </c>
      <c r="P50">
        <v>2.4700000000000002</v>
      </c>
      <c r="Q50">
        <v>1.4999999999999999E-2</v>
      </c>
      <c r="R50">
        <v>60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312.98859863249447</v>
      </c>
      <c r="B51">
        <v>22.4</v>
      </c>
      <c r="C51">
        <v>9.780893707265454</v>
      </c>
      <c r="D51">
        <v>423.36</v>
      </c>
      <c r="E51">
        <v>687.7344398340249</v>
      </c>
      <c r="F51">
        <v>223.56</v>
      </c>
      <c r="G51">
        <v>60.695999999999998</v>
      </c>
      <c r="H51">
        <v>6</v>
      </c>
      <c r="I51">
        <v>54</v>
      </c>
      <c r="J51">
        <v>5</v>
      </c>
      <c r="K51">
        <v>295</v>
      </c>
      <c r="L51">
        <v>60</v>
      </c>
      <c r="M51">
        <v>6</v>
      </c>
      <c r="N51">
        <v>1995</v>
      </c>
      <c r="O51">
        <v>0.27</v>
      </c>
      <c r="P51">
        <v>2.4700000000000002</v>
      </c>
      <c r="Q51">
        <v>1.4999999999999999E-2</v>
      </c>
      <c r="R51">
        <v>60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311.57667435981068</v>
      </c>
      <c r="B52">
        <v>22.400000000000009</v>
      </c>
      <c r="C52">
        <v>9.7367710737440838</v>
      </c>
      <c r="D52">
        <v>880.83680000000004</v>
      </c>
      <c r="E52">
        <v>684.97261410788371</v>
      </c>
      <c r="F52">
        <v>277.01900000000001</v>
      </c>
      <c r="G52">
        <v>60.376600000000003</v>
      </c>
      <c r="H52">
        <v>96</v>
      </c>
      <c r="I52">
        <v>62</v>
      </c>
      <c r="J52">
        <v>38</v>
      </c>
      <c r="K52">
        <v>161</v>
      </c>
      <c r="L52">
        <v>50</v>
      </c>
      <c r="M52">
        <v>14</v>
      </c>
      <c r="N52">
        <v>1995</v>
      </c>
      <c r="O52">
        <v>0.27</v>
      </c>
      <c r="P52">
        <v>2.4700000000000002</v>
      </c>
      <c r="Q52">
        <v>1.4999999999999999E-2</v>
      </c>
      <c r="R52">
        <v>60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329.26477166524609</v>
      </c>
      <c r="B53">
        <v>23.744</v>
      </c>
      <c r="C53">
        <v>9.7070982212631503</v>
      </c>
      <c r="D53">
        <v>595.87</v>
      </c>
      <c r="E53">
        <v>687.00414937759342</v>
      </c>
      <c r="F53">
        <v>403.084</v>
      </c>
      <c r="G53">
        <v>63.839599999999997</v>
      </c>
      <c r="H53">
        <v>43</v>
      </c>
      <c r="I53">
        <v>55</v>
      </c>
      <c r="J53">
        <v>4</v>
      </c>
      <c r="K53">
        <v>40</v>
      </c>
      <c r="L53">
        <v>64</v>
      </c>
      <c r="M53">
        <v>5</v>
      </c>
      <c r="N53">
        <v>1995</v>
      </c>
      <c r="O53">
        <v>0.27</v>
      </c>
      <c r="P53">
        <v>2.4700000000000002</v>
      </c>
      <c r="Q53">
        <v>1.4999999999999999E-2</v>
      </c>
      <c r="R53">
        <v>60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337.91898059619928</v>
      </c>
      <c r="B54">
        <v>24.5</v>
      </c>
      <c r="C54">
        <v>9.6548280170342657</v>
      </c>
      <c r="D54">
        <v>451.50749999999999</v>
      </c>
      <c r="E54">
        <v>690.07468879668045</v>
      </c>
      <c r="F54">
        <v>236.27250000000001</v>
      </c>
      <c r="G54">
        <v>65.572500000000005</v>
      </c>
      <c r="H54">
        <v>22</v>
      </c>
      <c r="I54">
        <v>53</v>
      </c>
      <c r="J54">
        <v>3</v>
      </c>
      <c r="K54">
        <v>53</v>
      </c>
      <c r="L54">
        <v>52</v>
      </c>
      <c r="M54">
        <v>5</v>
      </c>
      <c r="N54">
        <v>1995</v>
      </c>
      <c r="O54">
        <v>0.27</v>
      </c>
      <c r="P54">
        <v>2.4700000000000002</v>
      </c>
      <c r="Q54">
        <v>1.4999999999999999E-2</v>
      </c>
      <c r="R54">
        <v>60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384.33571179407193</v>
      </c>
      <c r="B55">
        <v>28</v>
      </c>
      <c r="C55">
        <v>9.6083927948517971</v>
      </c>
      <c r="D55">
        <v>531.73239999999998</v>
      </c>
      <c r="E55">
        <v>690.76348547717839</v>
      </c>
      <c r="F55">
        <v>222.75960000000001</v>
      </c>
      <c r="G55">
        <v>74.593600000000009</v>
      </c>
      <c r="H55">
        <v>8</v>
      </c>
      <c r="I55">
        <v>51</v>
      </c>
      <c r="J55">
        <v>5</v>
      </c>
      <c r="K55">
        <v>52</v>
      </c>
      <c r="L55">
        <v>62</v>
      </c>
      <c r="M55">
        <v>4</v>
      </c>
      <c r="N55">
        <v>1995</v>
      </c>
      <c r="O55">
        <v>0.27</v>
      </c>
      <c r="P55">
        <v>2.4700000000000002</v>
      </c>
      <c r="Q55">
        <v>1.4999999999999999E-2</v>
      </c>
      <c r="R55">
        <v>60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352.21826897124947</v>
      </c>
      <c r="B56">
        <v>25.666666666666671</v>
      </c>
      <c r="C56">
        <v>9.6059527901249862</v>
      </c>
      <c r="D56">
        <v>592.34040000000016</v>
      </c>
      <c r="E56">
        <v>687.57076692156329</v>
      </c>
      <c r="F56">
        <v>233.20656</v>
      </c>
      <c r="G56">
        <v>68.300520000000006</v>
      </c>
      <c r="H56">
        <v>164</v>
      </c>
      <c r="I56">
        <v>51</v>
      </c>
      <c r="J56">
        <v>5</v>
      </c>
      <c r="K56">
        <v>162</v>
      </c>
      <c r="L56">
        <v>61</v>
      </c>
      <c r="M56">
        <v>13</v>
      </c>
      <c r="N56">
        <v>1995</v>
      </c>
      <c r="O56">
        <v>0.27</v>
      </c>
      <c r="P56">
        <v>2.4700000000000002</v>
      </c>
      <c r="Q56">
        <v>1.4999999999999999E-2</v>
      </c>
      <c r="R56">
        <v>60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382.97221458275078</v>
      </c>
      <c r="B57">
        <v>28</v>
      </c>
      <c r="C57">
        <v>9.5743053645687688</v>
      </c>
      <c r="D57">
        <v>371.58</v>
      </c>
      <c r="E57">
        <v>690.12448132780082</v>
      </c>
      <c r="F57">
        <v>222.94800000000001</v>
      </c>
      <c r="G57">
        <v>74.316000000000017</v>
      </c>
      <c r="H57">
        <v>52</v>
      </c>
      <c r="I57">
        <v>55</v>
      </c>
      <c r="J57">
        <v>12</v>
      </c>
      <c r="K57">
        <v>53</v>
      </c>
      <c r="L57">
        <v>55</v>
      </c>
      <c r="M57">
        <v>4</v>
      </c>
      <c r="N57">
        <v>1995</v>
      </c>
      <c r="O57">
        <v>0.27</v>
      </c>
      <c r="P57">
        <v>2.4700000000000002</v>
      </c>
      <c r="Q57">
        <v>1.4999999999999999E-2</v>
      </c>
      <c r="R57">
        <v>60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400.36604723702891</v>
      </c>
      <c r="B58">
        <v>29.400000000000009</v>
      </c>
      <c r="C58">
        <v>9.5325249342149707</v>
      </c>
      <c r="D58">
        <v>487.5009</v>
      </c>
      <c r="E58">
        <v>689.45394190871366</v>
      </c>
      <c r="F58">
        <v>313.06662</v>
      </c>
      <c r="G58">
        <v>77.677059999999997</v>
      </c>
      <c r="H58">
        <v>163</v>
      </c>
      <c r="I58">
        <v>55</v>
      </c>
      <c r="J58">
        <v>11</v>
      </c>
      <c r="K58">
        <v>142</v>
      </c>
      <c r="L58">
        <v>56</v>
      </c>
      <c r="M58">
        <v>16</v>
      </c>
      <c r="N58">
        <v>1995</v>
      </c>
      <c r="O58">
        <v>0.27</v>
      </c>
      <c r="P58">
        <v>2.4700000000000002</v>
      </c>
      <c r="Q58">
        <v>1.4999999999999999E-2</v>
      </c>
      <c r="R58">
        <v>60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336.16994800279087</v>
      </c>
      <c r="B59">
        <v>24.73863636363637</v>
      </c>
      <c r="C59">
        <v>9.5122043164776819</v>
      </c>
      <c r="D59">
        <v>476.928</v>
      </c>
      <c r="E59">
        <v>685.49883518459228</v>
      </c>
      <c r="F59">
        <v>229.7088</v>
      </c>
      <c r="G59">
        <v>65.151600000000002</v>
      </c>
      <c r="H59">
        <v>95</v>
      </c>
      <c r="I59">
        <v>55</v>
      </c>
      <c r="J59">
        <v>5</v>
      </c>
      <c r="K59">
        <v>143</v>
      </c>
      <c r="L59">
        <v>58</v>
      </c>
      <c r="M59">
        <v>8</v>
      </c>
      <c r="N59">
        <v>1995</v>
      </c>
      <c r="O59">
        <v>0.27</v>
      </c>
      <c r="P59">
        <v>2.4700000000000002</v>
      </c>
      <c r="Q59">
        <v>1.4999999999999999E-2</v>
      </c>
      <c r="R59">
        <v>60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395.36350593872629</v>
      </c>
      <c r="B60">
        <v>29.4</v>
      </c>
      <c r="C60">
        <v>9.4134168080649161</v>
      </c>
      <c r="D60">
        <v>504.28680000000003</v>
      </c>
      <c r="E60">
        <v>689.21327800829874</v>
      </c>
      <c r="F60">
        <v>219.52005</v>
      </c>
      <c r="G60">
        <v>76.701449999999994</v>
      </c>
      <c r="H60">
        <v>39</v>
      </c>
      <c r="I60">
        <v>52</v>
      </c>
      <c r="J60">
        <v>9</v>
      </c>
      <c r="K60">
        <v>96</v>
      </c>
      <c r="L60">
        <v>57</v>
      </c>
      <c r="M60">
        <v>19</v>
      </c>
      <c r="N60">
        <v>1995</v>
      </c>
      <c r="O60">
        <v>0.27</v>
      </c>
      <c r="P60">
        <v>2.4700000000000002</v>
      </c>
      <c r="Q60">
        <v>1.4999999999999999E-2</v>
      </c>
      <c r="R60">
        <v>60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388.6501224076265</v>
      </c>
      <c r="B61">
        <v>29.400000000000009</v>
      </c>
      <c r="C61">
        <v>9.2535743430387249</v>
      </c>
      <c r="D61">
        <v>429.41520000000003</v>
      </c>
      <c r="E61">
        <v>691.82406639004148</v>
      </c>
      <c r="F61">
        <v>212.6344</v>
      </c>
      <c r="G61">
        <v>75.452799999999982</v>
      </c>
      <c r="H61">
        <v>39</v>
      </c>
      <c r="I61">
        <v>58</v>
      </c>
      <c r="J61">
        <v>8</v>
      </c>
      <c r="K61">
        <v>57</v>
      </c>
      <c r="L61">
        <v>52</v>
      </c>
      <c r="M61">
        <v>7</v>
      </c>
      <c r="N61">
        <v>1995</v>
      </c>
      <c r="O61">
        <v>0.27</v>
      </c>
      <c r="P61">
        <v>2.4700000000000002</v>
      </c>
      <c r="Q61">
        <v>1.4999999999999999E-2</v>
      </c>
      <c r="R61">
        <v>60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322.07656541233371</v>
      </c>
      <c r="B62">
        <v>24.5</v>
      </c>
      <c r="C62">
        <v>9.2021875832095343</v>
      </c>
      <c r="D62">
        <v>526.31136000000015</v>
      </c>
      <c r="E62">
        <v>682.20411551035932</v>
      </c>
      <c r="F62">
        <v>202.46976000000001</v>
      </c>
      <c r="G62">
        <v>62.363999999999997</v>
      </c>
      <c r="H62">
        <v>8</v>
      </c>
      <c r="I62">
        <v>50</v>
      </c>
      <c r="J62">
        <v>4</v>
      </c>
      <c r="K62">
        <v>147</v>
      </c>
      <c r="L62">
        <v>63</v>
      </c>
      <c r="M62">
        <v>2</v>
      </c>
      <c r="N62">
        <v>1995</v>
      </c>
      <c r="O62">
        <v>0.27</v>
      </c>
      <c r="P62">
        <v>2.4700000000000002</v>
      </c>
      <c r="Q62">
        <v>1.4999999999999999E-2</v>
      </c>
      <c r="R62">
        <v>60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321.74568952819828</v>
      </c>
      <c r="B63">
        <v>24.5</v>
      </c>
      <c r="C63">
        <v>9.1927339865199524</v>
      </c>
      <c r="D63">
        <v>483.072</v>
      </c>
      <c r="E63">
        <v>687.45228215767634</v>
      </c>
      <c r="F63">
        <v>221.11199999999999</v>
      </c>
      <c r="G63">
        <v>62.389400000000002</v>
      </c>
      <c r="H63">
        <v>22</v>
      </c>
      <c r="I63">
        <v>50</v>
      </c>
      <c r="J63">
        <v>3</v>
      </c>
      <c r="K63">
        <v>7</v>
      </c>
      <c r="L63">
        <v>61</v>
      </c>
      <c r="M63">
        <v>2</v>
      </c>
      <c r="N63">
        <v>1995</v>
      </c>
      <c r="O63">
        <v>0.27</v>
      </c>
      <c r="P63">
        <v>2.4700000000000002</v>
      </c>
      <c r="Q63">
        <v>1.4999999999999999E-2</v>
      </c>
      <c r="R63">
        <v>60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367.17780678808509</v>
      </c>
      <c r="B64">
        <v>28</v>
      </c>
      <c r="C64">
        <v>9.1794451697021291</v>
      </c>
      <c r="D64">
        <v>559.41888000000017</v>
      </c>
      <c r="E64">
        <v>688.03319502074692</v>
      </c>
      <c r="F64">
        <v>209.78208000000001</v>
      </c>
      <c r="G64">
        <v>71.210399999999993</v>
      </c>
      <c r="H64">
        <v>8</v>
      </c>
      <c r="I64">
        <v>60</v>
      </c>
      <c r="J64">
        <v>4</v>
      </c>
      <c r="K64">
        <v>6</v>
      </c>
      <c r="L64">
        <v>47</v>
      </c>
      <c r="M64">
        <v>3</v>
      </c>
      <c r="N64">
        <v>1995</v>
      </c>
      <c r="O64">
        <v>0.27</v>
      </c>
      <c r="P64">
        <v>2.4700000000000002</v>
      </c>
      <c r="Q64">
        <v>1.4999999999999999E-2</v>
      </c>
      <c r="R64">
        <v>60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320.44516913578849</v>
      </c>
      <c r="B65">
        <v>24.5</v>
      </c>
      <c r="C65">
        <v>9.1555762610225297</v>
      </c>
      <c r="D65">
        <v>1197.0239999999999</v>
      </c>
      <c r="E65">
        <v>673.10373443983394</v>
      </c>
      <c r="F65">
        <v>225.64080000000001</v>
      </c>
      <c r="G65">
        <v>61.893600000000013</v>
      </c>
      <c r="H65">
        <v>22</v>
      </c>
      <c r="I65">
        <v>48</v>
      </c>
      <c r="J65">
        <v>3</v>
      </c>
      <c r="K65">
        <v>161</v>
      </c>
      <c r="L65">
        <v>65</v>
      </c>
      <c r="M65">
        <v>19</v>
      </c>
      <c r="N65">
        <v>1995</v>
      </c>
      <c r="O65">
        <v>0.27</v>
      </c>
      <c r="P65">
        <v>2.4700000000000002</v>
      </c>
      <c r="Q65">
        <v>1.4999999999999999E-2</v>
      </c>
      <c r="R65">
        <v>60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365.00780024205233</v>
      </c>
      <c r="B66">
        <v>28</v>
      </c>
      <c r="C66">
        <v>9.1251950060513085</v>
      </c>
      <c r="D66">
        <v>497.1875</v>
      </c>
      <c r="E66">
        <v>688.54771784232366</v>
      </c>
      <c r="F66">
        <v>209.90100000000001</v>
      </c>
      <c r="G66">
        <v>70.799499999999995</v>
      </c>
      <c r="H66">
        <v>9</v>
      </c>
      <c r="I66">
        <v>60</v>
      </c>
      <c r="J66">
        <v>3</v>
      </c>
      <c r="K66">
        <v>52</v>
      </c>
      <c r="L66">
        <v>49</v>
      </c>
      <c r="M66">
        <v>5</v>
      </c>
      <c r="N66">
        <v>1995</v>
      </c>
      <c r="O66">
        <v>0.27</v>
      </c>
      <c r="P66">
        <v>2.4700000000000002</v>
      </c>
      <c r="Q66">
        <v>1.4999999999999999E-2</v>
      </c>
      <c r="R66">
        <v>60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383.0693688102229</v>
      </c>
      <c r="B67">
        <v>29.400000000000009</v>
      </c>
      <c r="C67">
        <v>9.1206992573862564</v>
      </c>
      <c r="D67">
        <v>425.97120000000001</v>
      </c>
      <c r="E67">
        <v>691.12697095435692</v>
      </c>
      <c r="F67">
        <v>209.19040000000001</v>
      </c>
      <c r="G67">
        <v>74.355199999999996</v>
      </c>
      <c r="H67">
        <v>39</v>
      </c>
      <c r="I67">
        <v>58</v>
      </c>
      <c r="J67">
        <v>8</v>
      </c>
      <c r="K67">
        <v>295</v>
      </c>
      <c r="L67">
        <v>50</v>
      </c>
      <c r="M67">
        <v>7</v>
      </c>
      <c r="N67">
        <v>1995</v>
      </c>
      <c r="O67">
        <v>0.27</v>
      </c>
      <c r="P67">
        <v>2.4700000000000002</v>
      </c>
      <c r="Q67">
        <v>1.4999999999999999E-2</v>
      </c>
      <c r="R67">
        <v>60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322.046932067765</v>
      </c>
      <c r="B68">
        <v>24.73863636363637</v>
      </c>
      <c r="C68">
        <v>9.1125820006312921</v>
      </c>
      <c r="D68">
        <v>580.9104000000001</v>
      </c>
      <c r="E68">
        <v>686.73181314627118</v>
      </c>
      <c r="F68">
        <v>221.77655999999999</v>
      </c>
      <c r="G68">
        <v>62.435519999999997</v>
      </c>
      <c r="H68">
        <v>95</v>
      </c>
      <c r="I68">
        <v>51</v>
      </c>
      <c r="J68">
        <v>5</v>
      </c>
      <c r="K68">
        <v>162</v>
      </c>
      <c r="L68">
        <v>61</v>
      </c>
      <c r="M68">
        <v>13</v>
      </c>
      <c r="N68">
        <v>1995</v>
      </c>
      <c r="O68">
        <v>0.27</v>
      </c>
      <c r="P68">
        <v>2.4700000000000002</v>
      </c>
      <c r="Q68">
        <v>1.4999999999999999E-2</v>
      </c>
      <c r="R68">
        <v>60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382.06584324124839</v>
      </c>
      <c r="B69">
        <v>29.400000000000009</v>
      </c>
      <c r="C69">
        <v>9.096805791458296</v>
      </c>
      <c r="D69">
        <v>1005.5194</v>
      </c>
      <c r="E69">
        <v>680.64398340248965</v>
      </c>
      <c r="F69">
        <v>192.3408</v>
      </c>
      <c r="G69">
        <v>73.9482</v>
      </c>
      <c r="H69">
        <v>142</v>
      </c>
      <c r="I69">
        <v>61</v>
      </c>
      <c r="J69">
        <v>40</v>
      </c>
      <c r="K69">
        <v>96</v>
      </c>
      <c r="L69">
        <v>52</v>
      </c>
      <c r="M69">
        <v>14</v>
      </c>
      <c r="N69">
        <v>1995</v>
      </c>
      <c r="O69">
        <v>0.27</v>
      </c>
      <c r="P69">
        <v>2.4700000000000002</v>
      </c>
      <c r="Q69">
        <v>1.4999999999999999E-2</v>
      </c>
      <c r="R69">
        <v>60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363.4971315844075</v>
      </c>
      <c r="B70">
        <v>28</v>
      </c>
      <c r="C70">
        <v>9.0874282896101874</v>
      </c>
      <c r="D70">
        <v>557.39184000000012</v>
      </c>
      <c r="E70">
        <v>688.54771784232366</v>
      </c>
      <c r="F70">
        <v>209.02194</v>
      </c>
      <c r="G70">
        <v>70.50648000000001</v>
      </c>
      <c r="H70">
        <v>9</v>
      </c>
      <c r="I70">
        <v>60</v>
      </c>
      <c r="J70">
        <v>3</v>
      </c>
      <c r="K70">
        <v>8</v>
      </c>
      <c r="L70">
        <v>49</v>
      </c>
      <c r="M70">
        <v>2</v>
      </c>
      <c r="N70">
        <v>1995</v>
      </c>
      <c r="O70">
        <v>0.27</v>
      </c>
      <c r="P70">
        <v>2.4700000000000002</v>
      </c>
      <c r="Q70">
        <v>1.4999999999999999E-2</v>
      </c>
      <c r="R70">
        <v>60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362.25879151748632</v>
      </c>
      <c r="B71">
        <v>28</v>
      </c>
      <c r="C71">
        <v>9.0564697879371572</v>
      </c>
      <c r="D71">
        <v>1149.0201999999999</v>
      </c>
      <c r="E71">
        <v>679.27800829875514</v>
      </c>
      <c r="F71">
        <v>209.03963999999999</v>
      </c>
      <c r="G71">
        <v>70.088360000000009</v>
      </c>
      <c r="H71">
        <v>52</v>
      </c>
      <c r="I71">
        <v>55</v>
      </c>
      <c r="J71">
        <v>10</v>
      </c>
      <c r="K71">
        <v>161</v>
      </c>
      <c r="L71">
        <v>57</v>
      </c>
      <c r="M71">
        <v>23</v>
      </c>
      <c r="N71">
        <v>1995</v>
      </c>
      <c r="O71">
        <v>0.27</v>
      </c>
      <c r="P71">
        <v>2.4700000000000002</v>
      </c>
      <c r="Q71">
        <v>1.4999999999999999E-2</v>
      </c>
      <c r="R71">
        <v>60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316.85621396001278</v>
      </c>
      <c r="B72">
        <v>24.5</v>
      </c>
      <c r="C72">
        <v>9.0530346845717951</v>
      </c>
      <c r="D72">
        <v>732.6</v>
      </c>
      <c r="E72">
        <v>687.28630705394198</v>
      </c>
      <c r="F72">
        <v>221.77799999999999</v>
      </c>
      <c r="G72">
        <v>61.438499999999998</v>
      </c>
      <c r="H72">
        <v>22</v>
      </c>
      <c r="I72">
        <v>49</v>
      </c>
      <c r="J72">
        <v>3</v>
      </c>
      <c r="K72">
        <v>2</v>
      </c>
      <c r="L72">
        <v>62</v>
      </c>
      <c r="M72">
        <v>3</v>
      </c>
      <c r="N72">
        <v>1995</v>
      </c>
      <c r="O72">
        <v>0.27</v>
      </c>
      <c r="P72">
        <v>2.4700000000000002</v>
      </c>
      <c r="Q72">
        <v>1.4999999999999999E-2</v>
      </c>
      <c r="R72">
        <v>60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361.30895684890032</v>
      </c>
      <c r="B73">
        <v>28</v>
      </c>
      <c r="C73">
        <v>9.0327239212225088</v>
      </c>
      <c r="D73">
        <v>471.48750000000001</v>
      </c>
      <c r="E73">
        <v>691.96680497925308</v>
      </c>
      <c r="F73">
        <v>200.47499999999999</v>
      </c>
      <c r="G73">
        <v>70.147499999999994</v>
      </c>
      <c r="H73">
        <v>9</v>
      </c>
      <c r="I73">
        <v>58</v>
      </c>
      <c r="J73">
        <v>3</v>
      </c>
      <c r="K73">
        <v>53</v>
      </c>
      <c r="L73">
        <v>53</v>
      </c>
      <c r="M73">
        <v>5</v>
      </c>
      <c r="N73">
        <v>1995</v>
      </c>
      <c r="O73">
        <v>0.27</v>
      </c>
      <c r="P73">
        <v>2.4700000000000002</v>
      </c>
      <c r="Q73">
        <v>1.4999999999999999E-2</v>
      </c>
      <c r="R73">
        <v>60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420.49220735145798</v>
      </c>
      <c r="B74">
        <v>32.666666666666657</v>
      </c>
      <c r="C74">
        <v>9.0105473003883869</v>
      </c>
      <c r="D74">
        <v>537.50362500000006</v>
      </c>
      <c r="E74">
        <v>680.75246870561125</v>
      </c>
      <c r="F74">
        <v>258.67995000000002</v>
      </c>
      <c r="G74">
        <v>81.387975000000012</v>
      </c>
      <c r="H74">
        <v>164</v>
      </c>
      <c r="I74">
        <v>54</v>
      </c>
      <c r="J74">
        <v>6</v>
      </c>
      <c r="K74">
        <v>142</v>
      </c>
      <c r="L74">
        <v>59</v>
      </c>
      <c r="M74">
        <v>15</v>
      </c>
      <c r="N74">
        <v>1995</v>
      </c>
      <c r="O74">
        <v>0.27</v>
      </c>
      <c r="P74">
        <v>2.4700000000000002</v>
      </c>
      <c r="Q74">
        <v>1.4999999999999999E-2</v>
      </c>
      <c r="R74">
        <v>60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356.29792394930632</v>
      </c>
      <c r="B75">
        <v>28</v>
      </c>
      <c r="C75">
        <v>8.9074480987326581</v>
      </c>
      <c r="D75">
        <v>1275.6479999999999</v>
      </c>
      <c r="E75">
        <v>672.59751037344404</v>
      </c>
      <c r="F75">
        <v>206.42688000000001</v>
      </c>
      <c r="G75">
        <v>68.808960000000013</v>
      </c>
      <c r="H75">
        <v>8</v>
      </c>
      <c r="I75">
        <v>55</v>
      </c>
      <c r="J75">
        <v>4</v>
      </c>
      <c r="K75">
        <v>161</v>
      </c>
      <c r="L75">
        <v>58</v>
      </c>
      <c r="M75">
        <v>22</v>
      </c>
      <c r="N75">
        <v>1995</v>
      </c>
      <c r="O75">
        <v>0.27</v>
      </c>
      <c r="P75">
        <v>2.4700000000000002</v>
      </c>
      <c r="Q75">
        <v>1.4999999999999999E-2</v>
      </c>
      <c r="R75">
        <v>60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311.11637452150171</v>
      </c>
      <c r="B76">
        <v>24.5</v>
      </c>
      <c r="C76">
        <v>8.8890392720429059</v>
      </c>
      <c r="D76">
        <v>523.79999999999995</v>
      </c>
      <c r="E76">
        <v>690.10453044811868</v>
      </c>
      <c r="F76">
        <v>201.52799999999999</v>
      </c>
      <c r="G76">
        <v>60.372</v>
      </c>
      <c r="H76">
        <v>9</v>
      </c>
      <c r="I76">
        <v>48</v>
      </c>
      <c r="J76">
        <v>3</v>
      </c>
      <c r="K76">
        <v>147</v>
      </c>
      <c r="L76">
        <v>63</v>
      </c>
      <c r="M76">
        <v>2</v>
      </c>
      <c r="N76">
        <v>1995</v>
      </c>
      <c r="O76">
        <v>0.27</v>
      </c>
      <c r="P76">
        <v>2.4700000000000002</v>
      </c>
      <c r="Q76">
        <v>1.4999999999999999E-2</v>
      </c>
      <c r="R76">
        <v>60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352.41449892574229</v>
      </c>
      <c r="B77">
        <v>28</v>
      </c>
      <c r="C77">
        <v>8.8103624731435577</v>
      </c>
      <c r="D77">
        <v>786.53760000000011</v>
      </c>
      <c r="E77">
        <v>685.41078838174269</v>
      </c>
      <c r="F77">
        <v>201.04560000000001</v>
      </c>
      <c r="G77">
        <v>68.298240000000007</v>
      </c>
      <c r="H77">
        <v>8</v>
      </c>
      <c r="I77">
        <v>56</v>
      </c>
      <c r="J77">
        <v>4</v>
      </c>
      <c r="K77">
        <v>2</v>
      </c>
      <c r="L77">
        <v>48</v>
      </c>
      <c r="M77">
        <v>4</v>
      </c>
      <c r="N77">
        <v>1995</v>
      </c>
      <c r="O77">
        <v>0.27</v>
      </c>
      <c r="P77">
        <v>2.4700000000000002</v>
      </c>
      <c r="Q77">
        <v>1.4999999999999999E-2</v>
      </c>
      <c r="R77">
        <v>60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352.07205184193617</v>
      </c>
      <c r="B78">
        <v>28</v>
      </c>
      <c r="C78">
        <v>8.8018012960484047</v>
      </c>
      <c r="D78">
        <v>480.7595</v>
      </c>
      <c r="E78">
        <v>691.15352697095432</v>
      </c>
      <c r="F78">
        <v>203.7405</v>
      </c>
      <c r="G78">
        <v>68.338999999999999</v>
      </c>
      <c r="H78">
        <v>6</v>
      </c>
      <c r="I78">
        <v>53</v>
      </c>
      <c r="J78">
        <v>6</v>
      </c>
      <c r="K78">
        <v>52</v>
      </c>
      <c r="L78">
        <v>50</v>
      </c>
      <c r="M78">
        <v>5</v>
      </c>
      <c r="N78">
        <v>1995</v>
      </c>
      <c r="O78">
        <v>0.27</v>
      </c>
      <c r="P78">
        <v>2.4700000000000002</v>
      </c>
      <c r="Q78">
        <v>1.4999999999999999E-2</v>
      </c>
      <c r="R78">
        <v>60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>
      <c r="A79">
        <v>358.07523091362327</v>
      </c>
      <c r="B79">
        <v>28.592307692307688</v>
      </c>
      <c r="C79">
        <v>8.7664369150227941</v>
      </c>
      <c r="D79">
        <v>792.54</v>
      </c>
      <c r="E79">
        <v>675.56514522821567</v>
      </c>
      <c r="F79">
        <v>278.35248000000001</v>
      </c>
      <c r="G79">
        <v>69.208500000000001</v>
      </c>
      <c r="H79">
        <v>163</v>
      </c>
      <c r="I79">
        <v>57</v>
      </c>
      <c r="J79">
        <v>9</v>
      </c>
      <c r="K79">
        <v>293</v>
      </c>
      <c r="L79">
        <v>56</v>
      </c>
      <c r="M79">
        <v>21</v>
      </c>
      <c r="N79">
        <v>1995</v>
      </c>
      <c r="O79">
        <v>0.27</v>
      </c>
      <c r="P79">
        <v>2.4700000000000002</v>
      </c>
      <c r="Q79">
        <v>1.4999999999999999E-2</v>
      </c>
      <c r="R79">
        <v>60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>
      <c r="A80">
        <v>350.18784778332707</v>
      </c>
      <c r="B80">
        <v>28</v>
      </c>
      <c r="C80">
        <v>8.7546961945831789</v>
      </c>
      <c r="D80">
        <v>533.24400000000003</v>
      </c>
      <c r="E80">
        <v>688.92946058091286</v>
      </c>
      <c r="F80">
        <v>199.9665</v>
      </c>
      <c r="G80">
        <v>67.932000000000002</v>
      </c>
      <c r="H80">
        <v>9</v>
      </c>
      <c r="I80">
        <v>56</v>
      </c>
      <c r="J80">
        <v>3</v>
      </c>
      <c r="K80">
        <v>6</v>
      </c>
      <c r="L80">
        <v>48</v>
      </c>
      <c r="M80">
        <v>3</v>
      </c>
      <c r="N80">
        <v>1995</v>
      </c>
      <c r="O80">
        <v>0.27</v>
      </c>
      <c r="P80">
        <v>2.4700000000000002</v>
      </c>
      <c r="Q80">
        <v>1.4999999999999999E-2</v>
      </c>
      <c r="R80">
        <v>60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>
      <c r="A81">
        <v>349.53657430919338</v>
      </c>
      <c r="B81">
        <v>28</v>
      </c>
      <c r="C81">
        <v>8.7384143577298357</v>
      </c>
      <c r="D81">
        <v>1129.2203999999999</v>
      </c>
      <c r="E81">
        <v>677.95850622406635</v>
      </c>
      <c r="F81">
        <v>201.63527999999999</v>
      </c>
      <c r="G81">
        <v>67.602480000000014</v>
      </c>
      <c r="H81">
        <v>53</v>
      </c>
      <c r="I81">
        <v>54</v>
      </c>
      <c r="J81">
        <v>10</v>
      </c>
      <c r="K81">
        <v>161</v>
      </c>
      <c r="L81">
        <v>59</v>
      </c>
      <c r="M81">
        <v>22</v>
      </c>
      <c r="N81">
        <v>1995</v>
      </c>
      <c r="O81">
        <v>0.27</v>
      </c>
      <c r="P81">
        <v>2.4700000000000002</v>
      </c>
      <c r="Q81">
        <v>1.4999999999999999E-2</v>
      </c>
      <c r="R81">
        <v>60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>
      <c r="A82">
        <v>346.84549115865792</v>
      </c>
      <c r="B82">
        <v>28</v>
      </c>
      <c r="C82">
        <v>8.671137278966448</v>
      </c>
      <c r="D82">
        <v>482.81279999999998</v>
      </c>
      <c r="E82">
        <v>687.07798353975454</v>
      </c>
      <c r="F82">
        <v>213.81440000000001</v>
      </c>
      <c r="G82">
        <v>67.249599999999987</v>
      </c>
      <c r="H82">
        <v>39</v>
      </c>
      <c r="I82">
        <v>58</v>
      </c>
      <c r="J82">
        <v>7</v>
      </c>
      <c r="K82">
        <v>235</v>
      </c>
      <c r="L82">
        <v>51</v>
      </c>
      <c r="M82">
        <v>4</v>
      </c>
      <c r="N82">
        <v>1995</v>
      </c>
      <c r="O82">
        <v>0.27</v>
      </c>
      <c r="P82">
        <v>2.4700000000000002</v>
      </c>
      <c r="Q82">
        <v>1.4999999999999999E-2</v>
      </c>
      <c r="R82">
        <v>60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>
      <c r="A83">
        <v>346.58251257320171</v>
      </c>
      <c r="B83">
        <v>28</v>
      </c>
      <c r="C83">
        <v>8.6645628143300417</v>
      </c>
      <c r="D83">
        <v>477.5745</v>
      </c>
      <c r="E83">
        <v>691.31950207468867</v>
      </c>
      <c r="F83">
        <v>201.8295</v>
      </c>
      <c r="G83">
        <v>67.276499999999999</v>
      </c>
      <c r="H83">
        <v>6</v>
      </c>
      <c r="I83">
        <v>53</v>
      </c>
      <c r="J83">
        <v>6</v>
      </c>
      <c r="K83">
        <v>53</v>
      </c>
      <c r="L83">
        <v>49</v>
      </c>
      <c r="M83">
        <v>5</v>
      </c>
      <c r="N83">
        <v>1995</v>
      </c>
      <c r="O83">
        <v>0.27</v>
      </c>
      <c r="P83">
        <v>2.4700000000000002</v>
      </c>
      <c r="Q83">
        <v>1.4999999999999999E-2</v>
      </c>
      <c r="R83">
        <v>60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>
      <c r="A84">
        <v>346.38572755705411</v>
      </c>
      <c r="B84">
        <v>28</v>
      </c>
      <c r="C84">
        <v>8.659643188926351</v>
      </c>
      <c r="D84">
        <v>531.32000000000005</v>
      </c>
      <c r="E84">
        <v>688.79668049792531</v>
      </c>
      <c r="F84">
        <v>201.57599999999999</v>
      </c>
      <c r="G84">
        <v>67.191999999999993</v>
      </c>
      <c r="H84">
        <v>52</v>
      </c>
      <c r="I84">
        <v>56</v>
      </c>
      <c r="J84">
        <v>10</v>
      </c>
      <c r="K84">
        <v>143</v>
      </c>
      <c r="L84">
        <v>55</v>
      </c>
      <c r="M84">
        <v>8</v>
      </c>
      <c r="N84">
        <v>1995</v>
      </c>
      <c r="O84">
        <v>0.27</v>
      </c>
      <c r="P84">
        <v>2.4700000000000002</v>
      </c>
      <c r="Q84">
        <v>1.4999999999999999E-2</v>
      </c>
      <c r="R84">
        <v>60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>
      <c r="A85">
        <v>344.66104182642692</v>
      </c>
      <c r="B85">
        <v>28</v>
      </c>
      <c r="C85">
        <v>8.616526045660672</v>
      </c>
      <c r="D85">
        <v>431.38560000000001</v>
      </c>
      <c r="E85">
        <v>690.20701837971546</v>
      </c>
      <c r="F85">
        <v>200.64959999999999</v>
      </c>
      <c r="G85">
        <v>66.883200000000016</v>
      </c>
      <c r="H85">
        <v>8</v>
      </c>
      <c r="I85">
        <v>55</v>
      </c>
      <c r="J85">
        <v>4</v>
      </c>
      <c r="K85">
        <v>93</v>
      </c>
      <c r="L85">
        <v>54</v>
      </c>
      <c r="M85">
        <v>3</v>
      </c>
      <c r="N85">
        <v>1995</v>
      </c>
      <c r="O85">
        <v>0.27</v>
      </c>
      <c r="P85">
        <v>2.4700000000000002</v>
      </c>
      <c r="Q85">
        <v>1.4999999999999999E-2</v>
      </c>
      <c r="R85">
        <v>60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>
      <c r="A86">
        <v>430.29115574585552</v>
      </c>
      <c r="B86">
        <v>35</v>
      </c>
      <c r="C86">
        <v>8.6058231149171096</v>
      </c>
      <c r="D86">
        <v>461.63040000000001</v>
      </c>
      <c r="E86">
        <v>690.02489626556019</v>
      </c>
      <c r="F86">
        <v>181.1088</v>
      </c>
      <c r="G86">
        <v>83.495999999999995</v>
      </c>
      <c r="H86">
        <v>39</v>
      </c>
      <c r="I86">
        <v>60</v>
      </c>
      <c r="J86">
        <v>9</v>
      </c>
      <c r="K86">
        <v>52</v>
      </c>
      <c r="L86">
        <v>48</v>
      </c>
      <c r="M86">
        <v>5</v>
      </c>
      <c r="N86">
        <v>1995</v>
      </c>
      <c r="O86">
        <v>0.27</v>
      </c>
      <c r="P86">
        <v>2.4700000000000002</v>
      </c>
      <c r="Q86">
        <v>1.4999999999999999E-2</v>
      </c>
      <c r="R86">
        <v>60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>
      <c r="A87">
        <v>339.94817973488159</v>
      </c>
      <c r="B87">
        <v>28</v>
      </c>
      <c r="C87">
        <v>8.4987044933720401</v>
      </c>
      <c r="D87">
        <v>651.35232000000008</v>
      </c>
      <c r="E87">
        <v>686.93775933609959</v>
      </c>
      <c r="F87">
        <v>190.17792</v>
      </c>
      <c r="G87">
        <v>65.909760000000006</v>
      </c>
      <c r="H87">
        <v>8</v>
      </c>
      <c r="I87">
        <v>54</v>
      </c>
      <c r="J87">
        <v>4</v>
      </c>
      <c r="K87">
        <v>143</v>
      </c>
      <c r="L87">
        <v>58</v>
      </c>
      <c r="M87">
        <v>8</v>
      </c>
      <c r="N87">
        <v>1995</v>
      </c>
      <c r="O87">
        <v>0.27</v>
      </c>
      <c r="P87">
        <v>2.4700000000000002</v>
      </c>
      <c r="Q87">
        <v>1.4999999999999999E-2</v>
      </c>
      <c r="R87">
        <v>60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>
      <c r="A88">
        <v>356.15628645219527</v>
      </c>
      <c r="B88">
        <v>29.4</v>
      </c>
      <c r="C88">
        <v>8.479911582195129</v>
      </c>
      <c r="D88">
        <v>411.63240000000002</v>
      </c>
      <c r="E88">
        <v>689.6315352697095</v>
      </c>
      <c r="F88">
        <v>204.32325</v>
      </c>
      <c r="G88">
        <v>69.103049999999996</v>
      </c>
      <c r="H88">
        <v>33</v>
      </c>
      <c r="I88">
        <v>48</v>
      </c>
      <c r="J88">
        <v>5</v>
      </c>
      <c r="K88">
        <v>96</v>
      </c>
      <c r="L88">
        <v>57</v>
      </c>
      <c r="M88">
        <v>19</v>
      </c>
      <c r="N88">
        <v>1995</v>
      </c>
      <c r="O88">
        <v>0.27</v>
      </c>
      <c r="P88">
        <v>2.4700000000000002</v>
      </c>
      <c r="Q88">
        <v>1.4999999999999999E-2</v>
      </c>
      <c r="R88">
        <v>60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>
      <c r="A89">
        <v>356.15628645219527</v>
      </c>
      <c r="B89">
        <v>29.4</v>
      </c>
      <c r="C89">
        <v>8.479911582195129</v>
      </c>
      <c r="D89">
        <v>411.63240000000002</v>
      </c>
      <c r="E89">
        <v>689.6315352697095</v>
      </c>
      <c r="F89">
        <v>204.32325</v>
      </c>
      <c r="G89">
        <v>69.103049999999996</v>
      </c>
      <c r="H89">
        <v>332</v>
      </c>
      <c r="I89">
        <v>48</v>
      </c>
      <c r="J89">
        <v>5</v>
      </c>
      <c r="K89">
        <v>96</v>
      </c>
      <c r="L89">
        <v>57</v>
      </c>
      <c r="M89">
        <v>19</v>
      </c>
      <c r="N89">
        <v>1995</v>
      </c>
      <c r="O89">
        <v>0.27</v>
      </c>
      <c r="P89">
        <v>2.4700000000000002</v>
      </c>
      <c r="Q89">
        <v>1.4999999999999999E-2</v>
      </c>
      <c r="R89">
        <v>60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>
      <c r="A90">
        <v>422.71361026362428</v>
      </c>
      <c r="B90">
        <v>35</v>
      </c>
      <c r="C90">
        <v>8.4542722052724866</v>
      </c>
      <c r="D90">
        <v>464.69789999999989</v>
      </c>
      <c r="E90">
        <v>689.19834024896272</v>
      </c>
      <c r="F90">
        <v>182.94929999999999</v>
      </c>
      <c r="G90">
        <v>82.007100000000008</v>
      </c>
      <c r="H90">
        <v>39</v>
      </c>
      <c r="I90">
        <v>58</v>
      </c>
      <c r="J90">
        <v>9</v>
      </c>
      <c r="K90">
        <v>53</v>
      </c>
      <c r="L90">
        <v>51</v>
      </c>
      <c r="M90">
        <v>5</v>
      </c>
      <c r="N90">
        <v>1995</v>
      </c>
      <c r="O90">
        <v>0.27</v>
      </c>
      <c r="P90">
        <v>2.4700000000000002</v>
      </c>
      <c r="Q90">
        <v>1.4999999999999999E-2</v>
      </c>
      <c r="R90">
        <v>60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>
      <c r="A91">
        <v>337.61488584480952</v>
      </c>
      <c r="B91">
        <v>28</v>
      </c>
      <c r="C91">
        <v>8.4403721461202377</v>
      </c>
      <c r="D91">
        <v>449.32799999999997</v>
      </c>
      <c r="E91">
        <v>690.82987551867222</v>
      </c>
      <c r="F91">
        <v>191.47499999999999</v>
      </c>
      <c r="G91">
        <v>65.527000000000001</v>
      </c>
      <c r="H91">
        <v>7</v>
      </c>
      <c r="I91">
        <v>53</v>
      </c>
      <c r="J91">
        <v>5</v>
      </c>
      <c r="K91">
        <v>52</v>
      </c>
      <c r="L91">
        <v>60</v>
      </c>
      <c r="M91">
        <v>4</v>
      </c>
      <c r="N91">
        <v>1995</v>
      </c>
      <c r="O91">
        <v>0.27</v>
      </c>
      <c r="P91">
        <v>2.4700000000000002</v>
      </c>
      <c r="Q91">
        <v>1.4999999999999999E-2</v>
      </c>
      <c r="R91">
        <v>60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>
      <c r="A92">
        <v>381.83595994865942</v>
      </c>
      <c r="B92">
        <v>31.858974358974361</v>
      </c>
      <c r="C92">
        <v>8.3896351763367427</v>
      </c>
      <c r="D92">
        <v>850.81500000000005</v>
      </c>
      <c r="E92">
        <v>682.66034255743375</v>
      </c>
      <c r="F92">
        <v>232.54056</v>
      </c>
      <c r="G92">
        <v>73.944500000000005</v>
      </c>
      <c r="H92">
        <v>164</v>
      </c>
      <c r="I92">
        <v>56</v>
      </c>
      <c r="J92">
        <v>5</v>
      </c>
      <c r="K92">
        <v>293</v>
      </c>
      <c r="L92">
        <v>57</v>
      </c>
      <c r="M92">
        <v>21</v>
      </c>
      <c r="N92">
        <v>1995</v>
      </c>
      <c r="O92">
        <v>0.27</v>
      </c>
      <c r="P92">
        <v>2.4700000000000002</v>
      </c>
      <c r="Q92">
        <v>1.4999999999999999E-2</v>
      </c>
      <c r="R92">
        <v>60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>
      <c r="A93">
        <v>332.39175915759768</v>
      </c>
      <c r="B93">
        <v>28</v>
      </c>
      <c r="C93">
        <v>8.3097939789399415</v>
      </c>
      <c r="D93">
        <v>521.11800000000005</v>
      </c>
      <c r="E93">
        <v>686.73858921161832</v>
      </c>
      <c r="F93">
        <v>193.3236</v>
      </c>
      <c r="G93">
        <v>64.441200000000009</v>
      </c>
      <c r="H93">
        <v>53</v>
      </c>
      <c r="I93">
        <v>54</v>
      </c>
      <c r="J93">
        <v>10</v>
      </c>
      <c r="K93">
        <v>143</v>
      </c>
      <c r="L93">
        <v>56</v>
      </c>
      <c r="M93">
        <v>8</v>
      </c>
      <c r="N93">
        <v>1995</v>
      </c>
      <c r="O93">
        <v>0.27</v>
      </c>
      <c r="P93">
        <v>2.4700000000000002</v>
      </c>
      <c r="Q93">
        <v>1.4999999999999999E-2</v>
      </c>
      <c r="R93">
        <v>60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>
      <c r="A94">
        <v>329.80971059263891</v>
      </c>
      <c r="B94">
        <v>28</v>
      </c>
      <c r="C94">
        <v>8.2452427648159734</v>
      </c>
      <c r="D94">
        <v>449.50799999999998</v>
      </c>
      <c r="E94">
        <v>682.18257261410793</v>
      </c>
      <c r="F94">
        <v>191.583</v>
      </c>
      <c r="G94">
        <v>63.860999999999997</v>
      </c>
      <c r="H94">
        <v>7</v>
      </c>
      <c r="I94">
        <v>51</v>
      </c>
      <c r="J94">
        <v>5</v>
      </c>
      <c r="K94">
        <v>53</v>
      </c>
      <c r="L94">
        <v>62</v>
      </c>
      <c r="M94">
        <v>4</v>
      </c>
      <c r="N94">
        <v>1995</v>
      </c>
      <c r="O94">
        <v>0.27</v>
      </c>
      <c r="P94">
        <v>2.4700000000000002</v>
      </c>
      <c r="Q94">
        <v>1.4999999999999999E-2</v>
      </c>
      <c r="R94">
        <v>60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>
      <c r="A95">
        <v>329.75208201999021</v>
      </c>
      <c r="B95">
        <v>28</v>
      </c>
      <c r="C95">
        <v>8.243802050499756</v>
      </c>
      <c r="D95">
        <v>408.52800000000002</v>
      </c>
      <c r="E95">
        <v>692.26510966602257</v>
      </c>
      <c r="F95">
        <v>192.078</v>
      </c>
      <c r="G95">
        <v>64.025999999999996</v>
      </c>
      <c r="H95">
        <v>9</v>
      </c>
      <c r="I95">
        <v>52</v>
      </c>
      <c r="J95">
        <v>3</v>
      </c>
      <c r="K95">
        <v>93</v>
      </c>
      <c r="L95">
        <v>54</v>
      </c>
      <c r="M95">
        <v>3</v>
      </c>
      <c r="N95">
        <v>1995</v>
      </c>
      <c r="O95">
        <v>0.27</v>
      </c>
      <c r="P95">
        <v>2.4700000000000002</v>
      </c>
      <c r="Q95">
        <v>1.4999999999999999E-2</v>
      </c>
      <c r="R95">
        <v>60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>
      <c r="A96">
        <v>328.09191631110542</v>
      </c>
      <c r="B96">
        <v>28</v>
      </c>
      <c r="C96">
        <v>8.2022979077776341</v>
      </c>
      <c r="D96">
        <v>1232.0704000000001</v>
      </c>
      <c r="E96">
        <v>672.59751037344404</v>
      </c>
      <c r="F96">
        <v>190.08528000000001</v>
      </c>
      <c r="G96">
        <v>63.361759999999997</v>
      </c>
      <c r="H96">
        <v>6</v>
      </c>
      <c r="I96">
        <v>55</v>
      </c>
      <c r="J96">
        <v>5</v>
      </c>
      <c r="K96">
        <v>161</v>
      </c>
      <c r="L96">
        <v>58</v>
      </c>
      <c r="M96">
        <v>22</v>
      </c>
      <c r="N96">
        <v>1995</v>
      </c>
      <c r="O96">
        <v>0.27</v>
      </c>
      <c r="P96">
        <v>2.4700000000000002</v>
      </c>
      <c r="Q96">
        <v>1.4999999999999999E-2</v>
      </c>
      <c r="R96">
        <v>60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>
      <c r="A97">
        <v>327.04767442795787</v>
      </c>
      <c r="B97">
        <v>28</v>
      </c>
      <c r="C97">
        <v>8.1761918606989461</v>
      </c>
      <c r="D97">
        <v>635.79690000000016</v>
      </c>
      <c r="E97">
        <v>685.47385892116176</v>
      </c>
      <c r="F97">
        <v>190.14966000000001</v>
      </c>
      <c r="G97">
        <v>63.383220000000009</v>
      </c>
      <c r="H97">
        <v>52</v>
      </c>
      <c r="I97">
        <v>55</v>
      </c>
      <c r="J97">
        <v>9</v>
      </c>
      <c r="K97">
        <v>162</v>
      </c>
      <c r="L97">
        <v>57</v>
      </c>
      <c r="M97">
        <v>14</v>
      </c>
      <c r="N97">
        <v>1995</v>
      </c>
      <c r="O97">
        <v>0.27</v>
      </c>
      <c r="P97">
        <v>2.4700000000000002</v>
      </c>
      <c r="Q97">
        <v>1.4999999999999999E-2</v>
      </c>
      <c r="R97">
        <v>60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>
      <c r="A98">
        <v>341.85538959031311</v>
      </c>
      <c r="B98">
        <v>29.400000000000009</v>
      </c>
      <c r="C98">
        <v>8.1394140378645972</v>
      </c>
      <c r="D98">
        <v>398.71199999999999</v>
      </c>
      <c r="E98">
        <v>688.69709543568456</v>
      </c>
      <c r="F98">
        <v>199.77780000000001</v>
      </c>
      <c r="G98">
        <v>66.311400000000006</v>
      </c>
      <c r="H98">
        <v>43</v>
      </c>
      <c r="I98">
        <v>56</v>
      </c>
      <c r="J98">
        <v>4</v>
      </c>
      <c r="K98">
        <v>96</v>
      </c>
      <c r="L98">
        <v>55</v>
      </c>
      <c r="M98">
        <v>20</v>
      </c>
      <c r="N98">
        <v>1995</v>
      </c>
      <c r="O98">
        <v>0.27</v>
      </c>
      <c r="P98">
        <v>2.4700000000000002</v>
      </c>
      <c r="Q98">
        <v>1.4999999999999999E-2</v>
      </c>
      <c r="R98">
        <v>60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>
      <c r="A99">
        <v>325.10574602270788</v>
      </c>
      <c r="B99">
        <v>28</v>
      </c>
      <c r="C99">
        <v>8.1276436505676966</v>
      </c>
      <c r="D99">
        <v>628.70399999999995</v>
      </c>
      <c r="E99">
        <v>688.50622406639013</v>
      </c>
      <c r="F99">
        <v>181.6848</v>
      </c>
      <c r="G99">
        <v>63.059100000000008</v>
      </c>
      <c r="H99">
        <v>9</v>
      </c>
      <c r="I99">
        <v>51</v>
      </c>
      <c r="J99">
        <v>3</v>
      </c>
      <c r="K99">
        <v>143</v>
      </c>
      <c r="L99">
        <v>58</v>
      </c>
      <c r="M99">
        <v>8</v>
      </c>
      <c r="N99">
        <v>1995</v>
      </c>
      <c r="O99">
        <v>0.27</v>
      </c>
      <c r="P99">
        <v>2.4700000000000002</v>
      </c>
      <c r="Q99">
        <v>1.4999999999999999E-2</v>
      </c>
      <c r="R99">
        <v>60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>
      <c r="A100">
        <v>323.0797687665883</v>
      </c>
      <c r="B100">
        <v>28</v>
      </c>
      <c r="C100">
        <v>8.0769942191647086</v>
      </c>
      <c r="D100">
        <v>484.72960000000012</v>
      </c>
      <c r="E100">
        <v>686.60580912863065</v>
      </c>
      <c r="F100">
        <v>181.77359999999999</v>
      </c>
      <c r="G100">
        <v>62.633600000000008</v>
      </c>
      <c r="H100">
        <v>7</v>
      </c>
      <c r="I100">
        <v>62</v>
      </c>
      <c r="J100">
        <v>4</v>
      </c>
      <c r="K100">
        <v>6</v>
      </c>
      <c r="L100">
        <v>46</v>
      </c>
      <c r="M100">
        <v>3</v>
      </c>
      <c r="N100">
        <v>1995</v>
      </c>
      <c r="O100">
        <v>0.27</v>
      </c>
      <c r="P100">
        <v>2.4700000000000002</v>
      </c>
      <c r="Q100">
        <v>1.4999999999999999E-2</v>
      </c>
      <c r="R100">
        <v>60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>
      <c r="A101">
        <v>323.00738969717162</v>
      </c>
      <c r="B101">
        <v>28</v>
      </c>
      <c r="C101">
        <v>8.0751847424292897</v>
      </c>
      <c r="D101">
        <v>744.70176000000015</v>
      </c>
      <c r="E101">
        <v>684.57427385892129</v>
      </c>
      <c r="F101">
        <v>184.19832</v>
      </c>
      <c r="G101">
        <v>62.584800000000001</v>
      </c>
      <c r="H101">
        <v>8</v>
      </c>
      <c r="I101">
        <v>49</v>
      </c>
      <c r="J101">
        <v>4</v>
      </c>
      <c r="K101">
        <v>162</v>
      </c>
      <c r="L101">
        <v>62</v>
      </c>
      <c r="M101">
        <v>13</v>
      </c>
      <c r="N101">
        <v>1995</v>
      </c>
      <c r="O101">
        <v>0.27</v>
      </c>
      <c r="P101">
        <v>2.4700000000000002</v>
      </c>
      <c r="Q101">
        <v>1.4999999999999999E-2</v>
      </c>
      <c r="R101">
        <v>60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>
      <c r="A102">
        <v>416.30559085486351</v>
      </c>
      <c r="B102">
        <v>36.400000000000013</v>
      </c>
      <c r="C102">
        <v>8.0058767472089105</v>
      </c>
      <c r="D102">
        <v>372.036</v>
      </c>
      <c r="E102">
        <v>690.07176903059531</v>
      </c>
      <c r="F102">
        <v>319.37360000000001</v>
      </c>
      <c r="G102">
        <v>80.783199999999994</v>
      </c>
      <c r="H102">
        <v>163</v>
      </c>
      <c r="I102">
        <v>56</v>
      </c>
      <c r="J102">
        <v>11</v>
      </c>
      <c r="K102">
        <v>323</v>
      </c>
      <c r="L102">
        <v>57</v>
      </c>
      <c r="M102">
        <v>29</v>
      </c>
      <c r="N102">
        <v>1995</v>
      </c>
      <c r="O102">
        <v>0.27</v>
      </c>
      <c r="P102">
        <v>2.4700000000000002</v>
      </c>
      <c r="Q102">
        <v>1.4999999999999999E-2</v>
      </c>
      <c r="R102">
        <v>60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>
      <c r="A103">
        <v>319.89415494519562</v>
      </c>
      <c r="B103">
        <v>28</v>
      </c>
      <c r="C103">
        <v>7.9973538736298897</v>
      </c>
      <c r="D103">
        <v>902.32500000000005</v>
      </c>
      <c r="E103">
        <v>680.76348547717851</v>
      </c>
      <c r="F103">
        <v>181.755</v>
      </c>
      <c r="G103">
        <v>61.917000000000002</v>
      </c>
      <c r="H103">
        <v>2</v>
      </c>
      <c r="I103">
        <v>62</v>
      </c>
      <c r="J103">
        <v>6</v>
      </c>
      <c r="K103">
        <v>53</v>
      </c>
      <c r="L103">
        <v>50</v>
      </c>
      <c r="M103">
        <v>5</v>
      </c>
      <c r="N103">
        <v>1995</v>
      </c>
      <c r="O103">
        <v>0.27</v>
      </c>
      <c r="P103">
        <v>2.4700000000000002</v>
      </c>
      <c r="Q103">
        <v>1.4999999999999999E-2</v>
      </c>
      <c r="R103">
        <v>60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>
      <c r="A104">
        <v>575.7415175809673</v>
      </c>
      <c r="B104">
        <v>50.4</v>
      </c>
      <c r="C104">
        <v>7.9964099664023243</v>
      </c>
      <c r="D104">
        <v>624.18600000000004</v>
      </c>
      <c r="E104">
        <v>687.74439834024895</v>
      </c>
      <c r="F104">
        <v>199.5624</v>
      </c>
      <c r="G104">
        <v>111.6504</v>
      </c>
      <c r="H104">
        <v>111</v>
      </c>
      <c r="I104">
        <v>57</v>
      </c>
      <c r="J104">
        <v>38</v>
      </c>
      <c r="K104">
        <v>96</v>
      </c>
      <c r="L104">
        <v>54</v>
      </c>
      <c r="M104">
        <v>20</v>
      </c>
      <c r="N104">
        <v>1995</v>
      </c>
      <c r="O104">
        <v>0.27</v>
      </c>
      <c r="P104">
        <v>2.4700000000000002</v>
      </c>
      <c r="Q104">
        <v>1.4999999999999999E-2</v>
      </c>
      <c r="R104">
        <v>60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>
      <c r="A105">
        <v>318.81412906856838</v>
      </c>
      <c r="B105">
        <v>28</v>
      </c>
      <c r="C105">
        <v>7.9703532267142094</v>
      </c>
      <c r="D105">
        <v>1225.44</v>
      </c>
      <c r="E105">
        <v>679.13692946058086</v>
      </c>
      <c r="F105">
        <v>185.04143999999999</v>
      </c>
      <c r="G105">
        <v>61.68048000000001</v>
      </c>
      <c r="H105">
        <v>7</v>
      </c>
      <c r="I105">
        <v>57</v>
      </c>
      <c r="J105">
        <v>4</v>
      </c>
      <c r="K105">
        <v>161</v>
      </c>
      <c r="L105">
        <v>56</v>
      </c>
      <c r="M105">
        <v>23</v>
      </c>
      <c r="N105">
        <v>1995</v>
      </c>
      <c r="O105">
        <v>0.27</v>
      </c>
      <c r="P105">
        <v>2.4700000000000002</v>
      </c>
      <c r="Q105">
        <v>1.4999999999999999E-2</v>
      </c>
      <c r="R105">
        <v>60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>
      <c r="A106">
        <v>397.61823608748853</v>
      </c>
      <c r="B106">
        <v>35</v>
      </c>
      <c r="C106">
        <v>7.9523647217497686</v>
      </c>
      <c r="D106">
        <v>1236.6623999999999</v>
      </c>
      <c r="E106">
        <v>677.61659751037348</v>
      </c>
      <c r="F106">
        <v>175.84703999999999</v>
      </c>
      <c r="G106">
        <v>76.894559999999998</v>
      </c>
      <c r="H106">
        <v>39</v>
      </c>
      <c r="I106">
        <v>51</v>
      </c>
      <c r="J106">
        <v>9</v>
      </c>
      <c r="K106">
        <v>161</v>
      </c>
      <c r="L106">
        <v>57</v>
      </c>
      <c r="M106">
        <v>23</v>
      </c>
      <c r="N106">
        <v>1995</v>
      </c>
      <c r="O106">
        <v>0.27</v>
      </c>
      <c r="P106">
        <v>2.4700000000000002</v>
      </c>
      <c r="Q106">
        <v>1.4999999999999999E-2</v>
      </c>
      <c r="R106">
        <v>60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>
      <c r="A107">
        <v>316.59065005335202</v>
      </c>
      <c r="B107">
        <v>28</v>
      </c>
      <c r="C107">
        <v>7.9147662513338011</v>
      </c>
      <c r="D107">
        <v>386.65600000000001</v>
      </c>
      <c r="E107">
        <v>690.20701837971546</v>
      </c>
      <c r="F107">
        <v>183.15600000000001</v>
      </c>
      <c r="G107">
        <v>61.436</v>
      </c>
      <c r="H107">
        <v>6</v>
      </c>
      <c r="I107">
        <v>55</v>
      </c>
      <c r="J107">
        <v>5</v>
      </c>
      <c r="K107">
        <v>93</v>
      </c>
      <c r="L107">
        <v>54</v>
      </c>
      <c r="M107">
        <v>3</v>
      </c>
      <c r="N107">
        <v>1995</v>
      </c>
      <c r="O107">
        <v>0.27</v>
      </c>
      <c r="P107">
        <v>2.4700000000000002</v>
      </c>
      <c r="Q107">
        <v>1.4999999999999999E-2</v>
      </c>
      <c r="R107">
        <v>60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>
      <c r="A108">
        <v>316.48529304957162</v>
      </c>
      <c r="B108">
        <v>28</v>
      </c>
      <c r="C108">
        <v>7.9121323262392904</v>
      </c>
      <c r="D108">
        <v>625.64940000000013</v>
      </c>
      <c r="E108">
        <v>686.51950207468872</v>
      </c>
      <c r="F108">
        <v>184.06116</v>
      </c>
      <c r="G108">
        <v>61.353720000000003</v>
      </c>
      <c r="H108">
        <v>53</v>
      </c>
      <c r="I108">
        <v>54</v>
      </c>
      <c r="J108">
        <v>9</v>
      </c>
      <c r="K108">
        <v>162</v>
      </c>
      <c r="L108">
        <v>57</v>
      </c>
      <c r="M108">
        <v>14</v>
      </c>
      <c r="N108">
        <v>1995</v>
      </c>
      <c r="O108">
        <v>0.27</v>
      </c>
      <c r="P108">
        <v>2.4700000000000002</v>
      </c>
      <c r="Q108">
        <v>1.4999999999999999E-2</v>
      </c>
      <c r="R108">
        <v>60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>
      <c r="A109">
        <v>395.41325927900613</v>
      </c>
      <c r="B109">
        <v>35</v>
      </c>
      <c r="C109">
        <v>7.9082651855801211</v>
      </c>
      <c r="D109">
        <v>554.05439999999999</v>
      </c>
      <c r="E109">
        <v>684.40663900414938</v>
      </c>
      <c r="F109">
        <v>202.51439999999999</v>
      </c>
      <c r="G109">
        <v>76.610399999999998</v>
      </c>
      <c r="H109">
        <v>8</v>
      </c>
      <c r="I109">
        <v>53</v>
      </c>
      <c r="J109">
        <v>5</v>
      </c>
      <c r="K109">
        <v>39</v>
      </c>
      <c r="L109">
        <v>60</v>
      </c>
      <c r="M109">
        <v>3</v>
      </c>
      <c r="N109">
        <v>1995</v>
      </c>
      <c r="O109">
        <v>0.27</v>
      </c>
      <c r="P109">
        <v>2.4700000000000002</v>
      </c>
      <c r="Q109">
        <v>1.4999999999999999E-2</v>
      </c>
      <c r="R109">
        <v>60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>
      <c r="A110">
        <v>348.66884957934741</v>
      </c>
      <c r="B110">
        <v>30.93094405594406</v>
      </c>
      <c r="C110">
        <v>7.8907450824683174</v>
      </c>
      <c r="D110">
        <v>841.74300000000005</v>
      </c>
      <c r="E110">
        <v>681.73913841201511</v>
      </c>
      <c r="F110">
        <v>223.46856</v>
      </c>
      <c r="G110">
        <v>67.504499999999993</v>
      </c>
      <c r="H110">
        <v>95</v>
      </c>
      <c r="I110">
        <v>56</v>
      </c>
      <c r="J110">
        <v>5</v>
      </c>
      <c r="K110">
        <v>293</v>
      </c>
      <c r="L110">
        <v>57</v>
      </c>
      <c r="M110">
        <v>21</v>
      </c>
      <c r="N110">
        <v>1995</v>
      </c>
      <c r="O110">
        <v>0.27</v>
      </c>
      <c r="P110">
        <v>2.4700000000000002</v>
      </c>
      <c r="Q110">
        <v>1.4999999999999999E-2</v>
      </c>
      <c r="R110">
        <v>60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>
      <c r="A111">
        <v>393.16524493054283</v>
      </c>
      <c r="B111">
        <v>35.000000000000007</v>
      </c>
      <c r="C111">
        <v>7.8633048986108554</v>
      </c>
      <c r="D111">
        <v>596.33640000000003</v>
      </c>
      <c r="E111">
        <v>686.85809128630694</v>
      </c>
      <c r="F111">
        <v>205.79991999999999</v>
      </c>
      <c r="G111">
        <v>76.225920000000016</v>
      </c>
      <c r="H111">
        <v>52</v>
      </c>
      <c r="I111">
        <v>53</v>
      </c>
      <c r="J111">
        <v>12</v>
      </c>
      <c r="K111">
        <v>142</v>
      </c>
      <c r="L111">
        <v>57</v>
      </c>
      <c r="M111">
        <v>16</v>
      </c>
      <c r="N111">
        <v>1995</v>
      </c>
      <c r="O111">
        <v>0.27</v>
      </c>
      <c r="P111">
        <v>2.4700000000000002</v>
      </c>
      <c r="Q111">
        <v>1.4999999999999999E-2</v>
      </c>
      <c r="R111">
        <v>60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>
      <c r="A112">
        <v>392.4147819471043</v>
      </c>
      <c r="B112">
        <v>35</v>
      </c>
      <c r="C112">
        <v>7.8482956389420861</v>
      </c>
      <c r="D112">
        <v>736.9248</v>
      </c>
      <c r="E112">
        <v>682.87468879668063</v>
      </c>
      <c r="F112">
        <v>169.12559999999999</v>
      </c>
      <c r="G112">
        <v>75.997600000000006</v>
      </c>
      <c r="H112">
        <v>39</v>
      </c>
      <c r="I112">
        <v>59</v>
      </c>
      <c r="J112">
        <v>8</v>
      </c>
      <c r="K112">
        <v>2</v>
      </c>
      <c r="L112">
        <v>47</v>
      </c>
      <c r="M112">
        <v>4</v>
      </c>
      <c r="N112">
        <v>1995</v>
      </c>
      <c r="O112">
        <v>0.27</v>
      </c>
      <c r="P112">
        <v>2.4700000000000002</v>
      </c>
      <c r="Q112">
        <v>1.4999999999999999E-2</v>
      </c>
      <c r="R112">
        <v>60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>
      <c r="A113">
        <v>312.53605256615151</v>
      </c>
      <c r="B113">
        <v>28</v>
      </c>
      <c r="C113">
        <v>7.8134013141537881</v>
      </c>
      <c r="D113">
        <v>729.81760000000008</v>
      </c>
      <c r="E113">
        <v>686.7053941908714</v>
      </c>
      <c r="F113">
        <v>181.77359999999999</v>
      </c>
      <c r="G113">
        <v>60.591200000000008</v>
      </c>
      <c r="H113">
        <v>7</v>
      </c>
      <c r="I113">
        <v>59</v>
      </c>
      <c r="J113">
        <v>4</v>
      </c>
      <c r="K113">
        <v>2</v>
      </c>
      <c r="L113">
        <v>46</v>
      </c>
      <c r="M113">
        <v>4</v>
      </c>
      <c r="N113">
        <v>1995</v>
      </c>
      <c r="O113">
        <v>0.27</v>
      </c>
      <c r="P113">
        <v>2.4700000000000002</v>
      </c>
      <c r="Q113">
        <v>1.4999999999999999E-2</v>
      </c>
      <c r="R113">
        <v>60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>
      <c r="A114">
        <v>312.36353586831461</v>
      </c>
      <c r="B114">
        <v>28</v>
      </c>
      <c r="C114">
        <v>7.8090883967078648</v>
      </c>
      <c r="D114">
        <v>628.70399999999995</v>
      </c>
      <c r="E114">
        <v>686.93775933609959</v>
      </c>
      <c r="F114">
        <v>181.6848</v>
      </c>
      <c r="G114">
        <v>60.561600000000013</v>
      </c>
      <c r="H114">
        <v>6</v>
      </c>
      <c r="I114">
        <v>54</v>
      </c>
      <c r="J114">
        <v>5</v>
      </c>
      <c r="K114">
        <v>143</v>
      </c>
      <c r="L114">
        <v>58</v>
      </c>
      <c r="M114">
        <v>8</v>
      </c>
      <c r="N114">
        <v>1995</v>
      </c>
      <c r="O114">
        <v>0.27</v>
      </c>
      <c r="P114">
        <v>2.4700000000000002</v>
      </c>
      <c r="Q114">
        <v>1.4999999999999999E-2</v>
      </c>
      <c r="R114">
        <v>60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>
      <c r="A115">
        <v>312.19243271426478</v>
      </c>
      <c r="B115">
        <v>28.000000000000011</v>
      </c>
      <c r="C115">
        <v>7.8048108178566178</v>
      </c>
      <c r="D115">
        <v>406.08600000000001</v>
      </c>
      <c r="E115">
        <v>691.91765387301962</v>
      </c>
      <c r="F115">
        <v>203.6472</v>
      </c>
      <c r="G115">
        <v>60.610799999999998</v>
      </c>
      <c r="H115">
        <v>33</v>
      </c>
      <c r="I115">
        <v>51</v>
      </c>
      <c r="J115">
        <v>4</v>
      </c>
      <c r="K115">
        <v>235</v>
      </c>
      <c r="L115">
        <v>53</v>
      </c>
      <c r="M115">
        <v>4</v>
      </c>
      <c r="N115">
        <v>1995</v>
      </c>
      <c r="O115">
        <v>0.27</v>
      </c>
      <c r="P115">
        <v>2.4700000000000002</v>
      </c>
      <c r="Q115">
        <v>1.4999999999999999E-2</v>
      </c>
      <c r="R115">
        <v>60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>
      <c r="A116">
        <v>312.19243271426478</v>
      </c>
      <c r="B116">
        <v>28.000000000000011</v>
      </c>
      <c r="C116">
        <v>7.8048108178566178</v>
      </c>
      <c r="D116">
        <v>406.08600000000001</v>
      </c>
      <c r="E116">
        <v>691.91765387301962</v>
      </c>
      <c r="F116">
        <v>203.6472</v>
      </c>
      <c r="G116">
        <v>60.610799999999998</v>
      </c>
      <c r="H116">
        <v>332</v>
      </c>
      <c r="I116">
        <v>51</v>
      </c>
      <c r="J116">
        <v>4</v>
      </c>
      <c r="K116">
        <v>235</v>
      </c>
      <c r="L116">
        <v>53</v>
      </c>
      <c r="M116">
        <v>4</v>
      </c>
      <c r="N116">
        <v>1995</v>
      </c>
      <c r="O116">
        <v>0.27</v>
      </c>
      <c r="P116">
        <v>2.4700000000000002</v>
      </c>
      <c r="Q116">
        <v>1.4999999999999999E-2</v>
      </c>
      <c r="R116">
        <v>60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>
      <c r="A117">
        <v>389.88322764683551</v>
      </c>
      <c r="B117">
        <v>35</v>
      </c>
      <c r="C117">
        <v>7.7976645529367099</v>
      </c>
      <c r="D117">
        <v>490.07040000000001</v>
      </c>
      <c r="E117">
        <v>688.69709543568467</v>
      </c>
      <c r="F117">
        <v>201.90639999999999</v>
      </c>
      <c r="G117">
        <v>75.627600000000001</v>
      </c>
      <c r="H117">
        <v>8</v>
      </c>
      <c r="I117">
        <v>52</v>
      </c>
      <c r="J117">
        <v>5</v>
      </c>
      <c r="K117">
        <v>55</v>
      </c>
      <c r="L117">
        <v>57</v>
      </c>
      <c r="M117">
        <v>4</v>
      </c>
      <c r="N117">
        <v>1995</v>
      </c>
      <c r="O117">
        <v>0.27</v>
      </c>
      <c r="P117">
        <v>2.4700000000000002</v>
      </c>
      <c r="Q117">
        <v>1.4999999999999999E-2</v>
      </c>
      <c r="R117">
        <v>60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>
      <c r="A118">
        <v>388.78493026347439</v>
      </c>
      <c r="B118">
        <v>35</v>
      </c>
      <c r="C118">
        <v>7.775698605269489</v>
      </c>
      <c r="D118">
        <v>752.14537500000017</v>
      </c>
      <c r="E118">
        <v>685.17842323651462</v>
      </c>
      <c r="F118">
        <v>201.67005</v>
      </c>
      <c r="G118">
        <v>75.342075000000008</v>
      </c>
      <c r="H118">
        <v>8</v>
      </c>
      <c r="I118">
        <v>50</v>
      </c>
      <c r="J118">
        <v>5</v>
      </c>
      <c r="K118">
        <v>142</v>
      </c>
      <c r="L118">
        <v>63</v>
      </c>
      <c r="M118">
        <v>15</v>
      </c>
      <c r="N118">
        <v>1995</v>
      </c>
      <c r="O118">
        <v>0.27</v>
      </c>
      <c r="P118">
        <v>2.4700000000000002</v>
      </c>
      <c r="Q118">
        <v>1.4999999999999999E-2</v>
      </c>
      <c r="R118">
        <v>60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>
      <c r="A119">
        <v>440.58713736228123</v>
      </c>
      <c r="B119">
        <v>39.666666666666657</v>
      </c>
      <c r="C119">
        <v>7.7750671299226113</v>
      </c>
      <c r="D119">
        <v>416.50200000000001</v>
      </c>
      <c r="E119">
        <v>687.20246033501644</v>
      </c>
      <c r="F119">
        <v>250.19280000000001</v>
      </c>
      <c r="G119">
        <v>85.427999999999997</v>
      </c>
      <c r="H119">
        <v>164</v>
      </c>
      <c r="I119">
        <v>54</v>
      </c>
      <c r="J119">
        <v>6</v>
      </c>
      <c r="K119">
        <v>323</v>
      </c>
      <c r="L119">
        <v>59</v>
      </c>
      <c r="M119">
        <v>30</v>
      </c>
      <c r="N119">
        <v>1995</v>
      </c>
      <c r="O119">
        <v>0.27</v>
      </c>
      <c r="P119">
        <v>2.4700000000000002</v>
      </c>
      <c r="Q119">
        <v>1.4999999999999999E-2</v>
      </c>
      <c r="R119">
        <v>60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>
      <c r="A120">
        <v>559.63357332991097</v>
      </c>
      <c r="B120">
        <v>50.400000000000013</v>
      </c>
      <c r="C120">
        <v>7.7726885184709857</v>
      </c>
      <c r="D120">
        <v>475.07639999999998</v>
      </c>
      <c r="E120">
        <v>672.26556016597499</v>
      </c>
      <c r="F120">
        <v>186.18328</v>
      </c>
      <c r="G120">
        <v>108.0677</v>
      </c>
      <c r="H120">
        <v>112</v>
      </c>
      <c r="I120">
        <v>55</v>
      </c>
      <c r="J120">
        <v>9</v>
      </c>
      <c r="K120">
        <v>163</v>
      </c>
      <c r="L120">
        <v>56</v>
      </c>
      <c r="M120">
        <v>4</v>
      </c>
      <c r="N120">
        <v>1995</v>
      </c>
      <c r="O120">
        <v>0.27</v>
      </c>
      <c r="P120">
        <v>2.4700000000000002</v>
      </c>
      <c r="Q120">
        <v>1.4999999999999999E-2</v>
      </c>
      <c r="R120">
        <v>60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>
      <c r="A121">
        <v>388.22738086496707</v>
      </c>
      <c r="B121">
        <v>35</v>
      </c>
      <c r="C121">
        <v>7.7645476172993426</v>
      </c>
      <c r="D121">
        <v>1448.52225</v>
      </c>
      <c r="E121">
        <v>674.74190871369296</v>
      </c>
      <c r="F121">
        <v>162.96798000000001</v>
      </c>
      <c r="G121">
        <v>75.019350000000003</v>
      </c>
      <c r="H121">
        <v>142</v>
      </c>
      <c r="I121">
        <v>61</v>
      </c>
      <c r="J121">
        <v>42</v>
      </c>
      <c r="K121">
        <v>161</v>
      </c>
      <c r="L121">
        <v>52</v>
      </c>
      <c r="M121">
        <v>14</v>
      </c>
      <c r="N121">
        <v>1995</v>
      </c>
      <c r="O121">
        <v>0.27</v>
      </c>
      <c r="P121">
        <v>2.4700000000000002</v>
      </c>
      <c r="Q121">
        <v>1.4999999999999999E-2</v>
      </c>
      <c r="R121">
        <v>60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>
      <c r="A122">
        <v>349.30895941084469</v>
      </c>
      <c r="B122">
        <v>31.5</v>
      </c>
      <c r="C122">
        <v>7.7624213202409944</v>
      </c>
      <c r="D122">
        <v>429.8904</v>
      </c>
      <c r="E122">
        <v>691.91701244813282</v>
      </c>
      <c r="F122">
        <v>225.5436</v>
      </c>
      <c r="G122">
        <v>67.816800000000001</v>
      </c>
      <c r="H122">
        <v>22</v>
      </c>
      <c r="I122">
        <v>56</v>
      </c>
      <c r="J122">
        <v>3</v>
      </c>
      <c r="K122">
        <v>54</v>
      </c>
      <c r="L122">
        <v>48</v>
      </c>
      <c r="M122">
        <v>2</v>
      </c>
      <c r="N122">
        <v>1995</v>
      </c>
      <c r="O122">
        <v>0.27</v>
      </c>
      <c r="P122">
        <v>2.4700000000000002</v>
      </c>
      <c r="Q122">
        <v>1.4999999999999999E-2</v>
      </c>
      <c r="R122">
        <v>60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>
      <c r="A123">
        <v>348.75885682763402</v>
      </c>
      <c r="B123">
        <v>31.5</v>
      </c>
      <c r="C123">
        <v>7.7501968183918661</v>
      </c>
      <c r="D123">
        <v>429.57</v>
      </c>
      <c r="E123">
        <v>691.91701244813282</v>
      </c>
      <c r="F123">
        <v>225.33</v>
      </c>
      <c r="G123">
        <v>67.709999999999994</v>
      </c>
      <c r="H123">
        <v>22</v>
      </c>
      <c r="I123">
        <v>56</v>
      </c>
      <c r="J123">
        <v>3</v>
      </c>
      <c r="K123">
        <v>55</v>
      </c>
      <c r="L123">
        <v>57</v>
      </c>
      <c r="M123">
        <v>4</v>
      </c>
      <c r="N123">
        <v>1995</v>
      </c>
      <c r="O123">
        <v>0.27</v>
      </c>
      <c r="P123">
        <v>2.4700000000000002</v>
      </c>
      <c r="Q123">
        <v>1.4999999999999999E-2</v>
      </c>
      <c r="R123">
        <v>60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>
      <c r="A124">
        <v>347.94467328106828</v>
      </c>
      <c r="B124">
        <v>31.5</v>
      </c>
      <c r="C124">
        <v>7.7321038506904047</v>
      </c>
      <c r="D124">
        <v>691.1748</v>
      </c>
      <c r="E124">
        <v>686.12116182572618</v>
      </c>
      <c r="F124">
        <v>224.02464000000001</v>
      </c>
      <c r="G124">
        <v>67.445080000000004</v>
      </c>
      <c r="H124">
        <v>22</v>
      </c>
      <c r="I124">
        <v>54</v>
      </c>
      <c r="J124">
        <v>3</v>
      </c>
      <c r="K124">
        <v>142</v>
      </c>
      <c r="L124">
        <v>58</v>
      </c>
      <c r="M124">
        <v>16</v>
      </c>
      <c r="N124">
        <v>1995</v>
      </c>
      <c r="O124">
        <v>0.27</v>
      </c>
      <c r="P124">
        <v>2.4700000000000002</v>
      </c>
      <c r="Q124">
        <v>1.4999999999999999E-2</v>
      </c>
      <c r="R124">
        <v>60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>
      <c r="A125">
        <v>359.3949943360343</v>
      </c>
      <c r="B125">
        <v>32.666666666666657</v>
      </c>
      <c r="C125">
        <v>7.7013213072007352</v>
      </c>
      <c r="D125">
        <v>386.28</v>
      </c>
      <c r="E125">
        <v>690.34370279562518</v>
      </c>
      <c r="F125">
        <v>213.12</v>
      </c>
      <c r="G125">
        <v>69.745000000000005</v>
      </c>
      <c r="H125">
        <v>164</v>
      </c>
      <c r="I125">
        <v>52</v>
      </c>
      <c r="J125">
        <v>5</v>
      </c>
      <c r="K125">
        <v>160</v>
      </c>
      <c r="L125">
        <v>60</v>
      </c>
      <c r="M125">
        <v>13</v>
      </c>
      <c r="N125">
        <v>1995</v>
      </c>
      <c r="O125">
        <v>0.27</v>
      </c>
      <c r="P125">
        <v>2.4700000000000002</v>
      </c>
      <c r="Q125">
        <v>1.4999999999999999E-2</v>
      </c>
      <c r="R125">
        <v>60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>
      <c r="A126">
        <v>384.73283803145841</v>
      </c>
      <c r="B126">
        <v>35</v>
      </c>
      <c r="C126">
        <v>7.6946567606291687</v>
      </c>
      <c r="D126">
        <v>371.11</v>
      </c>
      <c r="E126">
        <v>689.62655601659742</v>
      </c>
      <c r="F126">
        <v>169.71899999999999</v>
      </c>
      <c r="G126">
        <v>74.647499999999994</v>
      </c>
      <c r="H126">
        <v>33</v>
      </c>
      <c r="I126">
        <v>54</v>
      </c>
      <c r="J126">
        <v>5</v>
      </c>
      <c r="K126">
        <v>52</v>
      </c>
      <c r="L126">
        <v>51</v>
      </c>
      <c r="M126">
        <v>5</v>
      </c>
      <c r="N126">
        <v>1995</v>
      </c>
      <c r="O126">
        <v>0.27</v>
      </c>
      <c r="P126">
        <v>2.4700000000000002</v>
      </c>
      <c r="Q126">
        <v>1.4999999999999999E-2</v>
      </c>
      <c r="R126">
        <v>60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>
      <c r="A127">
        <v>384.73283803145841</v>
      </c>
      <c r="B127">
        <v>35</v>
      </c>
      <c r="C127">
        <v>7.6946567606291687</v>
      </c>
      <c r="D127">
        <v>371.11</v>
      </c>
      <c r="E127">
        <v>689.62655601659742</v>
      </c>
      <c r="F127">
        <v>169.71899999999999</v>
      </c>
      <c r="G127">
        <v>74.647499999999994</v>
      </c>
      <c r="H127">
        <v>332</v>
      </c>
      <c r="I127">
        <v>54</v>
      </c>
      <c r="J127">
        <v>5</v>
      </c>
      <c r="K127">
        <v>52</v>
      </c>
      <c r="L127">
        <v>51</v>
      </c>
      <c r="M127">
        <v>5</v>
      </c>
      <c r="N127">
        <v>1995</v>
      </c>
      <c r="O127">
        <v>0.27</v>
      </c>
      <c r="P127">
        <v>2.4700000000000002</v>
      </c>
      <c r="Q127">
        <v>1.4999999999999999E-2</v>
      </c>
      <c r="R127">
        <v>60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>
      <c r="A128">
        <v>490.08859458483732</v>
      </c>
      <c r="B128">
        <v>44.744000000000007</v>
      </c>
      <c r="C128">
        <v>7.6672183132796814</v>
      </c>
      <c r="D128">
        <v>452.30399999999997</v>
      </c>
      <c r="E128">
        <v>689.56680497925322</v>
      </c>
      <c r="F128">
        <v>388.15199999999999</v>
      </c>
      <c r="G128">
        <v>95.087519999999984</v>
      </c>
      <c r="H128">
        <v>135</v>
      </c>
      <c r="I128">
        <v>66</v>
      </c>
      <c r="J128">
        <v>4</v>
      </c>
      <c r="K128">
        <v>40</v>
      </c>
      <c r="L128">
        <v>54</v>
      </c>
      <c r="M128">
        <v>6</v>
      </c>
      <c r="N128">
        <v>1995</v>
      </c>
      <c r="O128">
        <v>0.27</v>
      </c>
      <c r="P128">
        <v>2.4700000000000002</v>
      </c>
      <c r="Q128">
        <v>1.4999999999999999E-2</v>
      </c>
      <c r="R128">
        <v>60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>
      <c r="A129">
        <v>321.89303304664088</v>
      </c>
      <c r="B129">
        <v>29.400000000000009</v>
      </c>
      <c r="C129">
        <v>7.6641198344438299</v>
      </c>
      <c r="D129">
        <v>528.95040000000006</v>
      </c>
      <c r="E129">
        <v>684.10954356846469</v>
      </c>
      <c r="F129">
        <v>246.66112000000001</v>
      </c>
      <c r="G129">
        <v>62.360959999999992</v>
      </c>
      <c r="H129">
        <v>57</v>
      </c>
      <c r="I129">
        <v>58</v>
      </c>
      <c r="J129">
        <v>12</v>
      </c>
      <c r="K129">
        <v>142</v>
      </c>
      <c r="L129">
        <v>56</v>
      </c>
      <c r="M129">
        <v>16</v>
      </c>
      <c r="N129">
        <v>1995</v>
      </c>
      <c r="O129">
        <v>0.27</v>
      </c>
      <c r="P129">
        <v>2.4700000000000002</v>
      </c>
      <c r="Q129">
        <v>1.4999999999999999E-2</v>
      </c>
      <c r="R129">
        <v>60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>
      <c r="A130">
        <v>382.78120521270642</v>
      </c>
      <c r="B130">
        <v>35</v>
      </c>
      <c r="C130">
        <v>7.6556241042541293</v>
      </c>
      <c r="D130">
        <v>531.84339999999997</v>
      </c>
      <c r="E130">
        <v>689.95020746887963</v>
      </c>
      <c r="F130">
        <v>202.03960000000001</v>
      </c>
      <c r="G130">
        <v>74.275400000000005</v>
      </c>
      <c r="H130">
        <v>8</v>
      </c>
      <c r="I130">
        <v>51</v>
      </c>
      <c r="J130">
        <v>5</v>
      </c>
      <c r="K130">
        <v>33</v>
      </c>
      <c r="L130">
        <v>53</v>
      </c>
      <c r="M130">
        <v>2</v>
      </c>
      <c r="N130">
        <v>1995</v>
      </c>
      <c r="O130">
        <v>0.27</v>
      </c>
      <c r="P130">
        <v>2.4700000000000002</v>
      </c>
      <c r="Q130">
        <v>1.4999999999999999E-2</v>
      </c>
      <c r="R130">
        <v>60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>
      <c r="A131">
        <v>382.78120521270642</v>
      </c>
      <c r="B131">
        <v>35</v>
      </c>
      <c r="C131">
        <v>7.6556241042541293</v>
      </c>
      <c r="D131">
        <v>531.84339999999997</v>
      </c>
      <c r="E131">
        <v>689.95020746887963</v>
      </c>
      <c r="F131">
        <v>202.03960000000001</v>
      </c>
      <c r="G131">
        <v>74.275400000000005</v>
      </c>
      <c r="H131">
        <v>8</v>
      </c>
      <c r="I131">
        <v>51</v>
      </c>
      <c r="J131">
        <v>5</v>
      </c>
      <c r="K131">
        <v>332</v>
      </c>
      <c r="L131">
        <v>53</v>
      </c>
      <c r="M131">
        <v>2</v>
      </c>
      <c r="N131">
        <v>1995</v>
      </c>
      <c r="O131">
        <v>0.27</v>
      </c>
      <c r="P131">
        <v>2.4700000000000002</v>
      </c>
      <c r="Q131">
        <v>1.4999999999999999E-2</v>
      </c>
      <c r="R131">
        <v>60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>
      <c r="A132">
        <v>380.09096983924979</v>
      </c>
      <c r="B132">
        <v>35</v>
      </c>
      <c r="C132">
        <v>7.6018193967849976</v>
      </c>
      <c r="D132">
        <v>484.37135999999998</v>
      </c>
      <c r="E132">
        <v>691.51867219917017</v>
      </c>
      <c r="F132">
        <v>199.57535999999999</v>
      </c>
      <c r="G132">
        <v>73.784970000000001</v>
      </c>
      <c r="H132">
        <v>8</v>
      </c>
      <c r="I132">
        <v>63</v>
      </c>
      <c r="J132">
        <v>4</v>
      </c>
      <c r="K132">
        <v>36</v>
      </c>
      <c r="L132">
        <v>49</v>
      </c>
      <c r="M132">
        <v>3</v>
      </c>
      <c r="N132">
        <v>1995</v>
      </c>
      <c r="O132">
        <v>0.27</v>
      </c>
      <c r="P132">
        <v>2.4700000000000002</v>
      </c>
      <c r="Q132">
        <v>1.4999999999999999E-2</v>
      </c>
      <c r="R132">
        <v>60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>
      <c r="A133">
        <v>379.82754797314482</v>
      </c>
      <c r="B133">
        <v>35</v>
      </c>
      <c r="C133">
        <v>7.5965509594628946</v>
      </c>
      <c r="D133">
        <v>1059.0953999999999</v>
      </c>
      <c r="E133">
        <v>681.72614107883828</v>
      </c>
      <c r="F133">
        <v>169.73527999999999</v>
      </c>
      <c r="G133">
        <v>73.536760000000015</v>
      </c>
      <c r="H133">
        <v>55</v>
      </c>
      <c r="I133">
        <v>55</v>
      </c>
      <c r="J133">
        <v>10</v>
      </c>
      <c r="K133">
        <v>161</v>
      </c>
      <c r="L133">
        <v>58</v>
      </c>
      <c r="M133">
        <v>22</v>
      </c>
      <c r="N133">
        <v>1995</v>
      </c>
      <c r="O133">
        <v>0.27</v>
      </c>
      <c r="P133">
        <v>2.4700000000000002</v>
      </c>
      <c r="Q133">
        <v>1.4999999999999999E-2</v>
      </c>
      <c r="R133">
        <v>60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>
      <c r="A134">
        <v>341.05016716986171</v>
      </c>
      <c r="B134">
        <v>31.5</v>
      </c>
      <c r="C134">
        <v>7.578892603774702</v>
      </c>
      <c r="D134">
        <v>468.27199999999999</v>
      </c>
      <c r="E134">
        <v>690.1742738589212</v>
      </c>
      <c r="F134">
        <v>223.93879999999999</v>
      </c>
      <c r="G134">
        <v>66.181899999999999</v>
      </c>
      <c r="H134">
        <v>22</v>
      </c>
      <c r="I134">
        <v>55</v>
      </c>
      <c r="J134">
        <v>3</v>
      </c>
      <c r="K134">
        <v>33</v>
      </c>
      <c r="L134">
        <v>52</v>
      </c>
      <c r="M134">
        <v>2</v>
      </c>
      <c r="N134">
        <v>1995</v>
      </c>
      <c r="O134">
        <v>0.27</v>
      </c>
      <c r="P134">
        <v>2.4700000000000002</v>
      </c>
      <c r="Q134">
        <v>1.4999999999999999E-2</v>
      </c>
      <c r="R134">
        <v>60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>
      <c r="A135">
        <v>341.05016716986171</v>
      </c>
      <c r="B135">
        <v>31.5</v>
      </c>
      <c r="C135">
        <v>7.578892603774702</v>
      </c>
      <c r="D135">
        <v>468.27199999999999</v>
      </c>
      <c r="E135">
        <v>690.1742738589212</v>
      </c>
      <c r="F135">
        <v>223.93879999999999</v>
      </c>
      <c r="G135">
        <v>66.181899999999999</v>
      </c>
      <c r="H135">
        <v>22</v>
      </c>
      <c r="I135">
        <v>55</v>
      </c>
      <c r="J135">
        <v>3</v>
      </c>
      <c r="K135">
        <v>332</v>
      </c>
      <c r="L135">
        <v>52</v>
      </c>
      <c r="M135">
        <v>2</v>
      </c>
      <c r="N135">
        <v>1995</v>
      </c>
      <c r="O135">
        <v>0.27</v>
      </c>
      <c r="P135">
        <v>2.4700000000000002</v>
      </c>
      <c r="Q135">
        <v>1.4999999999999999E-2</v>
      </c>
      <c r="R135">
        <v>60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>
      <c r="A136">
        <v>378.80226537453461</v>
      </c>
      <c r="B136">
        <v>35.000000000000007</v>
      </c>
      <c r="C136">
        <v>7.5760453074906913</v>
      </c>
      <c r="D136">
        <v>584.35590000000002</v>
      </c>
      <c r="E136">
        <v>686.89792531120327</v>
      </c>
      <c r="F136">
        <v>198.61161999999999</v>
      </c>
      <c r="G136">
        <v>73.442059999999998</v>
      </c>
      <c r="H136">
        <v>53</v>
      </c>
      <c r="I136">
        <v>57</v>
      </c>
      <c r="J136">
        <v>11</v>
      </c>
      <c r="K136">
        <v>142</v>
      </c>
      <c r="L136">
        <v>56</v>
      </c>
      <c r="M136">
        <v>16</v>
      </c>
      <c r="N136">
        <v>1995</v>
      </c>
      <c r="O136">
        <v>0.27</v>
      </c>
      <c r="P136">
        <v>2.4700000000000002</v>
      </c>
      <c r="Q136">
        <v>1.4999999999999999E-2</v>
      </c>
      <c r="R136">
        <v>60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>
      <c r="A137">
        <v>378.64175904331739</v>
      </c>
      <c r="B137">
        <v>35</v>
      </c>
      <c r="C137">
        <v>7.5728351808663481</v>
      </c>
      <c r="D137">
        <v>1066.0224000000001</v>
      </c>
      <c r="E137">
        <v>677.24481327800822</v>
      </c>
      <c r="F137">
        <v>169.30944</v>
      </c>
      <c r="G137">
        <v>73.217280000000002</v>
      </c>
      <c r="H137">
        <v>54</v>
      </c>
      <c r="I137">
        <v>57</v>
      </c>
      <c r="J137">
        <v>4</v>
      </c>
      <c r="K137">
        <v>161</v>
      </c>
      <c r="L137">
        <v>56</v>
      </c>
      <c r="M137">
        <v>23</v>
      </c>
      <c r="N137">
        <v>1995</v>
      </c>
      <c r="O137">
        <v>0.27</v>
      </c>
      <c r="P137">
        <v>2.4700000000000002</v>
      </c>
      <c r="Q137">
        <v>1.4999999999999999E-2</v>
      </c>
      <c r="R137">
        <v>60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>
      <c r="A138">
        <v>377.52556787136427</v>
      </c>
      <c r="B138">
        <v>35</v>
      </c>
      <c r="C138">
        <v>7.5505113574272853</v>
      </c>
      <c r="D138">
        <v>546.07680000000005</v>
      </c>
      <c r="E138">
        <v>689.81078838174278</v>
      </c>
      <c r="F138">
        <v>199.78559999999999</v>
      </c>
      <c r="G138">
        <v>73.252800000000008</v>
      </c>
      <c r="H138">
        <v>9</v>
      </c>
      <c r="I138">
        <v>48</v>
      </c>
      <c r="J138">
        <v>4</v>
      </c>
      <c r="K138">
        <v>39</v>
      </c>
      <c r="L138">
        <v>57</v>
      </c>
      <c r="M138">
        <v>3</v>
      </c>
      <c r="N138">
        <v>1995</v>
      </c>
      <c r="O138">
        <v>0.27</v>
      </c>
      <c r="P138">
        <v>2.4700000000000002</v>
      </c>
      <c r="Q138">
        <v>1.4999999999999999E-2</v>
      </c>
      <c r="R138">
        <v>60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>
      <c r="A139">
        <v>376.35319004256871</v>
      </c>
      <c r="B139">
        <v>35</v>
      </c>
      <c r="C139">
        <v>7.5270638008513728</v>
      </c>
      <c r="D139">
        <v>558.57600000000002</v>
      </c>
      <c r="E139">
        <v>687.13692946058086</v>
      </c>
      <c r="F139">
        <v>165.92400000000001</v>
      </c>
      <c r="G139">
        <v>72.971999999999994</v>
      </c>
      <c r="H139">
        <v>54</v>
      </c>
      <c r="I139">
        <v>60</v>
      </c>
      <c r="J139">
        <v>4</v>
      </c>
      <c r="K139">
        <v>2</v>
      </c>
      <c r="L139">
        <v>45</v>
      </c>
      <c r="M139">
        <v>4</v>
      </c>
      <c r="N139">
        <v>1995</v>
      </c>
      <c r="O139">
        <v>0.27</v>
      </c>
      <c r="P139">
        <v>2.4700000000000002</v>
      </c>
      <c r="Q139">
        <v>1.4999999999999999E-2</v>
      </c>
      <c r="R139">
        <v>60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>
      <c r="A140">
        <v>336.44820022062049</v>
      </c>
      <c r="B140">
        <v>31.5</v>
      </c>
      <c r="C140">
        <v>7.4766266715693437</v>
      </c>
      <c r="D140">
        <v>448.29199999999997</v>
      </c>
      <c r="E140">
        <v>690.87136929460576</v>
      </c>
      <c r="F140">
        <v>213.94880000000001</v>
      </c>
      <c r="G140">
        <v>65.301299999999998</v>
      </c>
      <c r="H140">
        <v>22</v>
      </c>
      <c r="I140">
        <v>53</v>
      </c>
      <c r="J140">
        <v>3</v>
      </c>
      <c r="K140">
        <v>43</v>
      </c>
      <c r="L140">
        <v>54</v>
      </c>
      <c r="M140">
        <v>2</v>
      </c>
      <c r="N140">
        <v>1995</v>
      </c>
      <c r="O140">
        <v>0.27</v>
      </c>
      <c r="P140">
        <v>2.4700000000000002</v>
      </c>
      <c r="Q140">
        <v>1.4999999999999999E-2</v>
      </c>
      <c r="R140">
        <v>60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>
      <c r="A141">
        <v>372.76755581958332</v>
      </c>
      <c r="B141">
        <v>35</v>
      </c>
      <c r="C141">
        <v>7.4553511163916664</v>
      </c>
      <c r="D141">
        <v>448.54559999999998</v>
      </c>
      <c r="E141">
        <v>691.86721991701245</v>
      </c>
      <c r="F141">
        <v>186.36539999999999</v>
      </c>
      <c r="G141">
        <v>72.370199999999997</v>
      </c>
      <c r="H141">
        <v>9</v>
      </c>
      <c r="I141">
        <v>62</v>
      </c>
      <c r="J141">
        <v>3</v>
      </c>
      <c r="K141">
        <v>54</v>
      </c>
      <c r="L141">
        <v>47</v>
      </c>
      <c r="M141">
        <v>2</v>
      </c>
      <c r="N141">
        <v>1995</v>
      </c>
      <c r="O141">
        <v>0.27</v>
      </c>
      <c r="P141">
        <v>2.4700000000000002</v>
      </c>
      <c r="Q141">
        <v>1.4999999999999999E-2</v>
      </c>
      <c r="R141">
        <v>60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>
      <c r="A142">
        <v>327.31677733602407</v>
      </c>
      <c r="B142">
        <v>30.744</v>
      </c>
      <c r="C142">
        <v>7.4525677899823357</v>
      </c>
      <c r="D142">
        <v>801.21849999999995</v>
      </c>
      <c r="E142">
        <v>686.59749061755758</v>
      </c>
      <c r="F142">
        <v>654.53549999999996</v>
      </c>
      <c r="G142">
        <v>63.454859999999996</v>
      </c>
      <c r="H142">
        <v>40</v>
      </c>
      <c r="I142">
        <v>57</v>
      </c>
      <c r="J142">
        <v>11</v>
      </c>
      <c r="K142">
        <v>84</v>
      </c>
      <c r="L142">
        <v>63</v>
      </c>
      <c r="M142">
        <v>25</v>
      </c>
      <c r="N142">
        <v>1995</v>
      </c>
      <c r="O142">
        <v>0.27</v>
      </c>
      <c r="P142">
        <v>2.4700000000000002</v>
      </c>
      <c r="Q142">
        <v>1.4999999999999999E-2</v>
      </c>
      <c r="R142">
        <v>60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>
      <c r="A143">
        <v>325.7074113793613</v>
      </c>
      <c r="B143">
        <v>30.744</v>
      </c>
      <c r="C143">
        <v>7.4159246671074994</v>
      </c>
      <c r="D143">
        <v>928.36800000000005</v>
      </c>
      <c r="E143">
        <v>681.54559895935222</v>
      </c>
      <c r="F143">
        <v>643.53599999999994</v>
      </c>
      <c r="G143">
        <v>63.055680000000009</v>
      </c>
      <c r="H143">
        <v>40</v>
      </c>
      <c r="I143">
        <v>56</v>
      </c>
      <c r="J143">
        <v>11</v>
      </c>
      <c r="K143">
        <v>323</v>
      </c>
      <c r="L143">
        <v>62</v>
      </c>
      <c r="M143">
        <v>26</v>
      </c>
      <c r="N143">
        <v>1995</v>
      </c>
      <c r="O143">
        <v>0.27</v>
      </c>
      <c r="P143">
        <v>2.4700000000000002</v>
      </c>
      <c r="Q143">
        <v>1.4999999999999999E-2</v>
      </c>
      <c r="R143">
        <v>60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>
      <c r="A144">
        <v>370.04331956156028</v>
      </c>
      <c r="B144">
        <v>35</v>
      </c>
      <c r="C144">
        <v>7.4008663912312063</v>
      </c>
      <c r="D144">
        <v>410.47800000000001</v>
      </c>
      <c r="E144">
        <v>692.51452282157675</v>
      </c>
      <c r="F144">
        <v>160.10640000000001</v>
      </c>
      <c r="G144">
        <v>71.853999999999999</v>
      </c>
      <c r="H144">
        <v>33</v>
      </c>
      <c r="I144">
        <v>65</v>
      </c>
      <c r="J144">
        <v>4</v>
      </c>
      <c r="K144">
        <v>6</v>
      </c>
      <c r="L144">
        <v>47</v>
      </c>
      <c r="M144">
        <v>3</v>
      </c>
      <c r="N144">
        <v>1995</v>
      </c>
      <c r="O144">
        <v>0.27</v>
      </c>
      <c r="P144">
        <v>2.4700000000000002</v>
      </c>
      <c r="Q144">
        <v>1.4999999999999999E-2</v>
      </c>
      <c r="R144">
        <v>60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>
      <c r="A145">
        <v>370.04331956156028</v>
      </c>
      <c r="B145">
        <v>35</v>
      </c>
      <c r="C145">
        <v>7.4008663912312063</v>
      </c>
      <c r="D145">
        <v>410.47800000000001</v>
      </c>
      <c r="E145">
        <v>692.51452282157675</v>
      </c>
      <c r="F145">
        <v>160.10640000000001</v>
      </c>
      <c r="G145">
        <v>71.853999999999999</v>
      </c>
      <c r="H145">
        <v>332</v>
      </c>
      <c r="I145">
        <v>65</v>
      </c>
      <c r="J145">
        <v>4</v>
      </c>
      <c r="K145">
        <v>6</v>
      </c>
      <c r="L145">
        <v>47</v>
      </c>
      <c r="M145">
        <v>3</v>
      </c>
      <c r="N145">
        <v>1995</v>
      </c>
      <c r="O145">
        <v>0.27</v>
      </c>
      <c r="P145">
        <v>2.4700000000000002</v>
      </c>
      <c r="Q145">
        <v>1.4999999999999999E-2</v>
      </c>
      <c r="R145">
        <v>60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>
      <c r="A146">
        <v>341.46712656386632</v>
      </c>
      <c r="B146">
        <v>32.666666666666657</v>
      </c>
      <c r="C146">
        <v>7.3171527120828488</v>
      </c>
      <c r="D146">
        <v>378.14</v>
      </c>
      <c r="E146">
        <v>688.36067299232309</v>
      </c>
      <c r="F146">
        <v>203.5</v>
      </c>
      <c r="G146">
        <v>66.23</v>
      </c>
      <c r="H146">
        <v>164</v>
      </c>
      <c r="I146">
        <v>48</v>
      </c>
      <c r="J146">
        <v>5</v>
      </c>
      <c r="K146">
        <v>159</v>
      </c>
      <c r="L146">
        <v>59</v>
      </c>
      <c r="M146">
        <v>20</v>
      </c>
      <c r="N146">
        <v>1995</v>
      </c>
      <c r="O146">
        <v>0.27</v>
      </c>
      <c r="P146">
        <v>2.4700000000000002</v>
      </c>
      <c r="Q146">
        <v>1.4999999999999999E-2</v>
      </c>
      <c r="R146">
        <v>60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>
      <c r="A147">
        <v>364.53146918054227</v>
      </c>
      <c r="B147">
        <v>35</v>
      </c>
      <c r="C147">
        <v>7.2906293836108471</v>
      </c>
      <c r="D147">
        <v>496.87299999999999</v>
      </c>
      <c r="E147">
        <v>690.07468879668045</v>
      </c>
      <c r="F147">
        <v>188.92570000000001</v>
      </c>
      <c r="G147">
        <v>70.73660000000001</v>
      </c>
      <c r="H147">
        <v>9</v>
      </c>
      <c r="I147">
        <v>60</v>
      </c>
      <c r="J147">
        <v>3</v>
      </c>
      <c r="K147">
        <v>33</v>
      </c>
      <c r="L147">
        <v>53</v>
      </c>
      <c r="M147">
        <v>2</v>
      </c>
      <c r="N147">
        <v>1995</v>
      </c>
      <c r="O147">
        <v>0.27</v>
      </c>
      <c r="P147">
        <v>2.4700000000000002</v>
      </c>
      <c r="Q147">
        <v>1.4999999999999999E-2</v>
      </c>
      <c r="R147">
        <v>60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>
      <c r="A148">
        <v>364.53146918054227</v>
      </c>
      <c r="B148">
        <v>35</v>
      </c>
      <c r="C148">
        <v>7.2906293836108471</v>
      </c>
      <c r="D148">
        <v>496.87299999999999</v>
      </c>
      <c r="E148">
        <v>690.07468879668045</v>
      </c>
      <c r="F148">
        <v>188.92570000000001</v>
      </c>
      <c r="G148">
        <v>70.73660000000001</v>
      </c>
      <c r="H148">
        <v>9</v>
      </c>
      <c r="I148">
        <v>60</v>
      </c>
      <c r="J148">
        <v>3</v>
      </c>
      <c r="K148">
        <v>332</v>
      </c>
      <c r="L148">
        <v>53</v>
      </c>
      <c r="M148">
        <v>2</v>
      </c>
      <c r="N148">
        <v>1995</v>
      </c>
      <c r="O148">
        <v>0.27</v>
      </c>
      <c r="P148">
        <v>2.4700000000000002</v>
      </c>
      <c r="Q148">
        <v>1.4999999999999999E-2</v>
      </c>
      <c r="R148">
        <v>60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>
      <c r="A149">
        <v>355.97590221953459</v>
      </c>
      <c r="B149">
        <v>34.192307692307693</v>
      </c>
      <c r="C149">
        <v>7.2876956359904721</v>
      </c>
      <c r="D149">
        <v>886.70500000000004</v>
      </c>
      <c r="E149">
        <v>683.3460580912863</v>
      </c>
      <c r="F149">
        <v>185.66748000000001</v>
      </c>
      <c r="G149">
        <v>68.9495</v>
      </c>
      <c r="H149">
        <v>52</v>
      </c>
      <c r="I149">
        <v>55</v>
      </c>
      <c r="J149">
        <v>10</v>
      </c>
      <c r="K149">
        <v>293</v>
      </c>
      <c r="L149">
        <v>57</v>
      </c>
      <c r="M149">
        <v>21</v>
      </c>
      <c r="N149">
        <v>1995</v>
      </c>
      <c r="O149">
        <v>0.27</v>
      </c>
      <c r="P149">
        <v>2.4700000000000002</v>
      </c>
      <c r="Q149">
        <v>1.4999999999999999E-2</v>
      </c>
      <c r="R149">
        <v>60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>
      <c r="A150">
        <v>328.65689652525441</v>
      </c>
      <c r="B150">
        <v>31.73863636363636</v>
      </c>
      <c r="C150">
        <v>7.2485731564467137</v>
      </c>
      <c r="D150">
        <v>381.18599999999998</v>
      </c>
      <c r="E150">
        <v>689.48829894630785</v>
      </c>
      <c r="F150">
        <v>208.02600000000001</v>
      </c>
      <c r="G150">
        <v>63.765000000000001</v>
      </c>
      <c r="H150">
        <v>95</v>
      </c>
      <c r="I150">
        <v>52</v>
      </c>
      <c r="J150">
        <v>5</v>
      </c>
      <c r="K150">
        <v>160</v>
      </c>
      <c r="L150">
        <v>60</v>
      </c>
      <c r="M150">
        <v>13</v>
      </c>
      <c r="N150">
        <v>1995</v>
      </c>
      <c r="O150">
        <v>0.27</v>
      </c>
      <c r="P150">
        <v>2.4700000000000002</v>
      </c>
      <c r="Q150">
        <v>1.4999999999999999E-2</v>
      </c>
      <c r="R150">
        <v>60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>
      <c r="A151">
        <v>463.01113470392289</v>
      </c>
      <c r="B151">
        <v>44.744000000000007</v>
      </c>
      <c r="C151">
        <v>7.2436034841039252</v>
      </c>
      <c r="D151">
        <v>723.71519999999998</v>
      </c>
      <c r="E151">
        <v>644.03651452282156</v>
      </c>
      <c r="F151">
        <v>388.52064000000001</v>
      </c>
      <c r="G151">
        <v>88.716959999999986</v>
      </c>
      <c r="H151">
        <v>112</v>
      </c>
      <c r="I151">
        <v>64</v>
      </c>
      <c r="J151">
        <v>6</v>
      </c>
      <c r="K151">
        <v>40</v>
      </c>
      <c r="L151">
        <v>54</v>
      </c>
      <c r="M151">
        <v>6</v>
      </c>
      <c r="N151">
        <v>1995</v>
      </c>
      <c r="O151">
        <v>0.27</v>
      </c>
      <c r="P151">
        <v>2.4700000000000002</v>
      </c>
      <c r="Q151">
        <v>1.4999999999999999E-2</v>
      </c>
      <c r="R151">
        <v>60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>
      <c r="A152">
        <v>361.16635688650382</v>
      </c>
      <c r="B152">
        <v>35</v>
      </c>
      <c r="C152">
        <v>7.2233271377300756</v>
      </c>
      <c r="D152">
        <v>430.35750000000002</v>
      </c>
      <c r="E152">
        <v>689.07883817427387</v>
      </c>
      <c r="F152">
        <v>180.0675</v>
      </c>
      <c r="G152">
        <v>70.064549999999997</v>
      </c>
      <c r="H152">
        <v>9</v>
      </c>
      <c r="I152">
        <v>58</v>
      </c>
      <c r="J152">
        <v>3</v>
      </c>
      <c r="K152">
        <v>36</v>
      </c>
      <c r="L152">
        <v>51</v>
      </c>
      <c r="M152">
        <v>3</v>
      </c>
      <c r="N152">
        <v>1995</v>
      </c>
      <c r="O152">
        <v>0.27</v>
      </c>
      <c r="P152">
        <v>2.4700000000000002</v>
      </c>
      <c r="Q152">
        <v>1.4999999999999999E-2</v>
      </c>
      <c r="R152">
        <v>60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>
      <c r="A153">
        <v>316.44444232531202</v>
      </c>
      <c r="B153">
        <v>30.69230769230769</v>
      </c>
      <c r="C153">
        <v>7.2171539477702744</v>
      </c>
      <c r="D153">
        <v>949.05</v>
      </c>
      <c r="E153">
        <v>682.11784232365153</v>
      </c>
      <c r="F153">
        <v>203.47631999999999</v>
      </c>
      <c r="G153">
        <v>61.271999999999998</v>
      </c>
      <c r="H153">
        <v>22</v>
      </c>
      <c r="I153">
        <v>48</v>
      </c>
      <c r="J153">
        <v>3</v>
      </c>
      <c r="K153">
        <v>293</v>
      </c>
      <c r="L153">
        <v>64</v>
      </c>
      <c r="M153">
        <v>18</v>
      </c>
      <c r="N153">
        <v>1995</v>
      </c>
      <c r="O153">
        <v>0.27</v>
      </c>
      <c r="P153">
        <v>2.4700000000000002</v>
      </c>
      <c r="Q153">
        <v>1.4999999999999999E-2</v>
      </c>
      <c r="R153">
        <v>60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>
      <c r="A154">
        <v>360.3396157571608</v>
      </c>
      <c r="B154">
        <v>35</v>
      </c>
      <c r="C154">
        <v>7.2067923151432156</v>
      </c>
      <c r="D154">
        <v>1141.7904000000001</v>
      </c>
      <c r="E154">
        <v>679.7344398340249</v>
      </c>
      <c r="F154">
        <v>162.11328</v>
      </c>
      <c r="G154">
        <v>69.725760000000008</v>
      </c>
      <c r="H154">
        <v>33</v>
      </c>
      <c r="I154">
        <v>48</v>
      </c>
      <c r="J154">
        <v>5</v>
      </c>
      <c r="K154">
        <v>161</v>
      </c>
      <c r="L154">
        <v>58</v>
      </c>
      <c r="M154">
        <v>22</v>
      </c>
      <c r="N154">
        <v>1995</v>
      </c>
      <c r="O154">
        <v>0.27</v>
      </c>
      <c r="P154">
        <v>2.4700000000000002</v>
      </c>
      <c r="Q154">
        <v>1.4999999999999999E-2</v>
      </c>
      <c r="R154">
        <v>60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>
      <c r="A155">
        <v>360.3396157571608</v>
      </c>
      <c r="B155">
        <v>35</v>
      </c>
      <c r="C155">
        <v>7.2067923151432156</v>
      </c>
      <c r="D155">
        <v>1141.7904000000001</v>
      </c>
      <c r="E155">
        <v>679.7344398340249</v>
      </c>
      <c r="F155">
        <v>162.11328</v>
      </c>
      <c r="G155">
        <v>69.725760000000008</v>
      </c>
      <c r="H155">
        <v>332</v>
      </c>
      <c r="I155">
        <v>48</v>
      </c>
      <c r="J155">
        <v>5</v>
      </c>
      <c r="K155">
        <v>161</v>
      </c>
      <c r="L155">
        <v>58</v>
      </c>
      <c r="M155">
        <v>22</v>
      </c>
      <c r="N155">
        <v>1995</v>
      </c>
      <c r="O155">
        <v>0.27</v>
      </c>
      <c r="P155">
        <v>2.4700000000000002</v>
      </c>
      <c r="Q155">
        <v>1.4999999999999999E-2</v>
      </c>
      <c r="R155">
        <v>60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>
      <c r="A156">
        <v>360.28378078799312</v>
      </c>
      <c r="B156">
        <v>35</v>
      </c>
      <c r="C156">
        <v>7.2056756157598629</v>
      </c>
      <c r="D156">
        <v>711.10080000000005</v>
      </c>
      <c r="E156">
        <v>686.67883817427389</v>
      </c>
      <c r="F156">
        <v>159.08496</v>
      </c>
      <c r="G156">
        <v>69.847519999999989</v>
      </c>
      <c r="H156">
        <v>39</v>
      </c>
      <c r="I156">
        <v>52</v>
      </c>
      <c r="J156">
        <v>8</v>
      </c>
      <c r="K156">
        <v>162</v>
      </c>
      <c r="L156">
        <v>57</v>
      </c>
      <c r="M156">
        <v>14</v>
      </c>
      <c r="N156">
        <v>1995</v>
      </c>
      <c r="O156">
        <v>0.27</v>
      </c>
      <c r="P156">
        <v>2.4700000000000002</v>
      </c>
      <c r="Q156">
        <v>1.4999999999999999E-2</v>
      </c>
      <c r="R156">
        <v>60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>
      <c r="A157">
        <v>360.11013547091551</v>
      </c>
      <c r="B157">
        <v>35</v>
      </c>
      <c r="C157">
        <v>7.2022027094183114</v>
      </c>
      <c r="D157">
        <v>451.548</v>
      </c>
      <c r="E157">
        <v>691.02074688796665</v>
      </c>
      <c r="F157">
        <v>155.57759999999999</v>
      </c>
      <c r="G157">
        <v>69.896699999999996</v>
      </c>
      <c r="H157">
        <v>55</v>
      </c>
      <c r="I157">
        <v>59</v>
      </c>
      <c r="J157">
        <v>9</v>
      </c>
      <c r="K157">
        <v>143</v>
      </c>
      <c r="L157">
        <v>52</v>
      </c>
      <c r="M157">
        <v>9</v>
      </c>
      <c r="N157">
        <v>1995</v>
      </c>
      <c r="O157">
        <v>0.27</v>
      </c>
      <c r="P157">
        <v>2.4700000000000002</v>
      </c>
      <c r="Q157">
        <v>1.4999999999999999E-2</v>
      </c>
      <c r="R157">
        <v>60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>
      <c r="A158">
        <v>359.61842598985118</v>
      </c>
      <c r="B158">
        <v>35</v>
      </c>
      <c r="C158">
        <v>7.1923685197970242</v>
      </c>
      <c r="D158">
        <v>432.41385000000002</v>
      </c>
      <c r="E158">
        <v>687.9668049792532</v>
      </c>
      <c r="F158">
        <v>180.59909999999999</v>
      </c>
      <c r="G158">
        <v>69.743070000000003</v>
      </c>
      <c r="H158">
        <v>8</v>
      </c>
      <c r="I158">
        <v>58</v>
      </c>
      <c r="J158">
        <v>4</v>
      </c>
      <c r="K158">
        <v>51</v>
      </c>
      <c r="L158">
        <v>55</v>
      </c>
      <c r="M158">
        <v>6</v>
      </c>
      <c r="N158">
        <v>1995</v>
      </c>
      <c r="O158">
        <v>0.27</v>
      </c>
      <c r="P158">
        <v>2.4700000000000002</v>
      </c>
      <c r="Q158">
        <v>1.4999999999999999E-2</v>
      </c>
      <c r="R158">
        <v>60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>
      <c r="A159">
        <v>350.57395753198909</v>
      </c>
      <c r="B159">
        <v>34.192307692307693</v>
      </c>
      <c r="C159">
        <v>7.1771046423871789</v>
      </c>
      <c r="D159">
        <v>1038.4552799999999</v>
      </c>
      <c r="E159">
        <v>680.00663900414941</v>
      </c>
      <c r="F159">
        <v>182.79311999999999</v>
      </c>
      <c r="G159">
        <v>67.841160000000002</v>
      </c>
      <c r="H159">
        <v>8</v>
      </c>
      <c r="I159">
        <v>54</v>
      </c>
      <c r="J159">
        <v>4</v>
      </c>
      <c r="K159">
        <v>293</v>
      </c>
      <c r="L159">
        <v>58</v>
      </c>
      <c r="M159">
        <v>21</v>
      </c>
      <c r="N159">
        <v>1995</v>
      </c>
      <c r="O159">
        <v>0.27</v>
      </c>
      <c r="P159">
        <v>2.4700000000000002</v>
      </c>
      <c r="Q159">
        <v>1.4999999999999999E-2</v>
      </c>
      <c r="R159">
        <v>60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>
      <c r="A160">
        <v>358.09885081105222</v>
      </c>
      <c r="B160">
        <v>35</v>
      </c>
      <c r="C160">
        <v>7.1619770162210443</v>
      </c>
      <c r="D160">
        <v>470.233</v>
      </c>
      <c r="E160">
        <v>688.78008298755185</v>
      </c>
      <c r="F160">
        <v>178.9357</v>
      </c>
      <c r="G160">
        <v>69.463800000000006</v>
      </c>
      <c r="H160">
        <v>9</v>
      </c>
      <c r="I160">
        <v>58</v>
      </c>
      <c r="J160">
        <v>3</v>
      </c>
      <c r="K160">
        <v>43</v>
      </c>
      <c r="L160">
        <v>54</v>
      </c>
      <c r="M160">
        <v>2</v>
      </c>
      <c r="N160">
        <v>1995</v>
      </c>
      <c r="O160">
        <v>0.27</v>
      </c>
      <c r="P160">
        <v>2.4700000000000002</v>
      </c>
      <c r="Q160">
        <v>1.4999999999999999E-2</v>
      </c>
      <c r="R160">
        <v>60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>
      <c r="A161">
        <v>429.23940083823811</v>
      </c>
      <c r="B161">
        <v>42</v>
      </c>
      <c r="C161">
        <v>7.1539900139706347</v>
      </c>
      <c r="D161">
        <v>685.22880000000009</v>
      </c>
      <c r="E161">
        <v>676.75518672199166</v>
      </c>
      <c r="F161">
        <v>163.26591999999999</v>
      </c>
      <c r="G161">
        <v>82.99011999999999</v>
      </c>
      <c r="H161">
        <v>39</v>
      </c>
      <c r="I161">
        <v>57</v>
      </c>
      <c r="J161">
        <v>9</v>
      </c>
      <c r="K161">
        <v>142</v>
      </c>
      <c r="L161">
        <v>56</v>
      </c>
      <c r="M161">
        <v>17</v>
      </c>
      <c r="N161">
        <v>1995</v>
      </c>
      <c r="O161">
        <v>0.27</v>
      </c>
      <c r="P161">
        <v>2.4700000000000002</v>
      </c>
      <c r="Q161">
        <v>1.4999999999999999E-2</v>
      </c>
      <c r="R161">
        <v>60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>
      <c r="A162">
        <v>357.6810082107977</v>
      </c>
      <c r="B162">
        <v>35</v>
      </c>
      <c r="C162">
        <v>7.1536201642159538</v>
      </c>
      <c r="D162">
        <v>439.78199999999998</v>
      </c>
      <c r="E162">
        <v>690.32365145228221</v>
      </c>
      <c r="F162">
        <v>183.37200000000001</v>
      </c>
      <c r="G162">
        <v>69.412000000000006</v>
      </c>
      <c r="H162">
        <v>6</v>
      </c>
      <c r="I162">
        <v>54</v>
      </c>
      <c r="J162">
        <v>6</v>
      </c>
      <c r="K162">
        <v>55</v>
      </c>
      <c r="L162">
        <v>58</v>
      </c>
      <c r="M162">
        <v>4</v>
      </c>
      <c r="N162">
        <v>1995</v>
      </c>
      <c r="O162">
        <v>0.27</v>
      </c>
      <c r="P162">
        <v>2.4700000000000002</v>
      </c>
      <c r="Q162">
        <v>1.4999999999999999E-2</v>
      </c>
      <c r="R162">
        <v>60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>
      <c r="A163">
        <v>357.28916238985101</v>
      </c>
      <c r="B163">
        <v>35</v>
      </c>
      <c r="C163">
        <v>7.14578324779702</v>
      </c>
      <c r="D163">
        <v>449.45280000000002</v>
      </c>
      <c r="E163">
        <v>681.95850622406624</v>
      </c>
      <c r="F163">
        <v>155.42400000000001</v>
      </c>
      <c r="G163">
        <v>69.177600000000012</v>
      </c>
      <c r="H163">
        <v>54</v>
      </c>
      <c r="I163">
        <v>55</v>
      </c>
      <c r="J163">
        <v>4</v>
      </c>
      <c r="K163">
        <v>143</v>
      </c>
      <c r="L163">
        <v>58</v>
      </c>
      <c r="M163">
        <v>8</v>
      </c>
      <c r="N163">
        <v>1995</v>
      </c>
      <c r="O163">
        <v>0.27</v>
      </c>
      <c r="P163">
        <v>2.4700000000000002</v>
      </c>
      <c r="Q163">
        <v>1.4999999999999999E-2</v>
      </c>
      <c r="R163">
        <v>60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>
      <c r="A164">
        <v>327.30602198961037</v>
      </c>
      <c r="B164">
        <v>32.144000000000013</v>
      </c>
      <c r="C164">
        <v>7.1277443813068428</v>
      </c>
      <c r="D164">
        <v>894.97440000000006</v>
      </c>
      <c r="E164">
        <v>683.64196227267098</v>
      </c>
      <c r="F164">
        <v>663.24239999999998</v>
      </c>
      <c r="G164">
        <v>63.401519999999998</v>
      </c>
      <c r="H164">
        <v>40</v>
      </c>
      <c r="I164">
        <v>58</v>
      </c>
      <c r="J164">
        <v>11</v>
      </c>
      <c r="K164">
        <v>126</v>
      </c>
      <c r="L164">
        <v>61</v>
      </c>
      <c r="M164">
        <v>24</v>
      </c>
      <c r="N164">
        <v>1995</v>
      </c>
      <c r="O164">
        <v>0.27</v>
      </c>
      <c r="P164">
        <v>2.4700000000000002</v>
      </c>
      <c r="Q164">
        <v>1.4999999999999999E-2</v>
      </c>
      <c r="R164">
        <v>60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>
      <c r="A165">
        <v>355.49636337395668</v>
      </c>
      <c r="B165">
        <v>35</v>
      </c>
      <c r="C165">
        <v>7.1099272674791338</v>
      </c>
      <c r="D165">
        <v>698.23162500000001</v>
      </c>
      <c r="E165">
        <v>684.34854771784228</v>
      </c>
      <c r="F165">
        <v>184.08795000000001</v>
      </c>
      <c r="G165">
        <v>68.875500000000002</v>
      </c>
      <c r="H165">
        <v>6</v>
      </c>
      <c r="I165">
        <v>53</v>
      </c>
      <c r="J165">
        <v>6</v>
      </c>
      <c r="K165">
        <v>142</v>
      </c>
      <c r="L165">
        <v>60</v>
      </c>
      <c r="M165">
        <v>15</v>
      </c>
      <c r="N165">
        <v>1995</v>
      </c>
      <c r="O165">
        <v>0.27</v>
      </c>
      <c r="P165">
        <v>2.4700000000000002</v>
      </c>
      <c r="Q165">
        <v>1.4999999999999999E-2</v>
      </c>
      <c r="R165">
        <v>60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>
      <c r="A166">
        <v>354.58502498000638</v>
      </c>
      <c r="B166">
        <v>35</v>
      </c>
      <c r="C166">
        <v>7.0917004996001296</v>
      </c>
      <c r="D166">
        <v>411.15359999999998</v>
      </c>
      <c r="E166">
        <v>690.4349053160654</v>
      </c>
      <c r="F166">
        <v>180.41759999999999</v>
      </c>
      <c r="G166">
        <v>68.813279999999992</v>
      </c>
      <c r="H166">
        <v>8</v>
      </c>
      <c r="I166">
        <v>57</v>
      </c>
      <c r="J166">
        <v>4</v>
      </c>
      <c r="K166">
        <v>273</v>
      </c>
      <c r="L166">
        <v>53</v>
      </c>
      <c r="M166">
        <v>2</v>
      </c>
      <c r="N166">
        <v>1995</v>
      </c>
      <c r="O166">
        <v>0.27</v>
      </c>
      <c r="P166">
        <v>2.4700000000000002</v>
      </c>
      <c r="Q166">
        <v>1.4999999999999999E-2</v>
      </c>
      <c r="R166">
        <v>60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>
      <c r="A167">
        <v>354.58502498000638</v>
      </c>
      <c r="B167">
        <v>35</v>
      </c>
      <c r="C167">
        <v>7.0917004996001296</v>
      </c>
      <c r="D167">
        <v>411.15359999999998</v>
      </c>
      <c r="E167">
        <v>690.4349053160654</v>
      </c>
      <c r="F167">
        <v>180.41759999999999</v>
      </c>
      <c r="G167">
        <v>68.813279999999992</v>
      </c>
      <c r="H167">
        <v>8</v>
      </c>
      <c r="I167">
        <v>57</v>
      </c>
      <c r="J167">
        <v>4</v>
      </c>
      <c r="K167">
        <v>274</v>
      </c>
      <c r="L167">
        <v>53</v>
      </c>
      <c r="M167">
        <v>2</v>
      </c>
      <c r="N167">
        <v>1995</v>
      </c>
      <c r="O167">
        <v>0.27</v>
      </c>
      <c r="P167">
        <v>2.4700000000000002</v>
      </c>
      <c r="Q167">
        <v>1.4999999999999999E-2</v>
      </c>
      <c r="R167">
        <v>60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>
      <c r="A168">
        <v>354.43386307652708</v>
      </c>
      <c r="B168">
        <v>35</v>
      </c>
      <c r="C168">
        <v>7.0886772615305436</v>
      </c>
      <c r="D168">
        <v>648.75800000000004</v>
      </c>
      <c r="E168">
        <v>686.83817427385895</v>
      </c>
      <c r="F168">
        <v>155.16319999999999</v>
      </c>
      <c r="G168">
        <v>68.716400000000007</v>
      </c>
      <c r="H168">
        <v>33</v>
      </c>
      <c r="I168">
        <v>61</v>
      </c>
      <c r="J168">
        <v>4</v>
      </c>
      <c r="K168">
        <v>2</v>
      </c>
      <c r="L168">
        <v>47</v>
      </c>
      <c r="M168">
        <v>4</v>
      </c>
      <c r="N168">
        <v>1995</v>
      </c>
      <c r="O168">
        <v>0.27</v>
      </c>
      <c r="P168">
        <v>2.4700000000000002</v>
      </c>
      <c r="Q168">
        <v>1.4999999999999999E-2</v>
      </c>
      <c r="R168">
        <v>60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>
      <c r="A169">
        <v>354.43386307652708</v>
      </c>
      <c r="B169">
        <v>35</v>
      </c>
      <c r="C169">
        <v>7.0886772615305436</v>
      </c>
      <c r="D169">
        <v>648.75800000000004</v>
      </c>
      <c r="E169">
        <v>686.83817427385895</v>
      </c>
      <c r="F169">
        <v>155.16319999999999</v>
      </c>
      <c r="G169">
        <v>68.716400000000007</v>
      </c>
      <c r="H169">
        <v>332</v>
      </c>
      <c r="I169">
        <v>61</v>
      </c>
      <c r="J169">
        <v>4</v>
      </c>
      <c r="K169">
        <v>2</v>
      </c>
      <c r="L169">
        <v>47</v>
      </c>
      <c r="M169">
        <v>4</v>
      </c>
      <c r="N169">
        <v>1995</v>
      </c>
      <c r="O169">
        <v>0.27</v>
      </c>
      <c r="P169">
        <v>2.4700000000000002</v>
      </c>
      <c r="Q169">
        <v>1.4999999999999999E-2</v>
      </c>
      <c r="R169">
        <v>60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>
      <c r="A170">
        <v>354.15113719241538</v>
      </c>
      <c r="B170">
        <v>35</v>
      </c>
      <c r="C170">
        <v>7.083022743848308</v>
      </c>
      <c r="D170">
        <v>398.34199999999998</v>
      </c>
      <c r="E170">
        <v>689.75933609958497</v>
      </c>
      <c r="F170">
        <v>155.16319999999999</v>
      </c>
      <c r="G170">
        <v>68.716400000000007</v>
      </c>
      <c r="H170">
        <v>43</v>
      </c>
      <c r="I170">
        <v>61</v>
      </c>
      <c r="J170">
        <v>4</v>
      </c>
      <c r="K170">
        <v>6</v>
      </c>
      <c r="L170">
        <v>47</v>
      </c>
      <c r="M170">
        <v>3</v>
      </c>
      <c r="N170">
        <v>1995</v>
      </c>
      <c r="O170">
        <v>0.27</v>
      </c>
      <c r="P170">
        <v>2.4700000000000002</v>
      </c>
      <c r="Q170">
        <v>1.4999999999999999E-2</v>
      </c>
      <c r="R170">
        <v>60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>
      <c r="A171">
        <v>318.21014489317378</v>
      </c>
      <c r="B171">
        <v>31.5</v>
      </c>
      <c r="C171">
        <v>7.0713365531816406</v>
      </c>
      <c r="D171">
        <v>381.958125</v>
      </c>
      <c r="E171">
        <v>678.4398340248963</v>
      </c>
      <c r="F171">
        <v>201.35874999999999</v>
      </c>
      <c r="G171">
        <v>61.551875000000003</v>
      </c>
      <c r="H171">
        <v>22</v>
      </c>
      <c r="I171">
        <v>49</v>
      </c>
      <c r="J171">
        <v>3</v>
      </c>
      <c r="K171">
        <v>51</v>
      </c>
      <c r="L171">
        <v>65</v>
      </c>
      <c r="M171">
        <v>5</v>
      </c>
      <c r="N171">
        <v>1995</v>
      </c>
      <c r="O171">
        <v>0.27</v>
      </c>
      <c r="P171">
        <v>2.4700000000000002</v>
      </c>
      <c r="Q171">
        <v>1.4999999999999999E-2</v>
      </c>
      <c r="R171">
        <v>60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>
      <c r="A172">
        <v>344.93940596542097</v>
      </c>
      <c r="B172">
        <v>34.192307692307693</v>
      </c>
      <c r="C172">
        <v>7.06175161818972</v>
      </c>
      <c r="D172">
        <v>870.67499999999995</v>
      </c>
      <c r="E172">
        <v>684.6141078838175</v>
      </c>
      <c r="F172">
        <v>180.76179999999999</v>
      </c>
      <c r="G172">
        <v>66.834999999999994</v>
      </c>
      <c r="H172">
        <v>53</v>
      </c>
      <c r="I172">
        <v>55</v>
      </c>
      <c r="J172">
        <v>10</v>
      </c>
      <c r="K172">
        <v>293</v>
      </c>
      <c r="L172">
        <v>58</v>
      </c>
      <c r="M172">
        <v>20</v>
      </c>
      <c r="N172">
        <v>1995</v>
      </c>
      <c r="O172">
        <v>0.27</v>
      </c>
      <c r="P172">
        <v>2.4700000000000002</v>
      </c>
      <c r="Q172">
        <v>1.4999999999999999E-2</v>
      </c>
      <c r="R172">
        <v>60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>
      <c r="A173">
        <v>352.99496477199938</v>
      </c>
      <c r="B173">
        <v>35</v>
      </c>
      <c r="C173">
        <v>7.0598992954399877</v>
      </c>
      <c r="D173">
        <v>1042.2723000000001</v>
      </c>
      <c r="E173">
        <v>680.54771784232366</v>
      </c>
      <c r="F173">
        <v>158.51988</v>
      </c>
      <c r="G173">
        <v>68.319779999999994</v>
      </c>
      <c r="H173">
        <v>36</v>
      </c>
      <c r="I173">
        <v>53</v>
      </c>
      <c r="J173">
        <v>6</v>
      </c>
      <c r="K173">
        <v>161</v>
      </c>
      <c r="L173">
        <v>59</v>
      </c>
      <c r="M173">
        <v>22</v>
      </c>
      <c r="N173">
        <v>1995</v>
      </c>
      <c r="O173">
        <v>0.27</v>
      </c>
      <c r="P173">
        <v>2.4700000000000002</v>
      </c>
      <c r="Q173">
        <v>1.4999999999999999E-2</v>
      </c>
      <c r="R173">
        <v>60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>
      <c r="A174">
        <v>508.10618171353508</v>
      </c>
      <c r="B174">
        <v>50.4</v>
      </c>
      <c r="C174">
        <v>7.0570303015768783</v>
      </c>
      <c r="D174">
        <v>550.4076</v>
      </c>
      <c r="E174">
        <v>677.92033195020736</v>
      </c>
      <c r="F174">
        <v>185.01428999999999</v>
      </c>
      <c r="G174">
        <v>98.269770000000008</v>
      </c>
      <c r="H174">
        <v>112</v>
      </c>
      <c r="I174">
        <v>54</v>
      </c>
      <c r="J174">
        <v>8</v>
      </c>
      <c r="K174">
        <v>96</v>
      </c>
      <c r="L174">
        <v>57</v>
      </c>
      <c r="M174">
        <v>19</v>
      </c>
      <c r="N174">
        <v>1995</v>
      </c>
      <c r="O174">
        <v>0.27</v>
      </c>
      <c r="P174">
        <v>2.4700000000000002</v>
      </c>
      <c r="Q174">
        <v>1.4999999999999999E-2</v>
      </c>
      <c r="R174">
        <v>60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>
      <c r="A175">
        <v>315.8701395868228</v>
      </c>
      <c r="B175">
        <v>31.5</v>
      </c>
      <c r="C175">
        <v>7.0193364352627281</v>
      </c>
      <c r="D175">
        <v>422.24400000000003</v>
      </c>
      <c r="E175">
        <v>690.7518672199169</v>
      </c>
      <c r="F175">
        <v>200.8656</v>
      </c>
      <c r="G175">
        <v>61.305300000000003</v>
      </c>
      <c r="H175">
        <v>22</v>
      </c>
      <c r="I175">
        <v>49</v>
      </c>
      <c r="J175">
        <v>3</v>
      </c>
      <c r="K175">
        <v>193</v>
      </c>
      <c r="L175">
        <v>63</v>
      </c>
      <c r="M175">
        <v>8</v>
      </c>
      <c r="N175">
        <v>1995</v>
      </c>
      <c r="O175">
        <v>0.27</v>
      </c>
      <c r="P175">
        <v>2.4700000000000002</v>
      </c>
      <c r="Q175">
        <v>1.4999999999999999E-2</v>
      </c>
      <c r="R175">
        <v>60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>
      <c r="A176">
        <v>350.17504260387568</v>
      </c>
      <c r="B176">
        <v>35</v>
      </c>
      <c r="C176">
        <v>7.003500852077515</v>
      </c>
      <c r="D176">
        <v>473.57310000000001</v>
      </c>
      <c r="E176">
        <v>685.47053941908712</v>
      </c>
      <c r="F176">
        <v>180.19980000000001</v>
      </c>
      <c r="G176">
        <v>67.865340000000018</v>
      </c>
      <c r="H176">
        <v>8</v>
      </c>
      <c r="I176">
        <v>56</v>
      </c>
      <c r="J176">
        <v>4</v>
      </c>
      <c r="K176">
        <v>193</v>
      </c>
      <c r="L176">
        <v>57</v>
      </c>
      <c r="M176">
        <v>9</v>
      </c>
      <c r="N176">
        <v>1995</v>
      </c>
      <c r="O176">
        <v>0.27</v>
      </c>
      <c r="P176">
        <v>2.4700000000000002</v>
      </c>
      <c r="Q176">
        <v>1.4999999999999999E-2</v>
      </c>
      <c r="R176">
        <v>60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>
      <c r="A177">
        <v>419.44771271193741</v>
      </c>
      <c r="B177">
        <v>42</v>
      </c>
      <c r="C177">
        <v>6.990795211865624</v>
      </c>
      <c r="D177">
        <v>421.67039999999997</v>
      </c>
      <c r="E177">
        <v>656.12116182572618</v>
      </c>
      <c r="F177">
        <v>161.27680000000001</v>
      </c>
      <c r="G177">
        <v>80.63839999999999</v>
      </c>
      <c r="H177">
        <v>39</v>
      </c>
      <c r="I177">
        <v>57</v>
      </c>
      <c r="J177">
        <v>9</v>
      </c>
      <c r="K177">
        <v>55</v>
      </c>
      <c r="L177">
        <v>56</v>
      </c>
      <c r="M177">
        <v>4</v>
      </c>
      <c r="N177">
        <v>1995</v>
      </c>
      <c r="O177">
        <v>0.27</v>
      </c>
      <c r="P177">
        <v>2.4700000000000002</v>
      </c>
      <c r="Q177">
        <v>1.4999999999999999E-2</v>
      </c>
      <c r="R177">
        <v>60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>
      <c r="A178">
        <v>347.94912295456049</v>
      </c>
      <c r="B178">
        <v>35</v>
      </c>
      <c r="C178">
        <v>6.9589824590912102</v>
      </c>
      <c r="D178">
        <v>434.45519999999999</v>
      </c>
      <c r="E178">
        <v>691.51867219917006</v>
      </c>
      <c r="F178">
        <v>180.85679999999999</v>
      </c>
      <c r="G178">
        <v>67.545450000000002</v>
      </c>
      <c r="H178">
        <v>6</v>
      </c>
      <c r="I178">
        <v>63</v>
      </c>
      <c r="J178">
        <v>5</v>
      </c>
      <c r="K178">
        <v>36</v>
      </c>
      <c r="L178">
        <v>49</v>
      </c>
      <c r="M178">
        <v>3</v>
      </c>
      <c r="N178">
        <v>1995</v>
      </c>
      <c r="O178">
        <v>0.27</v>
      </c>
      <c r="P178">
        <v>2.4700000000000002</v>
      </c>
      <c r="Q178">
        <v>1.4999999999999999E-2</v>
      </c>
      <c r="R178">
        <v>60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>
      <c r="A179">
        <v>345.47410738142128</v>
      </c>
      <c r="B179">
        <v>35.000000000000007</v>
      </c>
      <c r="C179">
        <v>6.9094821476284256</v>
      </c>
      <c r="D179">
        <v>1134.6271999999999</v>
      </c>
      <c r="E179">
        <v>677.11203319502067</v>
      </c>
      <c r="F179">
        <v>156.47744</v>
      </c>
      <c r="G179">
        <v>66.80128000000002</v>
      </c>
      <c r="H179">
        <v>43</v>
      </c>
      <c r="I179">
        <v>56</v>
      </c>
      <c r="J179">
        <v>4</v>
      </c>
      <c r="K179">
        <v>161</v>
      </c>
      <c r="L179">
        <v>56</v>
      </c>
      <c r="M179">
        <v>23</v>
      </c>
      <c r="N179">
        <v>1995</v>
      </c>
      <c r="O179">
        <v>0.27</v>
      </c>
      <c r="P179">
        <v>2.4700000000000002</v>
      </c>
      <c r="Q179">
        <v>1.4999999999999999E-2</v>
      </c>
      <c r="R179">
        <v>60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>
      <c r="A180">
        <v>440.90036464424412</v>
      </c>
      <c r="B180">
        <v>44.744</v>
      </c>
      <c r="C180">
        <v>6.8976903104543812</v>
      </c>
      <c r="D180">
        <v>439.12799999999999</v>
      </c>
      <c r="E180">
        <v>680.64730290456419</v>
      </c>
      <c r="F180">
        <v>375.76799999999997</v>
      </c>
      <c r="G180">
        <v>85.335599999999999</v>
      </c>
      <c r="H180">
        <v>134</v>
      </c>
      <c r="I180">
        <v>57</v>
      </c>
      <c r="J180">
        <v>5</v>
      </c>
      <c r="K180">
        <v>40</v>
      </c>
      <c r="L180">
        <v>64</v>
      </c>
      <c r="M180">
        <v>5</v>
      </c>
      <c r="N180">
        <v>1995</v>
      </c>
      <c r="O180">
        <v>0.27</v>
      </c>
      <c r="P180">
        <v>2.4700000000000002</v>
      </c>
      <c r="Q180">
        <v>1.4999999999999999E-2</v>
      </c>
      <c r="R180">
        <v>60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>
      <c r="A181">
        <v>310.05778031003041</v>
      </c>
      <c r="B181">
        <v>31.5</v>
      </c>
      <c r="C181">
        <v>6.8901728957784538</v>
      </c>
      <c r="D181">
        <v>420.69</v>
      </c>
      <c r="E181">
        <v>689.8257261410788</v>
      </c>
      <c r="F181">
        <v>200.244</v>
      </c>
      <c r="G181">
        <v>60.161999999999999</v>
      </c>
      <c r="H181">
        <v>22</v>
      </c>
      <c r="I181">
        <v>72</v>
      </c>
      <c r="J181">
        <v>2</v>
      </c>
      <c r="K181">
        <v>195</v>
      </c>
      <c r="L181">
        <v>39</v>
      </c>
      <c r="M181">
        <v>2</v>
      </c>
      <c r="N181">
        <v>1995</v>
      </c>
      <c r="O181">
        <v>0.27</v>
      </c>
      <c r="P181">
        <v>2.4700000000000002</v>
      </c>
      <c r="Q181">
        <v>1.4999999999999999E-2</v>
      </c>
      <c r="R181">
        <v>60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>
      <c r="A182">
        <v>344.45267802098039</v>
      </c>
      <c r="B182">
        <v>35</v>
      </c>
      <c r="C182">
        <v>6.889053560419609</v>
      </c>
      <c r="D182">
        <v>429.53625</v>
      </c>
      <c r="E182">
        <v>691.4937759336101</v>
      </c>
      <c r="F182">
        <v>179.52</v>
      </c>
      <c r="G182">
        <v>66.866249999999994</v>
      </c>
      <c r="H182">
        <v>9</v>
      </c>
      <c r="I182">
        <v>55</v>
      </c>
      <c r="J182">
        <v>3</v>
      </c>
      <c r="K182">
        <v>51</v>
      </c>
      <c r="L182">
        <v>55</v>
      </c>
      <c r="M182">
        <v>6</v>
      </c>
      <c r="N182">
        <v>1995</v>
      </c>
      <c r="O182">
        <v>0.27</v>
      </c>
      <c r="P182">
        <v>2.4700000000000002</v>
      </c>
      <c r="Q182">
        <v>1.4999999999999999E-2</v>
      </c>
      <c r="R182">
        <v>60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>
      <c r="A183">
        <v>336.34770600455079</v>
      </c>
      <c r="B183">
        <v>34.192307692307693</v>
      </c>
      <c r="C183">
        <v>6.8858585481246628</v>
      </c>
      <c r="D183">
        <v>1001.22</v>
      </c>
      <c r="E183">
        <v>681.792531120332</v>
      </c>
      <c r="F183">
        <v>175.2764</v>
      </c>
      <c r="G183">
        <v>65.12</v>
      </c>
      <c r="H183">
        <v>9</v>
      </c>
      <c r="I183">
        <v>52</v>
      </c>
      <c r="J183">
        <v>3</v>
      </c>
      <c r="K183">
        <v>293</v>
      </c>
      <c r="L183">
        <v>59</v>
      </c>
      <c r="M183">
        <v>20</v>
      </c>
      <c r="N183">
        <v>1995</v>
      </c>
      <c r="O183">
        <v>0.27</v>
      </c>
      <c r="P183">
        <v>2.4700000000000002</v>
      </c>
      <c r="Q183">
        <v>1.4999999999999999E-2</v>
      </c>
      <c r="R183">
        <v>60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>
      <c r="A184">
        <v>411.14191112927421</v>
      </c>
      <c r="B184">
        <v>42</v>
      </c>
      <c r="C184">
        <v>6.852365185487904</v>
      </c>
      <c r="D184">
        <v>499.71089999999998</v>
      </c>
      <c r="E184">
        <v>686.89792531120327</v>
      </c>
      <c r="F184">
        <v>159.42411999999999</v>
      </c>
      <c r="G184">
        <v>79.712059999999994</v>
      </c>
      <c r="H184">
        <v>55</v>
      </c>
      <c r="I184">
        <v>57</v>
      </c>
      <c r="J184">
        <v>11</v>
      </c>
      <c r="K184">
        <v>142</v>
      </c>
      <c r="L184">
        <v>56</v>
      </c>
      <c r="M184">
        <v>16</v>
      </c>
      <c r="N184">
        <v>1995</v>
      </c>
      <c r="O184">
        <v>0.27</v>
      </c>
      <c r="P184">
        <v>2.4700000000000002</v>
      </c>
      <c r="Q184">
        <v>1.4999999999999999E-2</v>
      </c>
      <c r="R184">
        <v>60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>
      <c r="A185">
        <v>410.88004337251942</v>
      </c>
      <c r="B185">
        <v>42</v>
      </c>
      <c r="C185">
        <v>6.8480007228753221</v>
      </c>
      <c r="D185">
        <v>504.84937500000012</v>
      </c>
      <c r="E185">
        <v>683.30290456431533</v>
      </c>
      <c r="F185">
        <v>159.16605000000001</v>
      </c>
      <c r="G185">
        <v>79.583024999999992</v>
      </c>
      <c r="H185">
        <v>54</v>
      </c>
      <c r="I185">
        <v>52</v>
      </c>
      <c r="J185">
        <v>5</v>
      </c>
      <c r="K185">
        <v>142</v>
      </c>
      <c r="L185">
        <v>61</v>
      </c>
      <c r="M185">
        <v>15</v>
      </c>
      <c r="N185">
        <v>1995</v>
      </c>
      <c r="O185">
        <v>0.27</v>
      </c>
      <c r="P185">
        <v>2.4700000000000002</v>
      </c>
      <c r="Q185">
        <v>1.4999999999999999E-2</v>
      </c>
      <c r="R185">
        <v>60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>
      <c r="A186">
        <v>437.37994188032138</v>
      </c>
      <c r="B186">
        <v>44.744000000000007</v>
      </c>
      <c r="C186">
        <v>6.8426148604555914</v>
      </c>
      <c r="D186">
        <v>558.74880000000007</v>
      </c>
      <c r="E186">
        <v>683.48547717842325</v>
      </c>
      <c r="F186">
        <v>376.32960000000003</v>
      </c>
      <c r="G186">
        <v>84.72</v>
      </c>
      <c r="H186">
        <v>174</v>
      </c>
      <c r="I186">
        <v>57</v>
      </c>
      <c r="J186">
        <v>4</v>
      </c>
      <c r="K186">
        <v>40</v>
      </c>
      <c r="L186">
        <v>64</v>
      </c>
      <c r="M186">
        <v>5</v>
      </c>
      <c r="N186">
        <v>1995</v>
      </c>
      <c r="O186">
        <v>0.27</v>
      </c>
      <c r="P186">
        <v>2.4700000000000002</v>
      </c>
      <c r="Q186">
        <v>1.4999999999999999E-2</v>
      </c>
      <c r="R186">
        <v>60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>
      <c r="A187">
        <v>342.1265732101424</v>
      </c>
      <c r="B187">
        <v>35</v>
      </c>
      <c r="C187">
        <v>6.8425314642028487</v>
      </c>
      <c r="D187">
        <v>433.27</v>
      </c>
      <c r="E187">
        <v>691.51037344398333</v>
      </c>
      <c r="F187">
        <v>179.63499999999999</v>
      </c>
      <c r="G187">
        <v>66.415000000000006</v>
      </c>
      <c r="H187">
        <v>7</v>
      </c>
      <c r="I187">
        <v>55</v>
      </c>
      <c r="J187">
        <v>5</v>
      </c>
      <c r="K187">
        <v>55</v>
      </c>
      <c r="L187">
        <v>53</v>
      </c>
      <c r="M187">
        <v>4</v>
      </c>
      <c r="N187">
        <v>1995</v>
      </c>
      <c r="O187">
        <v>0.27</v>
      </c>
      <c r="P187">
        <v>2.4700000000000002</v>
      </c>
      <c r="Q187">
        <v>1.4999999999999999E-2</v>
      </c>
      <c r="R187">
        <v>60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>
      <c r="A188">
        <v>437.34661069234642</v>
      </c>
      <c r="B188">
        <v>44.744</v>
      </c>
      <c r="C188">
        <v>6.8420934088289496</v>
      </c>
      <c r="D188">
        <v>504.2</v>
      </c>
      <c r="E188">
        <v>672.03983402489621</v>
      </c>
      <c r="F188">
        <v>380.404</v>
      </c>
      <c r="G188">
        <v>84.44832000000001</v>
      </c>
      <c r="H188">
        <v>178</v>
      </c>
      <c r="I188">
        <v>66</v>
      </c>
      <c r="J188">
        <v>5</v>
      </c>
      <c r="K188">
        <v>40</v>
      </c>
      <c r="L188">
        <v>54</v>
      </c>
      <c r="M188">
        <v>6</v>
      </c>
      <c r="N188">
        <v>1995</v>
      </c>
      <c r="O188">
        <v>0.27</v>
      </c>
      <c r="P188">
        <v>2.4700000000000002</v>
      </c>
      <c r="Q188">
        <v>1.4999999999999999E-2</v>
      </c>
      <c r="R188">
        <v>60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>
      <c r="A189">
        <v>434.98964645222537</v>
      </c>
      <c r="B189">
        <v>44.744</v>
      </c>
      <c r="C189">
        <v>6.8052197505041523</v>
      </c>
      <c r="D189">
        <v>443.86284000000001</v>
      </c>
      <c r="E189">
        <v>659.77095435684646</v>
      </c>
      <c r="F189">
        <v>379.71084000000002</v>
      </c>
      <c r="G189">
        <v>83.710440000000006</v>
      </c>
      <c r="H189">
        <v>131</v>
      </c>
      <c r="I189">
        <v>66</v>
      </c>
      <c r="J189">
        <v>4</v>
      </c>
      <c r="K189">
        <v>40</v>
      </c>
      <c r="L189">
        <v>54</v>
      </c>
      <c r="M189">
        <v>6</v>
      </c>
      <c r="N189">
        <v>1995</v>
      </c>
      <c r="O189">
        <v>0.27</v>
      </c>
      <c r="P189">
        <v>2.4700000000000002</v>
      </c>
      <c r="Q189">
        <v>1.4999999999999999E-2</v>
      </c>
      <c r="R189">
        <v>60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>
      <c r="A190">
        <v>432.4706246464234</v>
      </c>
      <c r="B190">
        <v>44.744</v>
      </c>
      <c r="C190">
        <v>6.765810773567325</v>
      </c>
      <c r="D190">
        <v>507.0496</v>
      </c>
      <c r="E190">
        <v>690.66224066390055</v>
      </c>
      <c r="F190">
        <v>381.8288</v>
      </c>
      <c r="G190">
        <v>83.933520000000001</v>
      </c>
      <c r="H190">
        <v>1</v>
      </c>
      <c r="I190">
        <v>66</v>
      </c>
      <c r="J190">
        <v>10</v>
      </c>
      <c r="K190">
        <v>40</v>
      </c>
      <c r="L190">
        <v>54</v>
      </c>
      <c r="M190">
        <v>6</v>
      </c>
      <c r="N190">
        <v>1995</v>
      </c>
      <c r="O190">
        <v>0.27</v>
      </c>
      <c r="P190">
        <v>2.4700000000000002</v>
      </c>
      <c r="Q190">
        <v>1.4999999999999999E-2</v>
      </c>
      <c r="R190">
        <v>60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>
      <c r="A191">
        <v>405.91938726438872</v>
      </c>
      <c r="B191">
        <v>42.000000000000007</v>
      </c>
      <c r="C191">
        <v>6.7653231210731439</v>
      </c>
      <c r="D191">
        <v>502.59674999999999</v>
      </c>
      <c r="E191">
        <v>689.18092607642325</v>
      </c>
      <c r="F191">
        <v>201.50253000000001</v>
      </c>
      <c r="G191">
        <v>78.748619999999988</v>
      </c>
      <c r="H191">
        <v>8</v>
      </c>
      <c r="I191">
        <v>53</v>
      </c>
      <c r="J191">
        <v>5</v>
      </c>
      <c r="K191">
        <v>84</v>
      </c>
      <c r="L191">
        <v>59</v>
      </c>
      <c r="M191">
        <v>27</v>
      </c>
      <c r="N191">
        <v>1995</v>
      </c>
      <c r="O191">
        <v>0.27</v>
      </c>
      <c r="P191">
        <v>2.4700000000000002</v>
      </c>
      <c r="Q191">
        <v>1.4999999999999999E-2</v>
      </c>
      <c r="R191">
        <v>60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>
      <c r="A192">
        <v>337.90197061649991</v>
      </c>
      <c r="B192">
        <v>35</v>
      </c>
      <c r="C192">
        <v>6.7580394123299969</v>
      </c>
      <c r="D192">
        <v>387.50400000000002</v>
      </c>
      <c r="E192">
        <v>688.83474778211314</v>
      </c>
      <c r="F192">
        <v>171.054</v>
      </c>
      <c r="G192">
        <v>65.546999999999997</v>
      </c>
      <c r="H192">
        <v>9</v>
      </c>
      <c r="I192">
        <v>54</v>
      </c>
      <c r="J192">
        <v>3</v>
      </c>
      <c r="K192">
        <v>273</v>
      </c>
      <c r="L192">
        <v>52</v>
      </c>
      <c r="M192">
        <v>2</v>
      </c>
      <c r="N192">
        <v>1995</v>
      </c>
      <c r="O192">
        <v>0.27</v>
      </c>
      <c r="P192">
        <v>2.4700000000000002</v>
      </c>
      <c r="Q192">
        <v>1.4999999999999999E-2</v>
      </c>
      <c r="R192">
        <v>60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>
      <c r="A193">
        <v>337.90197061649991</v>
      </c>
      <c r="B193">
        <v>35</v>
      </c>
      <c r="C193">
        <v>6.7580394123299969</v>
      </c>
      <c r="D193">
        <v>387.50400000000002</v>
      </c>
      <c r="E193">
        <v>688.83474778211314</v>
      </c>
      <c r="F193">
        <v>171.054</v>
      </c>
      <c r="G193">
        <v>65.546999999999997</v>
      </c>
      <c r="H193">
        <v>9</v>
      </c>
      <c r="I193">
        <v>54</v>
      </c>
      <c r="J193">
        <v>3</v>
      </c>
      <c r="K193">
        <v>274</v>
      </c>
      <c r="L193">
        <v>52</v>
      </c>
      <c r="M193">
        <v>2</v>
      </c>
      <c r="N193">
        <v>1995</v>
      </c>
      <c r="O193">
        <v>0.27</v>
      </c>
      <c r="P193">
        <v>2.4700000000000002</v>
      </c>
      <c r="Q193">
        <v>1.4999999999999999E-2</v>
      </c>
      <c r="R193">
        <v>60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>
      <c r="A194">
        <v>384.69259858068892</v>
      </c>
      <c r="B194">
        <v>39.9</v>
      </c>
      <c r="C194">
        <v>6.748992957555946</v>
      </c>
      <c r="D194">
        <v>430.32900000000001</v>
      </c>
      <c r="E194">
        <v>691.51578322147952</v>
      </c>
      <c r="F194">
        <v>286.11259999999999</v>
      </c>
      <c r="G194">
        <v>74.678200000000018</v>
      </c>
      <c r="H194">
        <v>163</v>
      </c>
      <c r="I194">
        <v>55</v>
      </c>
      <c r="J194">
        <v>10</v>
      </c>
      <c r="K194">
        <v>153</v>
      </c>
      <c r="L194">
        <v>58</v>
      </c>
      <c r="M194">
        <v>38</v>
      </c>
      <c r="N194">
        <v>1995</v>
      </c>
      <c r="O194">
        <v>0.27</v>
      </c>
      <c r="P194">
        <v>2.4700000000000002</v>
      </c>
      <c r="Q194">
        <v>1.4999999999999999E-2</v>
      </c>
      <c r="R194">
        <v>60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>
      <c r="A195">
        <v>337.20704368784777</v>
      </c>
      <c r="B195">
        <v>35</v>
      </c>
      <c r="C195">
        <v>6.7441408737569564</v>
      </c>
      <c r="D195">
        <v>448.88400000000001</v>
      </c>
      <c r="E195">
        <v>691.94688796680498</v>
      </c>
      <c r="F195">
        <v>170.8956</v>
      </c>
      <c r="G195">
        <v>65.467799999999997</v>
      </c>
      <c r="H195">
        <v>9</v>
      </c>
      <c r="I195">
        <v>54</v>
      </c>
      <c r="J195">
        <v>3</v>
      </c>
      <c r="K195">
        <v>193</v>
      </c>
      <c r="L195">
        <v>56</v>
      </c>
      <c r="M195">
        <v>9</v>
      </c>
      <c r="N195">
        <v>1995</v>
      </c>
      <c r="O195">
        <v>0.27</v>
      </c>
      <c r="P195">
        <v>2.4700000000000002</v>
      </c>
      <c r="Q195">
        <v>1.4999999999999999E-2</v>
      </c>
      <c r="R195">
        <v>60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>
      <c r="A196">
        <v>430.51468908782527</v>
      </c>
      <c r="B196">
        <v>44.744</v>
      </c>
      <c r="C196">
        <v>6.7352110307857531</v>
      </c>
      <c r="D196">
        <v>498.42</v>
      </c>
      <c r="E196">
        <v>671.31527010543743</v>
      </c>
      <c r="F196">
        <v>375.93</v>
      </c>
      <c r="G196">
        <v>83.1126</v>
      </c>
      <c r="H196">
        <v>181</v>
      </c>
      <c r="I196">
        <v>57</v>
      </c>
      <c r="J196">
        <v>5</v>
      </c>
      <c r="K196">
        <v>40</v>
      </c>
      <c r="L196">
        <v>64</v>
      </c>
      <c r="M196">
        <v>5</v>
      </c>
      <c r="N196">
        <v>1995</v>
      </c>
      <c r="O196">
        <v>0.27</v>
      </c>
      <c r="P196">
        <v>2.4700000000000002</v>
      </c>
      <c r="Q196">
        <v>1.4999999999999999E-2</v>
      </c>
      <c r="R196">
        <v>60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>
      <c r="A197">
        <v>403.80283621733707</v>
      </c>
      <c r="B197">
        <v>42.000000000000007</v>
      </c>
      <c r="C197">
        <v>6.730047270288952</v>
      </c>
      <c r="D197">
        <v>627.74639999999999</v>
      </c>
      <c r="E197">
        <v>685.27314116671346</v>
      </c>
      <c r="F197">
        <v>194.72399999999999</v>
      </c>
      <c r="G197">
        <v>78.254400000000004</v>
      </c>
      <c r="H197">
        <v>8</v>
      </c>
      <c r="I197">
        <v>52</v>
      </c>
      <c r="J197">
        <v>5</v>
      </c>
      <c r="K197">
        <v>323</v>
      </c>
      <c r="L197">
        <v>61</v>
      </c>
      <c r="M197">
        <v>27</v>
      </c>
      <c r="N197">
        <v>1995</v>
      </c>
      <c r="O197">
        <v>0.27</v>
      </c>
      <c r="P197">
        <v>2.4700000000000002</v>
      </c>
      <c r="Q197">
        <v>1.4999999999999999E-2</v>
      </c>
      <c r="R197">
        <v>60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>
      <c r="A198">
        <v>429.39936055397419</v>
      </c>
      <c r="B198">
        <v>44.744</v>
      </c>
      <c r="C198">
        <v>6.7177622114201228</v>
      </c>
      <c r="D198">
        <v>444.42432000000002</v>
      </c>
      <c r="E198">
        <v>689.12863070539413</v>
      </c>
      <c r="F198">
        <v>380.27231999999998</v>
      </c>
      <c r="G198">
        <v>83.30256</v>
      </c>
      <c r="H198">
        <v>132</v>
      </c>
      <c r="I198">
        <v>66</v>
      </c>
      <c r="J198">
        <v>4</v>
      </c>
      <c r="K198">
        <v>40</v>
      </c>
      <c r="L198">
        <v>54</v>
      </c>
      <c r="M198">
        <v>6</v>
      </c>
      <c r="N198">
        <v>1995</v>
      </c>
      <c r="O198">
        <v>0.27</v>
      </c>
      <c r="P198">
        <v>2.4700000000000002</v>
      </c>
      <c r="Q198">
        <v>1.4999999999999999E-2</v>
      </c>
      <c r="R198">
        <v>60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>
      <c r="A199">
        <v>335.18854822273897</v>
      </c>
      <c r="B199">
        <v>35</v>
      </c>
      <c r="C199">
        <v>6.7037709644547796</v>
      </c>
      <c r="D199">
        <v>431.95650000000001</v>
      </c>
      <c r="E199">
        <v>689.01244813278015</v>
      </c>
      <c r="F199">
        <v>173.7039</v>
      </c>
      <c r="G199">
        <v>65.023800000000008</v>
      </c>
      <c r="H199">
        <v>52</v>
      </c>
      <c r="I199">
        <v>57</v>
      </c>
      <c r="J199">
        <v>9</v>
      </c>
      <c r="K199">
        <v>160</v>
      </c>
      <c r="L199">
        <v>55</v>
      </c>
      <c r="M199">
        <v>14</v>
      </c>
      <c r="N199">
        <v>1995</v>
      </c>
      <c r="O199">
        <v>0.27</v>
      </c>
      <c r="P199">
        <v>2.4700000000000002</v>
      </c>
      <c r="Q199">
        <v>1.4999999999999999E-2</v>
      </c>
      <c r="R199">
        <v>60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>
      <c r="A200">
        <v>428.43709462424818</v>
      </c>
      <c r="B200">
        <v>44.744</v>
      </c>
      <c r="C200">
        <v>6.7027079884894896</v>
      </c>
      <c r="D200">
        <v>498.96</v>
      </c>
      <c r="E200">
        <v>651.31950207468878</v>
      </c>
      <c r="F200">
        <v>376.2</v>
      </c>
      <c r="G200">
        <v>82.257600000000011</v>
      </c>
      <c r="H200">
        <v>137</v>
      </c>
      <c r="I200">
        <v>57</v>
      </c>
      <c r="J200">
        <v>5</v>
      </c>
      <c r="K200">
        <v>40</v>
      </c>
      <c r="L200">
        <v>64</v>
      </c>
      <c r="M200">
        <v>5</v>
      </c>
      <c r="N200">
        <v>1995</v>
      </c>
      <c r="O200">
        <v>0.27</v>
      </c>
      <c r="P200">
        <v>2.4700000000000002</v>
      </c>
      <c r="Q200">
        <v>1.4999999999999999E-2</v>
      </c>
      <c r="R200">
        <v>60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>
      <c r="A201">
        <v>414.54734812972032</v>
      </c>
      <c r="B201">
        <v>43.400000000000013</v>
      </c>
      <c r="C201">
        <v>6.6862475504793588</v>
      </c>
      <c r="D201">
        <v>424.65120000000002</v>
      </c>
      <c r="E201">
        <v>690.74846202347737</v>
      </c>
      <c r="F201">
        <v>203.5728</v>
      </c>
      <c r="G201">
        <v>80.456879999999998</v>
      </c>
      <c r="H201">
        <v>52</v>
      </c>
      <c r="I201">
        <v>56</v>
      </c>
      <c r="J201">
        <v>12</v>
      </c>
      <c r="K201">
        <v>126</v>
      </c>
      <c r="L201">
        <v>57</v>
      </c>
      <c r="M201">
        <v>27</v>
      </c>
      <c r="N201">
        <v>1995</v>
      </c>
      <c r="O201">
        <v>0.27</v>
      </c>
      <c r="P201">
        <v>2.4700000000000002</v>
      </c>
      <c r="Q201">
        <v>1.4999999999999999E-2</v>
      </c>
      <c r="R201">
        <v>60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>
      <c r="A202">
        <v>427.05106755010848</v>
      </c>
      <c r="B202">
        <v>44.744</v>
      </c>
      <c r="C202">
        <v>6.681024210733864</v>
      </c>
      <c r="D202">
        <v>446.49</v>
      </c>
      <c r="E202">
        <v>674.19087136929454</v>
      </c>
      <c r="F202">
        <v>382.14</v>
      </c>
      <c r="G202">
        <v>82.509</v>
      </c>
      <c r="H202">
        <v>130</v>
      </c>
      <c r="I202">
        <v>56</v>
      </c>
      <c r="J202">
        <v>5</v>
      </c>
      <c r="K202">
        <v>40</v>
      </c>
      <c r="L202">
        <v>65</v>
      </c>
      <c r="M202">
        <v>5</v>
      </c>
      <c r="N202">
        <v>1995</v>
      </c>
      <c r="O202">
        <v>0.27</v>
      </c>
      <c r="P202">
        <v>2.4700000000000002</v>
      </c>
      <c r="Q202">
        <v>1.4999999999999999E-2</v>
      </c>
      <c r="R202">
        <v>60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>
      <c r="A203">
        <v>333.68088759639431</v>
      </c>
      <c r="B203">
        <v>35</v>
      </c>
      <c r="C203">
        <v>6.6736177519278854</v>
      </c>
      <c r="D203">
        <v>404.61840000000001</v>
      </c>
      <c r="E203">
        <v>690.09128630705402</v>
      </c>
      <c r="F203">
        <v>169.66800000000001</v>
      </c>
      <c r="G203">
        <v>64.750400000000013</v>
      </c>
      <c r="H203">
        <v>7</v>
      </c>
      <c r="I203">
        <v>65</v>
      </c>
      <c r="J203">
        <v>4</v>
      </c>
      <c r="K203">
        <v>36</v>
      </c>
      <c r="L203">
        <v>48</v>
      </c>
      <c r="M203">
        <v>3</v>
      </c>
      <c r="N203">
        <v>1995</v>
      </c>
      <c r="O203">
        <v>0.27</v>
      </c>
      <c r="P203">
        <v>2.4700000000000002</v>
      </c>
      <c r="Q203">
        <v>1.4999999999999999E-2</v>
      </c>
      <c r="R203">
        <v>60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>
      <c r="A204">
        <v>331.58704417407893</v>
      </c>
      <c r="B204">
        <v>35</v>
      </c>
      <c r="C204">
        <v>6.6317408834815792</v>
      </c>
      <c r="D204">
        <v>406.59625</v>
      </c>
      <c r="E204">
        <v>692.24896265560164</v>
      </c>
      <c r="F204">
        <v>170.91749999999999</v>
      </c>
      <c r="G204">
        <v>64.382000000000005</v>
      </c>
      <c r="H204">
        <v>6</v>
      </c>
      <c r="I204">
        <v>58</v>
      </c>
      <c r="J204">
        <v>5</v>
      </c>
      <c r="K204">
        <v>51</v>
      </c>
      <c r="L204">
        <v>56</v>
      </c>
      <c r="M204">
        <v>6</v>
      </c>
      <c r="N204">
        <v>1995</v>
      </c>
      <c r="O204">
        <v>0.27</v>
      </c>
      <c r="P204">
        <v>2.4700000000000002</v>
      </c>
      <c r="Q204">
        <v>1.4999999999999999E-2</v>
      </c>
      <c r="R204">
        <v>60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>
      <c r="A205">
        <v>323.21394389195541</v>
      </c>
      <c r="B205">
        <v>34.192307692307693</v>
      </c>
      <c r="C205">
        <v>6.6169783788904253</v>
      </c>
      <c r="D205">
        <v>958.3</v>
      </c>
      <c r="E205">
        <v>679.03734439834022</v>
      </c>
      <c r="F205">
        <v>165.96719999999999</v>
      </c>
      <c r="G205">
        <v>62.53</v>
      </c>
      <c r="H205">
        <v>6</v>
      </c>
      <c r="I205">
        <v>56</v>
      </c>
      <c r="J205">
        <v>5</v>
      </c>
      <c r="K205">
        <v>293</v>
      </c>
      <c r="L205">
        <v>57</v>
      </c>
      <c r="M205">
        <v>20</v>
      </c>
      <c r="N205">
        <v>1995</v>
      </c>
      <c r="O205">
        <v>0.27</v>
      </c>
      <c r="P205">
        <v>2.4700000000000002</v>
      </c>
      <c r="Q205">
        <v>1.4999999999999999E-2</v>
      </c>
      <c r="R205">
        <v>60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>
      <c r="A206">
        <v>330.5633325779649</v>
      </c>
      <c r="B206">
        <v>35</v>
      </c>
      <c r="C206">
        <v>6.6112666515592977</v>
      </c>
      <c r="D206">
        <v>444.81599999999997</v>
      </c>
      <c r="E206">
        <v>689.09543568464733</v>
      </c>
      <c r="F206">
        <v>169.536</v>
      </c>
      <c r="G206">
        <v>64.128000000000014</v>
      </c>
      <c r="H206">
        <v>8</v>
      </c>
      <c r="I206">
        <v>50</v>
      </c>
      <c r="J206">
        <v>4</v>
      </c>
      <c r="K206">
        <v>100</v>
      </c>
      <c r="L206">
        <v>66</v>
      </c>
      <c r="M206">
        <v>14</v>
      </c>
      <c r="N206">
        <v>1995</v>
      </c>
      <c r="O206">
        <v>0.27</v>
      </c>
      <c r="P206">
        <v>2.4700000000000002</v>
      </c>
      <c r="Q206">
        <v>1.4999999999999999E-2</v>
      </c>
      <c r="R206">
        <v>60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>
      <c r="A207">
        <v>330.00941852859893</v>
      </c>
      <c r="B207">
        <v>35</v>
      </c>
      <c r="C207">
        <v>6.6001883705719786</v>
      </c>
      <c r="D207">
        <v>446.72832</v>
      </c>
      <c r="E207">
        <v>689.69577859039191</v>
      </c>
      <c r="F207">
        <v>170.13311999999999</v>
      </c>
      <c r="G207">
        <v>64.031040000000004</v>
      </c>
      <c r="H207">
        <v>8</v>
      </c>
      <c r="I207">
        <v>51</v>
      </c>
      <c r="J207">
        <v>4</v>
      </c>
      <c r="K207">
        <v>315</v>
      </c>
      <c r="L207">
        <v>59</v>
      </c>
      <c r="M207">
        <v>10</v>
      </c>
      <c r="N207">
        <v>1995</v>
      </c>
      <c r="O207">
        <v>0.27</v>
      </c>
      <c r="P207">
        <v>2.4700000000000002</v>
      </c>
      <c r="Q207">
        <v>1.4999999999999999E-2</v>
      </c>
      <c r="R207">
        <v>60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>
      <c r="A208">
        <v>395.8075251808441</v>
      </c>
      <c r="B208">
        <v>42</v>
      </c>
      <c r="C208">
        <v>6.5967920863474019</v>
      </c>
      <c r="D208">
        <v>468.39600000000002</v>
      </c>
      <c r="E208">
        <v>691.97936920993766</v>
      </c>
      <c r="F208">
        <v>194.8536</v>
      </c>
      <c r="G208">
        <v>76.845600000000005</v>
      </c>
      <c r="H208">
        <v>53</v>
      </c>
      <c r="I208">
        <v>54</v>
      </c>
      <c r="J208">
        <v>12</v>
      </c>
      <c r="K208">
        <v>323</v>
      </c>
      <c r="L208">
        <v>58</v>
      </c>
      <c r="M208">
        <v>28</v>
      </c>
      <c r="N208">
        <v>1995</v>
      </c>
      <c r="O208">
        <v>0.27</v>
      </c>
      <c r="P208">
        <v>2.4700000000000002</v>
      </c>
      <c r="Q208">
        <v>1.4999999999999999E-2</v>
      </c>
      <c r="R208">
        <v>60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>
      <c r="A209">
        <v>329.82957150033741</v>
      </c>
      <c r="B209">
        <v>35</v>
      </c>
      <c r="C209">
        <v>6.5965914300067494</v>
      </c>
      <c r="D209">
        <v>552.06600000000003</v>
      </c>
      <c r="E209">
        <v>687.49875518672206</v>
      </c>
      <c r="F209">
        <v>169.14599999999999</v>
      </c>
      <c r="G209">
        <v>63.957749999999997</v>
      </c>
      <c r="H209">
        <v>8</v>
      </c>
      <c r="I209">
        <v>50</v>
      </c>
      <c r="J209">
        <v>4</v>
      </c>
      <c r="K209">
        <v>160</v>
      </c>
      <c r="L209">
        <v>61</v>
      </c>
      <c r="M209">
        <v>13</v>
      </c>
      <c r="N209">
        <v>1995</v>
      </c>
      <c r="O209">
        <v>0.27</v>
      </c>
      <c r="P209">
        <v>2.4700000000000002</v>
      </c>
      <c r="Q209">
        <v>1.4999999999999999E-2</v>
      </c>
      <c r="R209">
        <v>60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>
      <c r="A210">
        <v>329.76320508531802</v>
      </c>
      <c r="B210">
        <v>35</v>
      </c>
      <c r="C210">
        <v>6.59526410170636</v>
      </c>
      <c r="D210">
        <v>931.29</v>
      </c>
      <c r="E210">
        <v>682.75518672199178</v>
      </c>
      <c r="F210">
        <v>171.23599999999999</v>
      </c>
      <c r="G210">
        <v>63.862000000000002</v>
      </c>
      <c r="H210">
        <v>2</v>
      </c>
      <c r="I210">
        <v>56</v>
      </c>
      <c r="J210">
        <v>7</v>
      </c>
      <c r="K210">
        <v>55</v>
      </c>
      <c r="L210">
        <v>55</v>
      </c>
      <c r="M210">
        <v>4</v>
      </c>
      <c r="N210">
        <v>1995</v>
      </c>
      <c r="O210">
        <v>0.27</v>
      </c>
      <c r="P210">
        <v>2.4700000000000002</v>
      </c>
      <c r="Q210">
        <v>1.4999999999999999E-2</v>
      </c>
      <c r="R210">
        <v>60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>
      <c r="A211">
        <v>329.66926537139261</v>
      </c>
      <c r="B211">
        <v>35</v>
      </c>
      <c r="C211">
        <v>6.5933853074278526</v>
      </c>
      <c r="D211">
        <v>449.55</v>
      </c>
      <c r="E211">
        <v>688.03319502074692</v>
      </c>
      <c r="F211">
        <v>171.16200000000001</v>
      </c>
      <c r="G211">
        <v>63.936</v>
      </c>
      <c r="H211">
        <v>9</v>
      </c>
      <c r="I211">
        <v>52</v>
      </c>
      <c r="J211">
        <v>3</v>
      </c>
      <c r="K211">
        <v>194</v>
      </c>
      <c r="L211">
        <v>60</v>
      </c>
      <c r="M211">
        <v>3</v>
      </c>
      <c r="N211">
        <v>1995</v>
      </c>
      <c r="O211">
        <v>0.27</v>
      </c>
      <c r="P211">
        <v>2.4700000000000002</v>
      </c>
      <c r="Q211">
        <v>1.4999999999999999E-2</v>
      </c>
      <c r="R211">
        <v>60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>
      <c r="A212">
        <v>362.13079361152711</v>
      </c>
      <c r="B212">
        <v>38.5</v>
      </c>
      <c r="C212">
        <v>6.5841962474823106</v>
      </c>
      <c r="D212">
        <v>436.61680000000001</v>
      </c>
      <c r="E212">
        <v>689.05662947898975</v>
      </c>
      <c r="F212">
        <v>224.00808000000001</v>
      </c>
      <c r="G212">
        <v>70.251220000000004</v>
      </c>
      <c r="H212">
        <v>22</v>
      </c>
      <c r="I212">
        <v>57</v>
      </c>
      <c r="J212">
        <v>3</v>
      </c>
      <c r="K212">
        <v>84</v>
      </c>
      <c r="L212">
        <v>56</v>
      </c>
      <c r="M212">
        <v>28</v>
      </c>
      <c r="N212">
        <v>1995</v>
      </c>
      <c r="O212">
        <v>0.27</v>
      </c>
      <c r="P212">
        <v>2.4700000000000002</v>
      </c>
      <c r="Q212">
        <v>1.4999999999999999E-2</v>
      </c>
      <c r="R212">
        <v>60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>
      <c r="A213">
        <v>328.1549979673008</v>
      </c>
      <c r="B213">
        <v>35</v>
      </c>
      <c r="C213">
        <v>6.5630999593460162</v>
      </c>
      <c r="D213">
        <v>1160.879625</v>
      </c>
      <c r="E213">
        <v>674.4398340248963</v>
      </c>
      <c r="F213">
        <v>168.76994999999999</v>
      </c>
      <c r="G213">
        <v>63.405974999999998</v>
      </c>
      <c r="H213">
        <v>2</v>
      </c>
      <c r="I213">
        <v>54</v>
      </c>
      <c r="J213">
        <v>7</v>
      </c>
      <c r="K213">
        <v>142</v>
      </c>
      <c r="L213">
        <v>59</v>
      </c>
      <c r="M213">
        <v>15</v>
      </c>
      <c r="N213">
        <v>1995</v>
      </c>
      <c r="O213">
        <v>0.27</v>
      </c>
      <c r="P213">
        <v>2.4700000000000002</v>
      </c>
      <c r="Q213">
        <v>1.4999999999999999E-2</v>
      </c>
      <c r="R213">
        <v>60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>
      <c r="A214">
        <v>402.96639216496197</v>
      </c>
      <c r="B214">
        <v>43.166666666666671</v>
      </c>
      <c r="C214">
        <v>6.5345901432155999</v>
      </c>
      <c r="D214">
        <v>479.10599999999999</v>
      </c>
      <c r="E214">
        <v>686.8795165707478</v>
      </c>
      <c r="F214">
        <v>222.8724</v>
      </c>
      <c r="G214">
        <v>78.12660000000001</v>
      </c>
      <c r="H214">
        <v>164</v>
      </c>
      <c r="I214">
        <v>57</v>
      </c>
      <c r="J214">
        <v>5</v>
      </c>
      <c r="K214">
        <v>153</v>
      </c>
      <c r="L214">
        <v>56</v>
      </c>
      <c r="M214">
        <v>42</v>
      </c>
      <c r="N214">
        <v>1995</v>
      </c>
      <c r="O214">
        <v>0.27</v>
      </c>
      <c r="P214">
        <v>2.4700000000000002</v>
      </c>
      <c r="Q214">
        <v>1.4999999999999999E-2</v>
      </c>
      <c r="R214">
        <v>60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>
      <c r="A215">
        <v>454.43437219694499</v>
      </c>
      <c r="B215">
        <v>49</v>
      </c>
      <c r="C215">
        <v>6.4919196028135024</v>
      </c>
      <c r="D215">
        <v>449.44479999999999</v>
      </c>
      <c r="E215">
        <v>691.09812325492351</v>
      </c>
      <c r="F215">
        <v>165.01408000000001</v>
      </c>
      <c r="G215">
        <v>88.206720000000004</v>
      </c>
      <c r="H215">
        <v>39</v>
      </c>
      <c r="I215">
        <v>56</v>
      </c>
      <c r="J215">
        <v>10</v>
      </c>
      <c r="K215">
        <v>84</v>
      </c>
      <c r="L215">
        <v>56</v>
      </c>
      <c r="M215">
        <v>28</v>
      </c>
      <c r="N215">
        <v>1995</v>
      </c>
      <c r="O215">
        <v>0.27</v>
      </c>
      <c r="P215">
        <v>2.4700000000000002</v>
      </c>
      <c r="Q215">
        <v>1.4999999999999999E-2</v>
      </c>
      <c r="R215">
        <v>60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>
      <c r="A216">
        <v>337.33087843227611</v>
      </c>
      <c r="B216">
        <v>36.4</v>
      </c>
      <c r="C216">
        <v>6.487132277543771</v>
      </c>
      <c r="D216">
        <v>413.67200000000003</v>
      </c>
      <c r="E216">
        <v>692.26903668886212</v>
      </c>
      <c r="F216">
        <v>247.0496</v>
      </c>
      <c r="G216">
        <v>65.497600000000006</v>
      </c>
      <c r="H216">
        <v>57</v>
      </c>
      <c r="I216">
        <v>56</v>
      </c>
      <c r="J216">
        <v>13</v>
      </c>
      <c r="K216">
        <v>323</v>
      </c>
      <c r="L216">
        <v>57</v>
      </c>
      <c r="M216">
        <v>28</v>
      </c>
      <c r="N216">
        <v>1995</v>
      </c>
      <c r="O216">
        <v>0.27</v>
      </c>
      <c r="P216">
        <v>2.4700000000000002</v>
      </c>
      <c r="Q216">
        <v>1.4999999999999999E-2</v>
      </c>
      <c r="R216">
        <v>60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>
      <c r="A217">
        <v>323.18165422622479</v>
      </c>
      <c r="B217">
        <v>35</v>
      </c>
      <c r="C217">
        <v>6.4636330845244956</v>
      </c>
      <c r="D217">
        <v>428.16399999999999</v>
      </c>
      <c r="E217">
        <v>688.90954356846464</v>
      </c>
      <c r="F217">
        <v>163.12559999999999</v>
      </c>
      <c r="G217">
        <v>62.692800000000013</v>
      </c>
      <c r="H217">
        <v>6</v>
      </c>
      <c r="I217">
        <v>57</v>
      </c>
      <c r="J217">
        <v>5</v>
      </c>
      <c r="K217">
        <v>193</v>
      </c>
      <c r="L217">
        <v>56</v>
      </c>
      <c r="M217">
        <v>9</v>
      </c>
      <c r="N217">
        <v>1995</v>
      </c>
      <c r="O217">
        <v>0.27</v>
      </c>
      <c r="P217">
        <v>2.4700000000000002</v>
      </c>
      <c r="Q217">
        <v>1.4999999999999999E-2</v>
      </c>
      <c r="R217">
        <v>60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>
      <c r="A218">
        <v>387.57566985594372</v>
      </c>
      <c r="B218">
        <v>42</v>
      </c>
      <c r="C218">
        <v>6.4595944975990607</v>
      </c>
      <c r="D218">
        <v>475.0111</v>
      </c>
      <c r="E218">
        <v>691.15375788391361</v>
      </c>
      <c r="F218">
        <v>191.10066</v>
      </c>
      <c r="G218">
        <v>75.230440000000002</v>
      </c>
      <c r="H218">
        <v>9</v>
      </c>
      <c r="I218">
        <v>47</v>
      </c>
      <c r="J218">
        <v>4</v>
      </c>
      <c r="K218">
        <v>84</v>
      </c>
      <c r="L218">
        <v>61</v>
      </c>
      <c r="M218">
        <v>26</v>
      </c>
      <c r="N218">
        <v>1995</v>
      </c>
      <c r="O218">
        <v>0.27</v>
      </c>
      <c r="P218">
        <v>2.4700000000000002</v>
      </c>
      <c r="Q218">
        <v>1.4999999999999999E-2</v>
      </c>
      <c r="R218">
        <v>60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>
      <c r="A219">
        <v>425.80789420109102</v>
      </c>
      <c r="B219">
        <v>46.20000000000001</v>
      </c>
      <c r="C219">
        <v>6.4516347606225892</v>
      </c>
      <c r="D219">
        <v>506.65499999999997</v>
      </c>
      <c r="E219">
        <v>685.44870377651728</v>
      </c>
      <c r="F219">
        <v>270.67500000000001</v>
      </c>
      <c r="G219">
        <v>82.522800000000004</v>
      </c>
      <c r="H219">
        <v>111</v>
      </c>
      <c r="I219">
        <v>57</v>
      </c>
      <c r="J219">
        <v>26</v>
      </c>
      <c r="K219">
        <v>277</v>
      </c>
      <c r="L219">
        <v>56</v>
      </c>
      <c r="M219">
        <v>14</v>
      </c>
      <c r="N219">
        <v>1995</v>
      </c>
      <c r="O219">
        <v>0.27</v>
      </c>
      <c r="P219">
        <v>2.4700000000000002</v>
      </c>
      <c r="Q219">
        <v>1.4999999999999999E-2</v>
      </c>
      <c r="R219">
        <v>60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>
      <c r="A220">
        <v>386.77570317758318</v>
      </c>
      <c r="B220">
        <v>42</v>
      </c>
      <c r="C220">
        <v>6.4462617196263876</v>
      </c>
      <c r="D220">
        <v>608.31600000000003</v>
      </c>
      <c r="E220">
        <v>688.5400694919723</v>
      </c>
      <c r="F220">
        <v>187.4376</v>
      </c>
      <c r="G220">
        <v>75.021600000000007</v>
      </c>
      <c r="H220">
        <v>9</v>
      </c>
      <c r="I220">
        <v>46</v>
      </c>
      <c r="J220">
        <v>4</v>
      </c>
      <c r="K220">
        <v>323</v>
      </c>
      <c r="L220">
        <v>64</v>
      </c>
      <c r="M220">
        <v>26</v>
      </c>
      <c r="N220">
        <v>1995</v>
      </c>
      <c r="O220">
        <v>0.27</v>
      </c>
      <c r="P220">
        <v>2.4700000000000002</v>
      </c>
      <c r="Q220">
        <v>1.4999999999999999E-2</v>
      </c>
      <c r="R220">
        <v>60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>
      <c r="A221">
        <v>321.87727576451749</v>
      </c>
      <c r="B221">
        <v>35</v>
      </c>
      <c r="C221">
        <v>6.43754551529035</v>
      </c>
      <c r="D221">
        <v>417.69299999999998</v>
      </c>
      <c r="E221">
        <v>689.42738589211626</v>
      </c>
      <c r="F221">
        <v>166.25579999999999</v>
      </c>
      <c r="G221">
        <v>62.448600000000013</v>
      </c>
      <c r="H221">
        <v>52</v>
      </c>
      <c r="I221">
        <v>54</v>
      </c>
      <c r="J221">
        <v>9</v>
      </c>
      <c r="K221">
        <v>159</v>
      </c>
      <c r="L221">
        <v>57</v>
      </c>
      <c r="M221">
        <v>20</v>
      </c>
      <c r="N221">
        <v>1995</v>
      </c>
      <c r="O221">
        <v>0.27</v>
      </c>
      <c r="P221">
        <v>2.4700000000000002</v>
      </c>
      <c r="Q221">
        <v>1.4999999999999999E-2</v>
      </c>
      <c r="R221">
        <v>60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>
      <c r="A222">
        <v>398.22056751870809</v>
      </c>
      <c r="B222">
        <v>43.400000000000013</v>
      </c>
      <c r="C222">
        <v>6.4229123793340008</v>
      </c>
      <c r="D222">
        <v>410.96519999999998</v>
      </c>
      <c r="E222">
        <v>688.98736328830319</v>
      </c>
      <c r="F222">
        <v>195.3612</v>
      </c>
      <c r="G222">
        <v>77.250959999999992</v>
      </c>
      <c r="H222">
        <v>53</v>
      </c>
      <c r="I222">
        <v>55</v>
      </c>
      <c r="J222">
        <v>12</v>
      </c>
      <c r="K222">
        <v>126</v>
      </c>
      <c r="L222">
        <v>58</v>
      </c>
      <c r="M222">
        <v>26</v>
      </c>
      <c r="N222">
        <v>1995</v>
      </c>
      <c r="O222">
        <v>0.27</v>
      </c>
      <c r="P222">
        <v>2.4700000000000002</v>
      </c>
      <c r="Q222">
        <v>1.4999999999999999E-2</v>
      </c>
      <c r="R222">
        <v>60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>
      <c r="A223">
        <v>312.68860753261561</v>
      </c>
      <c r="B223">
        <v>34.192307692307693</v>
      </c>
      <c r="C223">
        <v>6.4014990518488242</v>
      </c>
      <c r="D223">
        <v>963.12480000000005</v>
      </c>
      <c r="E223">
        <v>683.13360995850621</v>
      </c>
      <c r="F223">
        <v>161.66927999999999</v>
      </c>
      <c r="G223">
        <v>60.561600000000013</v>
      </c>
      <c r="H223">
        <v>7</v>
      </c>
      <c r="I223">
        <v>57</v>
      </c>
      <c r="J223">
        <v>4</v>
      </c>
      <c r="K223">
        <v>293</v>
      </c>
      <c r="L223">
        <v>56</v>
      </c>
      <c r="M223">
        <v>21</v>
      </c>
      <c r="N223">
        <v>1995</v>
      </c>
      <c r="O223">
        <v>0.27</v>
      </c>
      <c r="P223">
        <v>2.4700000000000002</v>
      </c>
      <c r="Q223">
        <v>1.4999999999999999E-2</v>
      </c>
      <c r="R223">
        <v>60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>
      <c r="A224">
        <v>319.3548359477436</v>
      </c>
      <c r="B224">
        <v>35</v>
      </c>
      <c r="C224">
        <v>6.3870967189548722</v>
      </c>
      <c r="D224">
        <v>424.2</v>
      </c>
      <c r="E224">
        <v>692.34024896265566</v>
      </c>
      <c r="F224">
        <v>161.68799999999999</v>
      </c>
      <c r="G224">
        <v>62.008499999999998</v>
      </c>
      <c r="H224">
        <v>9</v>
      </c>
      <c r="I224">
        <v>49</v>
      </c>
      <c r="J224">
        <v>3</v>
      </c>
      <c r="K224">
        <v>100</v>
      </c>
      <c r="L224">
        <v>68</v>
      </c>
      <c r="M224">
        <v>13</v>
      </c>
      <c r="N224">
        <v>1995</v>
      </c>
      <c r="O224">
        <v>0.27</v>
      </c>
      <c r="P224">
        <v>2.4700000000000002</v>
      </c>
      <c r="Q224">
        <v>1.4999999999999999E-2</v>
      </c>
      <c r="R224">
        <v>60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>
      <c r="A225">
        <v>343.56802149656448</v>
      </c>
      <c r="B225">
        <v>37.744</v>
      </c>
      <c r="C225">
        <v>6.3718104876959298</v>
      </c>
      <c r="D225">
        <v>480.16800000000001</v>
      </c>
      <c r="E225">
        <v>690.19087136929465</v>
      </c>
      <c r="F225">
        <v>362.84399999999999</v>
      </c>
      <c r="G225">
        <v>66.6708</v>
      </c>
      <c r="H225">
        <v>56</v>
      </c>
      <c r="I225">
        <v>56</v>
      </c>
      <c r="J225">
        <v>9</v>
      </c>
      <c r="K225">
        <v>40</v>
      </c>
      <c r="L225">
        <v>62</v>
      </c>
      <c r="M225">
        <v>5</v>
      </c>
      <c r="N225">
        <v>1995</v>
      </c>
      <c r="O225">
        <v>0.27</v>
      </c>
      <c r="P225">
        <v>2.4700000000000002</v>
      </c>
      <c r="Q225">
        <v>1.4999999999999999E-2</v>
      </c>
      <c r="R225">
        <v>60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>
      <c r="A226">
        <v>318.35398258859698</v>
      </c>
      <c r="B226">
        <v>35</v>
      </c>
      <c r="C226">
        <v>6.3670796517719399</v>
      </c>
      <c r="D226">
        <v>529.47</v>
      </c>
      <c r="E226">
        <v>689.81078838174278</v>
      </c>
      <c r="F226">
        <v>161.83799999999999</v>
      </c>
      <c r="G226">
        <v>61.771500000000003</v>
      </c>
      <c r="H226">
        <v>9</v>
      </c>
      <c r="I226">
        <v>49</v>
      </c>
      <c r="J226">
        <v>3</v>
      </c>
      <c r="K226">
        <v>160</v>
      </c>
      <c r="L226">
        <v>63</v>
      </c>
      <c r="M226">
        <v>12</v>
      </c>
      <c r="N226">
        <v>1995</v>
      </c>
      <c r="O226">
        <v>0.27</v>
      </c>
      <c r="P226">
        <v>2.4700000000000002</v>
      </c>
      <c r="Q226">
        <v>1.4999999999999999E-2</v>
      </c>
      <c r="R226">
        <v>60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>
      <c r="A227">
        <v>318.05559134295271</v>
      </c>
      <c r="B227">
        <v>35</v>
      </c>
      <c r="C227">
        <v>6.3611118268590534</v>
      </c>
      <c r="D227">
        <v>536.60636000000011</v>
      </c>
      <c r="E227">
        <v>689.91867219917026</v>
      </c>
      <c r="F227">
        <v>163.70475999999999</v>
      </c>
      <c r="G227">
        <v>61.715420000000009</v>
      </c>
      <c r="H227">
        <v>8</v>
      </c>
      <c r="I227">
        <v>48</v>
      </c>
      <c r="J227">
        <v>4</v>
      </c>
      <c r="K227">
        <v>159</v>
      </c>
      <c r="L227">
        <v>61</v>
      </c>
      <c r="M227">
        <v>19</v>
      </c>
      <c r="N227">
        <v>1995</v>
      </c>
      <c r="O227">
        <v>0.27</v>
      </c>
      <c r="P227">
        <v>2.4700000000000002</v>
      </c>
      <c r="Q227">
        <v>1.4999999999999999E-2</v>
      </c>
      <c r="R227">
        <v>60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>
      <c r="A228">
        <v>457.25240215535979</v>
      </c>
      <c r="B228">
        <v>50.400000000000013</v>
      </c>
      <c r="C228">
        <v>6.3507278077133309</v>
      </c>
      <c r="D228">
        <v>531.16319999999996</v>
      </c>
      <c r="E228">
        <v>687.96008028073891</v>
      </c>
      <c r="F228">
        <v>162.8272</v>
      </c>
      <c r="G228">
        <v>88.677679999999995</v>
      </c>
      <c r="H228">
        <v>39</v>
      </c>
      <c r="I228">
        <v>56</v>
      </c>
      <c r="J228">
        <v>10</v>
      </c>
      <c r="K228">
        <v>126</v>
      </c>
      <c r="L228">
        <v>57</v>
      </c>
      <c r="M228">
        <v>27</v>
      </c>
      <c r="N228">
        <v>1995</v>
      </c>
      <c r="O228">
        <v>0.27</v>
      </c>
      <c r="P228">
        <v>2.4700000000000002</v>
      </c>
      <c r="Q228">
        <v>1.4999999999999999E-2</v>
      </c>
      <c r="R228">
        <v>60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>
      <c r="A229">
        <v>317.39341102608262</v>
      </c>
      <c r="B229">
        <v>35</v>
      </c>
      <c r="C229">
        <v>6.3478682205216526</v>
      </c>
      <c r="D229">
        <v>383.42410000000001</v>
      </c>
      <c r="E229">
        <v>687.33609958506213</v>
      </c>
      <c r="F229">
        <v>161.89259999999999</v>
      </c>
      <c r="G229">
        <v>61.543500000000009</v>
      </c>
      <c r="H229">
        <v>7</v>
      </c>
      <c r="I229">
        <v>60</v>
      </c>
      <c r="J229">
        <v>4</v>
      </c>
      <c r="K229">
        <v>51</v>
      </c>
      <c r="L229">
        <v>54</v>
      </c>
      <c r="M229">
        <v>6</v>
      </c>
      <c r="N229">
        <v>1995</v>
      </c>
      <c r="O229">
        <v>0.27</v>
      </c>
      <c r="P229">
        <v>2.4700000000000002</v>
      </c>
      <c r="Q229">
        <v>1.4999999999999999E-2</v>
      </c>
      <c r="R229">
        <v>60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>
      <c r="A230">
        <v>316.98479791663271</v>
      </c>
      <c r="B230">
        <v>35</v>
      </c>
      <c r="C230">
        <v>6.3396959583326549</v>
      </c>
      <c r="D230">
        <v>423.36</v>
      </c>
      <c r="E230">
        <v>691.16048386527768</v>
      </c>
      <c r="F230">
        <v>161.352</v>
      </c>
      <c r="G230">
        <v>61.528500000000001</v>
      </c>
      <c r="H230">
        <v>9</v>
      </c>
      <c r="I230">
        <v>49</v>
      </c>
      <c r="J230">
        <v>3</v>
      </c>
      <c r="K230">
        <v>315</v>
      </c>
      <c r="L230">
        <v>64</v>
      </c>
      <c r="M230">
        <v>9</v>
      </c>
      <c r="N230">
        <v>1995</v>
      </c>
      <c r="O230">
        <v>0.27</v>
      </c>
      <c r="P230">
        <v>2.4700000000000002</v>
      </c>
      <c r="Q230">
        <v>1.4999999999999999E-2</v>
      </c>
      <c r="R230">
        <v>60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>
      <c r="A231">
        <v>455.53262867348371</v>
      </c>
      <c r="B231">
        <v>50.4</v>
      </c>
      <c r="C231">
        <v>6.3268420649094947</v>
      </c>
      <c r="D231">
        <v>374.27640000000002</v>
      </c>
      <c r="E231">
        <v>690.84149377593371</v>
      </c>
      <c r="F231">
        <v>176.18324999999999</v>
      </c>
      <c r="G231">
        <v>88.413700000000006</v>
      </c>
      <c r="H231">
        <v>174</v>
      </c>
      <c r="I231">
        <v>47</v>
      </c>
      <c r="J231">
        <v>5</v>
      </c>
      <c r="K231">
        <v>96</v>
      </c>
      <c r="L231">
        <v>58</v>
      </c>
      <c r="M231">
        <v>19</v>
      </c>
      <c r="N231">
        <v>1995</v>
      </c>
      <c r="O231">
        <v>0.27</v>
      </c>
      <c r="P231">
        <v>2.4700000000000002</v>
      </c>
      <c r="Q231">
        <v>1.4999999999999999E-2</v>
      </c>
      <c r="R231">
        <v>60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>
      <c r="A232">
        <v>484.96363822185839</v>
      </c>
      <c r="B232">
        <v>53.666666666666657</v>
      </c>
      <c r="C232">
        <v>6.3256126724590231</v>
      </c>
      <c r="D232">
        <v>374.59800000000001</v>
      </c>
      <c r="E232">
        <v>691.28810741557049</v>
      </c>
      <c r="F232">
        <v>272.58839999999998</v>
      </c>
      <c r="G232">
        <v>94.137400000000014</v>
      </c>
      <c r="H232">
        <v>164</v>
      </c>
      <c r="I232">
        <v>53</v>
      </c>
      <c r="J232">
        <v>7</v>
      </c>
      <c r="K232">
        <v>111</v>
      </c>
      <c r="L232">
        <v>56</v>
      </c>
      <c r="M232">
        <v>11</v>
      </c>
      <c r="N232">
        <v>1995</v>
      </c>
      <c r="O232">
        <v>0.27</v>
      </c>
      <c r="P232">
        <v>2.4700000000000002</v>
      </c>
      <c r="Q232">
        <v>1.4999999999999999E-2</v>
      </c>
      <c r="R232">
        <v>60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>
      <c r="A233">
        <v>315.46630672566971</v>
      </c>
      <c r="B233">
        <v>35</v>
      </c>
      <c r="C233">
        <v>6.3093261345133946</v>
      </c>
      <c r="D233">
        <v>440.75962500000009</v>
      </c>
      <c r="E233">
        <v>684.83208706389394</v>
      </c>
      <c r="F233">
        <v>161.93594999999999</v>
      </c>
      <c r="G233">
        <v>61.127974999999999</v>
      </c>
      <c r="H233">
        <v>93</v>
      </c>
      <c r="I233">
        <v>62</v>
      </c>
      <c r="J233">
        <v>5</v>
      </c>
      <c r="K233">
        <v>142</v>
      </c>
      <c r="L233">
        <v>59</v>
      </c>
      <c r="M233">
        <v>15</v>
      </c>
      <c r="N233">
        <v>1995</v>
      </c>
      <c r="O233">
        <v>0.27</v>
      </c>
      <c r="P233">
        <v>2.4700000000000002</v>
      </c>
      <c r="Q233">
        <v>1.4999999999999999E-2</v>
      </c>
      <c r="R233">
        <v>60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>
      <c r="A234">
        <v>403.11523535717868</v>
      </c>
      <c r="B234">
        <v>44.744</v>
      </c>
      <c r="C234">
        <v>6.3065587508945367</v>
      </c>
      <c r="D234">
        <v>484.97519999999997</v>
      </c>
      <c r="E234">
        <v>690.98755186721974</v>
      </c>
      <c r="F234">
        <v>369.20760000000001</v>
      </c>
      <c r="G234">
        <v>78.243200000000002</v>
      </c>
      <c r="H234">
        <v>65</v>
      </c>
      <c r="I234">
        <v>56</v>
      </c>
      <c r="J234">
        <v>4</v>
      </c>
      <c r="K234">
        <v>40</v>
      </c>
      <c r="L234">
        <v>64</v>
      </c>
      <c r="M234">
        <v>5</v>
      </c>
      <c r="N234">
        <v>1995</v>
      </c>
      <c r="O234">
        <v>0.27</v>
      </c>
      <c r="P234">
        <v>2.4700000000000002</v>
      </c>
      <c r="Q234">
        <v>1.4999999999999999E-2</v>
      </c>
      <c r="R234">
        <v>60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>
      <c r="A235">
        <v>390.58941698785281</v>
      </c>
      <c r="B235">
        <v>43.400000000000013</v>
      </c>
      <c r="C235">
        <v>6.2998293062556892</v>
      </c>
      <c r="D235">
        <v>556.63679999999999</v>
      </c>
      <c r="E235">
        <v>688.34034004498949</v>
      </c>
      <c r="F235">
        <v>188.6508</v>
      </c>
      <c r="G235">
        <v>75.757199999999997</v>
      </c>
      <c r="H235">
        <v>9</v>
      </c>
      <c r="I235">
        <v>47</v>
      </c>
      <c r="J235">
        <v>4</v>
      </c>
      <c r="K235">
        <v>126</v>
      </c>
      <c r="L235">
        <v>65</v>
      </c>
      <c r="M235">
        <v>24</v>
      </c>
      <c r="N235">
        <v>1995</v>
      </c>
      <c r="O235">
        <v>0.27</v>
      </c>
      <c r="P235">
        <v>2.4700000000000002</v>
      </c>
      <c r="Q235">
        <v>1.4999999999999999E-2</v>
      </c>
      <c r="R235">
        <v>60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>
      <c r="A236">
        <v>327.03323229760798</v>
      </c>
      <c r="B236">
        <v>36.400000000000013</v>
      </c>
      <c r="C236">
        <v>6.2891006211078464</v>
      </c>
      <c r="D236">
        <v>398.01600000000002</v>
      </c>
      <c r="E236">
        <v>690.94368456263487</v>
      </c>
      <c r="F236">
        <v>234.3168</v>
      </c>
      <c r="G236">
        <v>63.475200000000001</v>
      </c>
      <c r="H236">
        <v>295</v>
      </c>
      <c r="I236">
        <v>58</v>
      </c>
      <c r="J236">
        <v>12</v>
      </c>
      <c r="K236">
        <v>323</v>
      </c>
      <c r="L236">
        <v>56</v>
      </c>
      <c r="M236">
        <v>29</v>
      </c>
      <c r="N236">
        <v>1995</v>
      </c>
      <c r="O236">
        <v>0.27</v>
      </c>
      <c r="P236">
        <v>2.4700000000000002</v>
      </c>
      <c r="Q236">
        <v>1.4999999999999999E-2</v>
      </c>
      <c r="R236">
        <v>60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>
      <c r="A237">
        <v>337.46822958347178</v>
      </c>
      <c r="B237">
        <v>37.744</v>
      </c>
      <c r="C237">
        <v>6.2586837830762576</v>
      </c>
      <c r="D237">
        <v>873.28800000000001</v>
      </c>
      <c r="E237">
        <v>683.57415801758657</v>
      </c>
      <c r="F237">
        <v>680.16240000000005</v>
      </c>
      <c r="G237">
        <v>65.368800000000007</v>
      </c>
      <c r="H237">
        <v>40</v>
      </c>
      <c r="I237">
        <v>60</v>
      </c>
      <c r="J237">
        <v>11</v>
      </c>
      <c r="K237">
        <v>127</v>
      </c>
      <c r="L237">
        <v>60</v>
      </c>
      <c r="M237">
        <v>21</v>
      </c>
      <c r="N237">
        <v>1995</v>
      </c>
      <c r="O237">
        <v>0.27</v>
      </c>
      <c r="P237">
        <v>2.4700000000000002</v>
      </c>
      <c r="Q237">
        <v>1.4999999999999999E-2</v>
      </c>
      <c r="R237">
        <v>60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>
      <c r="A238">
        <v>399.58001615903652</v>
      </c>
      <c r="B238">
        <v>44.744000000000007</v>
      </c>
      <c r="C238">
        <v>6.2512518172565148</v>
      </c>
      <c r="D238">
        <v>439.47602999999998</v>
      </c>
      <c r="E238">
        <v>654.68713692946051</v>
      </c>
      <c r="F238">
        <v>375.32403000000011</v>
      </c>
      <c r="G238">
        <v>76.788494999999998</v>
      </c>
      <c r="H238">
        <v>317</v>
      </c>
      <c r="I238">
        <v>63</v>
      </c>
      <c r="J238">
        <v>9</v>
      </c>
      <c r="K238">
        <v>40</v>
      </c>
      <c r="L238">
        <v>55</v>
      </c>
      <c r="M238">
        <v>6</v>
      </c>
      <c r="N238">
        <v>1995</v>
      </c>
      <c r="O238">
        <v>0.27</v>
      </c>
      <c r="P238">
        <v>2.4700000000000002</v>
      </c>
      <c r="Q238">
        <v>1.4999999999999999E-2</v>
      </c>
      <c r="R238">
        <v>60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>
      <c r="A239">
        <v>399.07669523099332</v>
      </c>
      <c r="B239">
        <v>44.744</v>
      </c>
      <c r="C239">
        <v>6.2433775849654776</v>
      </c>
      <c r="D239">
        <v>497.16</v>
      </c>
      <c r="E239">
        <v>688.57872589057365</v>
      </c>
      <c r="F239">
        <v>379.26</v>
      </c>
      <c r="G239">
        <v>77.4084</v>
      </c>
      <c r="H239">
        <v>183</v>
      </c>
      <c r="I239">
        <v>64</v>
      </c>
      <c r="J239">
        <v>3</v>
      </c>
      <c r="K239">
        <v>40</v>
      </c>
      <c r="L239">
        <v>55</v>
      </c>
      <c r="M239">
        <v>6</v>
      </c>
      <c r="N239">
        <v>1995</v>
      </c>
      <c r="O239">
        <v>0.27</v>
      </c>
      <c r="P239">
        <v>2.4700000000000002</v>
      </c>
      <c r="Q239">
        <v>1.4999999999999999E-2</v>
      </c>
      <c r="R239">
        <v>60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>
      <c r="A240">
        <v>311.76221415914898</v>
      </c>
      <c r="B240">
        <v>35</v>
      </c>
      <c r="C240">
        <v>6.2352442831829809</v>
      </c>
      <c r="D240">
        <v>422.54000000000008</v>
      </c>
      <c r="E240">
        <v>690.85975103734438</v>
      </c>
      <c r="F240">
        <v>161.01660000000001</v>
      </c>
      <c r="G240">
        <v>60.509800000000013</v>
      </c>
      <c r="H240">
        <v>7</v>
      </c>
      <c r="I240">
        <v>47</v>
      </c>
      <c r="J240">
        <v>5</v>
      </c>
      <c r="K240">
        <v>193</v>
      </c>
      <c r="L240">
        <v>56</v>
      </c>
      <c r="M240">
        <v>9</v>
      </c>
      <c r="N240">
        <v>1995</v>
      </c>
      <c r="O240">
        <v>0.27</v>
      </c>
      <c r="P240">
        <v>2.4700000000000002</v>
      </c>
      <c r="Q240">
        <v>1.4999999999999999E-2</v>
      </c>
      <c r="R240">
        <v>60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>
      <c r="A241">
        <v>311.4610490805789</v>
      </c>
      <c r="B241">
        <v>35</v>
      </c>
      <c r="C241">
        <v>6.2292209816115776</v>
      </c>
      <c r="D241">
        <v>407.66250000000002</v>
      </c>
      <c r="E241">
        <v>690.32365145228209</v>
      </c>
      <c r="F241">
        <v>160.23750000000001</v>
      </c>
      <c r="G241">
        <v>60.442500000000003</v>
      </c>
      <c r="H241">
        <v>53</v>
      </c>
      <c r="I241">
        <v>53</v>
      </c>
      <c r="J241">
        <v>9</v>
      </c>
      <c r="K241">
        <v>159</v>
      </c>
      <c r="L241">
        <v>57</v>
      </c>
      <c r="M241">
        <v>20</v>
      </c>
      <c r="N241">
        <v>1995</v>
      </c>
      <c r="O241">
        <v>0.27</v>
      </c>
      <c r="P241">
        <v>2.4700000000000002</v>
      </c>
      <c r="Q241">
        <v>1.4999999999999999E-2</v>
      </c>
      <c r="R241">
        <v>60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>
      <c r="A242">
        <v>373.32446072384641</v>
      </c>
      <c r="B242">
        <v>42</v>
      </c>
      <c r="C242">
        <v>6.2220743453974388</v>
      </c>
      <c r="D242">
        <v>447.64409999999998</v>
      </c>
      <c r="E242">
        <v>690.58517833856831</v>
      </c>
      <c r="F242">
        <v>180.67446000000001</v>
      </c>
      <c r="G242">
        <v>72.45295999999999</v>
      </c>
      <c r="H242">
        <v>6</v>
      </c>
      <c r="I242">
        <v>55</v>
      </c>
      <c r="J242">
        <v>6</v>
      </c>
      <c r="K242">
        <v>84</v>
      </c>
      <c r="L242">
        <v>58</v>
      </c>
      <c r="M242">
        <v>28</v>
      </c>
      <c r="N242">
        <v>1995</v>
      </c>
      <c r="O242">
        <v>0.27</v>
      </c>
      <c r="P242">
        <v>2.4700000000000002</v>
      </c>
      <c r="Q242">
        <v>1.4999999999999999E-2</v>
      </c>
      <c r="R242">
        <v>60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>
      <c r="A243">
        <v>395.06286139514168</v>
      </c>
      <c r="B243">
        <v>44.744</v>
      </c>
      <c r="C243">
        <v>6.1805829379715549</v>
      </c>
      <c r="D243">
        <v>495.72</v>
      </c>
      <c r="E243">
        <v>647.80680497925312</v>
      </c>
      <c r="F243">
        <v>378.54</v>
      </c>
      <c r="G243">
        <v>75.776399999999995</v>
      </c>
      <c r="H243">
        <v>117</v>
      </c>
      <c r="I243">
        <v>63</v>
      </c>
      <c r="J243">
        <v>4</v>
      </c>
      <c r="K243">
        <v>40</v>
      </c>
      <c r="L243">
        <v>55</v>
      </c>
      <c r="M243">
        <v>6</v>
      </c>
      <c r="N243">
        <v>1995</v>
      </c>
      <c r="O243">
        <v>0.27</v>
      </c>
      <c r="P243">
        <v>2.4700000000000002</v>
      </c>
      <c r="Q243">
        <v>1.4999999999999999E-2</v>
      </c>
      <c r="R243">
        <v>60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>
      <c r="A244">
        <v>370.38177758264732</v>
      </c>
      <c r="B244">
        <v>42</v>
      </c>
      <c r="C244">
        <v>6.1730296263774536</v>
      </c>
      <c r="D244">
        <v>591.81600000000003</v>
      </c>
      <c r="E244">
        <v>687.55534374280398</v>
      </c>
      <c r="F244">
        <v>180.99359999999999</v>
      </c>
      <c r="G244">
        <v>71.822399999999988</v>
      </c>
      <c r="H244">
        <v>6</v>
      </c>
      <c r="I244">
        <v>55</v>
      </c>
      <c r="J244">
        <v>6</v>
      </c>
      <c r="K244">
        <v>323</v>
      </c>
      <c r="L244">
        <v>57</v>
      </c>
      <c r="M244">
        <v>28</v>
      </c>
      <c r="N244">
        <v>1995</v>
      </c>
      <c r="O244">
        <v>0.27</v>
      </c>
      <c r="P244">
        <v>2.4700000000000002</v>
      </c>
      <c r="Q244">
        <v>1.4999999999999999E-2</v>
      </c>
      <c r="R244">
        <v>60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>
      <c r="A245">
        <v>390.74887962311573</v>
      </c>
      <c r="B245">
        <v>44.744</v>
      </c>
      <c r="C245">
        <v>6.1130926098735268</v>
      </c>
      <c r="D245">
        <v>437.98200000000003</v>
      </c>
      <c r="E245">
        <v>691.6340427797486</v>
      </c>
      <c r="F245">
        <v>373.83</v>
      </c>
      <c r="G245">
        <v>75.856320000000011</v>
      </c>
      <c r="H245">
        <v>118</v>
      </c>
      <c r="I245">
        <v>60</v>
      </c>
      <c r="J245">
        <v>5</v>
      </c>
      <c r="K245">
        <v>40</v>
      </c>
      <c r="L245">
        <v>54</v>
      </c>
      <c r="M245">
        <v>6</v>
      </c>
      <c r="N245">
        <v>1995</v>
      </c>
      <c r="O245">
        <v>0.27</v>
      </c>
      <c r="P245">
        <v>2.4700000000000002</v>
      </c>
      <c r="Q245">
        <v>1.4999999999999999E-2</v>
      </c>
      <c r="R245">
        <v>60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>
      <c r="A246">
        <v>390.55485443860101</v>
      </c>
      <c r="B246">
        <v>44.744</v>
      </c>
      <c r="C246">
        <v>6.1100571720682266</v>
      </c>
      <c r="D246">
        <v>490.762</v>
      </c>
      <c r="E246">
        <v>686.20551835138872</v>
      </c>
      <c r="F246">
        <v>373.685</v>
      </c>
      <c r="G246">
        <v>75.706320000000005</v>
      </c>
      <c r="H246">
        <v>47</v>
      </c>
      <c r="I246">
        <v>60</v>
      </c>
      <c r="J246">
        <v>5</v>
      </c>
      <c r="K246">
        <v>40</v>
      </c>
      <c r="L246">
        <v>54</v>
      </c>
      <c r="M246">
        <v>6</v>
      </c>
      <c r="N246">
        <v>1995</v>
      </c>
      <c r="O246">
        <v>0.27</v>
      </c>
      <c r="P246">
        <v>2.4700000000000002</v>
      </c>
      <c r="Q246">
        <v>1.4999999999999999E-2</v>
      </c>
      <c r="R246">
        <v>60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>
      <c r="A247">
        <v>329.31182103819668</v>
      </c>
      <c r="B247">
        <v>37.744</v>
      </c>
      <c r="C247">
        <v>6.1074150786015711</v>
      </c>
      <c r="D247">
        <v>836.2331999999999</v>
      </c>
      <c r="E247">
        <v>679.49614176516275</v>
      </c>
      <c r="F247">
        <v>668.59848</v>
      </c>
      <c r="G247">
        <v>63.71772</v>
      </c>
      <c r="H247">
        <v>40</v>
      </c>
      <c r="I247">
        <v>59</v>
      </c>
      <c r="J247">
        <v>11</v>
      </c>
      <c r="K247">
        <v>319</v>
      </c>
      <c r="L247">
        <v>61</v>
      </c>
      <c r="M247">
        <v>22</v>
      </c>
      <c r="N247">
        <v>1995</v>
      </c>
      <c r="O247">
        <v>0.27</v>
      </c>
      <c r="P247">
        <v>2.4700000000000002</v>
      </c>
      <c r="Q247">
        <v>1.4999999999999999E-2</v>
      </c>
      <c r="R247">
        <v>60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>
      <c r="A248">
        <v>427.23385253527317</v>
      </c>
      <c r="B248">
        <v>49</v>
      </c>
      <c r="C248">
        <v>6.1033407505039019</v>
      </c>
      <c r="D248">
        <v>391.43700000000001</v>
      </c>
      <c r="E248">
        <v>690.97271699243561</v>
      </c>
      <c r="F248">
        <v>207.04140000000001</v>
      </c>
      <c r="G248">
        <v>82.924200000000013</v>
      </c>
      <c r="H248">
        <v>52</v>
      </c>
      <c r="I248">
        <v>54</v>
      </c>
      <c r="J248">
        <v>13</v>
      </c>
      <c r="K248">
        <v>127</v>
      </c>
      <c r="L248">
        <v>56</v>
      </c>
      <c r="M248">
        <v>23</v>
      </c>
      <c r="N248">
        <v>1995</v>
      </c>
      <c r="O248">
        <v>0.27</v>
      </c>
      <c r="P248">
        <v>2.4700000000000002</v>
      </c>
      <c r="Q248">
        <v>1.4999999999999999E-2</v>
      </c>
      <c r="R248">
        <v>60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>
      <c r="A249">
        <v>388.92793022965958</v>
      </c>
      <c r="B249">
        <v>44.744</v>
      </c>
      <c r="C249">
        <v>6.0846046656705193</v>
      </c>
      <c r="D249">
        <v>485.83199999999999</v>
      </c>
      <c r="E249">
        <v>641.85892116182572</v>
      </c>
      <c r="F249">
        <v>369.63600000000002</v>
      </c>
      <c r="G249">
        <v>74.477100000000007</v>
      </c>
      <c r="H249">
        <v>177</v>
      </c>
      <c r="I249">
        <v>57</v>
      </c>
      <c r="J249">
        <v>5</v>
      </c>
      <c r="K249">
        <v>40</v>
      </c>
      <c r="L249">
        <v>64</v>
      </c>
      <c r="M249">
        <v>5</v>
      </c>
      <c r="N249">
        <v>1995</v>
      </c>
      <c r="O249">
        <v>0.27</v>
      </c>
      <c r="P249">
        <v>2.4700000000000002</v>
      </c>
      <c r="Q249">
        <v>1.4999999999999999E-2</v>
      </c>
      <c r="R249">
        <v>60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>
      <c r="A250">
        <v>425.78682839482138</v>
      </c>
      <c r="B250">
        <v>49.000000000000007</v>
      </c>
      <c r="C250">
        <v>6.0826689770688764</v>
      </c>
      <c r="D250">
        <v>507.81060000000002</v>
      </c>
      <c r="E250">
        <v>663.09773686057156</v>
      </c>
      <c r="F250">
        <v>183.98772</v>
      </c>
      <c r="G250">
        <v>82.014480000000006</v>
      </c>
      <c r="H250">
        <v>112</v>
      </c>
      <c r="I250">
        <v>58</v>
      </c>
      <c r="J250">
        <v>6</v>
      </c>
      <c r="K250">
        <v>235</v>
      </c>
      <c r="L250">
        <v>53</v>
      </c>
      <c r="M250">
        <v>4</v>
      </c>
      <c r="N250">
        <v>1995</v>
      </c>
      <c r="O250">
        <v>0.27</v>
      </c>
      <c r="P250">
        <v>2.4700000000000002</v>
      </c>
      <c r="Q250">
        <v>1.4999999999999999E-2</v>
      </c>
      <c r="R250">
        <v>60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>
      <c r="A251">
        <v>376.11444370726178</v>
      </c>
      <c r="B251">
        <v>43.400000000000013</v>
      </c>
      <c r="C251">
        <v>6.0663619952784158</v>
      </c>
      <c r="D251">
        <v>536.53919999999994</v>
      </c>
      <c r="E251">
        <v>690.74846202347737</v>
      </c>
      <c r="F251">
        <v>181.1952</v>
      </c>
      <c r="G251">
        <v>72.997679999999988</v>
      </c>
      <c r="H251">
        <v>6</v>
      </c>
      <c r="I251">
        <v>56</v>
      </c>
      <c r="J251">
        <v>6</v>
      </c>
      <c r="K251">
        <v>126</v>
      </c>
      <c r="L251">
        <v>57</v>
      </c>
      <c r="M251">
        <v>27</v>
      </c>
      <c r="N251">
        <v>1995</v>
      </c>
      <c r="O251">
        <v>0.27</v>
      </c>
      <c r="P251">
        <v>2.4700000000000002</v>
      </c>
      <c r="Q251">
        <v>1.4999999999999999E-2</v>
      </c>
      <c r="R251">
        <v>60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>
      <c r="A252">
        <v>422.2234484988428</v>
      </c>
      <c r="B252">
        <v>49</v>
      </c>
      <c r="C252">
        <v>6.0317635499834683</v>
      </c>
      <c r="D252">
        <v>562.59839999999997</v>
      </c>
      <c r="E252">
        <v>689.41255101733191</v>
      </c>
      <c r="F252">
        <v>204.01920000000001</v>
      </c>
      <c r="G252">
        <v>81.916800000000009</v>
      </c>
      <c r="H252">
        <v>8</v>
      </c>
      <c r="I252">
        <v>56</v>
      </c>
      <c r="J252">
        <v>5</v>
      </c>
      <c r="K252">
        <v>127</v>
      </c>
      <c r="L252">
        <v>56</v>
      </c>
      <c r="M252">
        <v>23</v>
      </c>
      <c r="N252">
        <v>1995</v>
      </c>
      <c r="O252">
        <v>0.27</v>
      </c>
      <c r="P252">
        <v>2.4700000000000002</v>
      </c>
      <c r="Q252">
        <v>1.4999999999999999E-2</v>
      </c>
      <c r="R252">
        <v>60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>
      <c r="A253">
        <v>382.89041046950302</v>
      </c>
      <c r="B253">
        <v>44.744000000000007</v>
      </c>
      <c r="C253">
        <v>5.9901503515253909</v>
      </c>
      <c r="D253">
        <v>491.60879999999997</v>
      </c>
      <c r="E253">
        <v>690.35093700577249</v>
      </c>
      <c r="F253">
        <v>374.10840000000002</v>
      </c>
      <c r="G253">
        <v>74.304720000000003</v>
      </c>
      <c r="H253">
        <v>179</v>
      </c>
      <c r="I253">
        <v>58</v>
      </c>
      <c r="J253">
        <v>6</v>
      </c>
      <c r="K253">
        <v>40</v>
      </c>
      <c r="L253">
        <v>54</v>
      </c>
      <c r="M253">
        <v>6</v>
      </c>
      <c r="N253">
        <v>1995</v>
      </c>
      <c r="O253">
        <v>0.27</v>
      </c>
      <c r="P253">
        <v>2.4700000000000002</v>
      </c>
      <c r="Q253">
        <v>1.4999999999999999E-2</v>
      </c>
      <c r="R253">
        <v>60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>
      <c r="A254">
        <v>382.65729081488888</v>
      </c>
      <c r="B254">
        <v>44.744</v>
      </c>
      <c r="C254">
        <v>5.9865032981052719</v>
      </c>
      <c r="D254">
        <v>497.22359999999998</v>
      </c>
      <c r="E254">
        <v>690.35684647302901</v>
      </c>
      <c r="F254">
        <v>379.29180000000002</v>
      </c>
      <c r="G254">
        <v>74.259600000000006</v>
      </c>
      <c r="H254">
        <v>86</v>
      </c>
      <c r="I254">
        <v>46</v>
      </c>
      <c r="J254">
        <v>3</v>
      </c>
      <c r="K254">
        <v>40</v>
      </c>
      <c r="L254">
        <v>67</v>
      </c>
      <c r="M254">
        <v>5</v>
      </c>
      <c r="N254">
        <v>1995</v>
      </c>
      <c r="O254">
        <v>0.27</v>
      </c>
      <c r="P254">
        <v>2.4700000000000002</v>
      </c>
      <c r="Q254">
        <v>1.4999999999999999E-2</v>
      </c>
      <c r="R254">
        <v>60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>
      <c r="A255">
        <v>382.64747810300832</v>
      </c>
      <c r="B255">
        <v>44.744</v>
      </c>
      <c r="C255">
        <v>5.9863497825877383</v>
      </c>
      <c r="D255">
        <v>536.84640000000002</v>
      </c>
      <c r="E255">
        <v>672.39834024896277</v>
      </c>
      <c r="F255">
        <v>369.02879999999999</v>
      </c>
      <c r="G255">
        <v>73.893600000000006</v>
      </c>
      <c r="H255">
        <v>75</v>
      </c>
      <c r="I255">
        <v>55</v>
      </c>
      <c r="J255">
        <v>4</v>
      </c>
      <c r="K255">
        <v>40</v>
      </c>
      <c r="L255">
        <v>64</v>
      </c>
      <c r="M255">
        <v>5</v>
      </c>
      <c r="N255">
        <v>1995</v>
      </c>
      <c r="O255">
        <v>0.27</v>
      </c>
      <c r="P255">
        <v>2.4700000000000002</v>
      </c>
      <c r="Q255">
        <v>1.4999999999999999E-2</v>
      </c>
      <c r="R255">
        <v>60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>
      <c r="A256">
        <v>382.27321125288512</v>
      </c>
      <c r="B256">
        <v>44.744</v>
      </c>
      <c r="C256">
        <v>5.9804945440063371</v>
      </c>
      <c r="D256">
        <v>550.98489599999994</v>
      </c>
      <c r="E256">
        <v>685.18838174273856</v>
      </c>
      <c r="F256">
        <v>370.18277999999998</v>
      </c>
      <c r="G256">
        <v>74.080380000000005</v>
      </c>
      <c r="H256">
        <v>175</v>
      </c>
      <c r="I256">
        <v>57</v>
      </c>
      <c r="J256">
        <v>6</v>
      </c>
      <c r="K256">
        <v>40</v>
      </c>
      <c r="L256">
        <v>64</v>
      </c>
      <c r="M256">
        <v>5</v>
      </c>
      <c r="N256">
        <v>1995</v>
      </c>
      <c r="O256">
        <v>0.27</v>
      </c>
      <c r="P256">
        <v>2.4700000000000002</v>
      </c>
      <c r="Q256">
        <v>1.4999999999999999E-2</v>
      </c>
      <c r="R256">
        <v>60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>
      <c r="A257">
        <v>381.10574611854378</v>
      </c>
      <c r="B257">
        <v>44.744</v>
      </c>
      <c r="C257">
        <v>5.9622300706906106</v>
      </c>
      <c r="D257">
        <v>490.762</v>
      </c>
      <c r="E257">
        <v>686.5345198318953</v>
      </c>
      <c r="F257">
        <v>373.685</v>
      </c>
      <c r="G257">
        <v>73.881320000000002</v>
      </c>
      <c r="H257">
        <v>180</v>
      </c>
      <c r="I257">
        <v>58</v>
      </c>
      <c r="J257">
        <v>5</v>
      </c>
      <c r="K257">
        <v>40</v>
      </c>
      <c r="L257">
        <v>54</v>
      </c>
      <c r="M257">
        <v>6</v>
      </c>
      <c r="N257">
        <v>1995</v>
      </c>
      <c r="O257">
        <v>0.27</v>
      </c>
      <c r="P257">
        <v>2.4700000000000002</v>
      </c>
      <c r="Q257">
        <v>1.4999999999999999E-2</v>
      </c>
      <c r="R257">
        <v>60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>
      <c r="A258">
        <v>380.71105156041068</v>
      </c>
      <c r="B258">
        <v>44.744</v>
      </c>
      <c r="C258">
        <v>5.9560552496935344</v>
      </c>
      <c r="D258">
        <v>437.48099999999999</v>
      </c>
      <c r="E258">
        <v>691.9180909177162</v>
      </c>
      <c r="F258">
        <v>373.32900000000001</v>
      </c>
      <c r="G258">
        <v>73.91340000000001</v>
      </c>
      <c r="H258">
        <v>123</v>
      </c>
      <c r="I258">
        <v>59</v>
      </c>
      <c r="J258">
        <v>5</v>
      </c>
      <c r="K258">
        <v>40</v>
      </c>
      <c r="L258">
        <v>55</v>
      </c>
      <c r="M258">
        <v>6</v>
      </c>
      <c r="N258">
        <v>1995</v>
      </c>
      <c r="O258">
        <v>0.27</v>
      </c>
      <c r="P258">
        <v>2.4700000000000002</v>
      </c>
      <c r="Q258">
        <v>1.4999999999999999E-2</v>
      </c>
      <c r="R258">
        <v>60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>
      <c r="A259">
        <v>416.18329607471452</v>
      </c>
      <c r="B259">
        <v>49</v>
      </c>
      <c r="C259">
        <v>5.9454756582102082</v>
      </c>
      <c r="D259">
        <v>530.72699999999998</v>
      </c>
      <c r="E259">
        <v>690.50399319063331</v>
      </c>
      <c r="F259">
        <v>200.75399999999999</v>
      </c>
      <c r="G259">
        <v>80.769000000000005</v>
      </c>
      <c r="H259">
        <v>8</v>
      </c>
      <c r="I259">
        <v>55</v>
      </c>
      <c r="J259">
        <v>5</v>
      </c>
      <c r="K259">
        <v>319</v>
      </c>
      <c r="L259">
        <v>57</v>
      </c>
      <c r="M259">
        <v>25</v>
      </c>
      <c r="N259">
        <v>1995</v>
      </c>
      <c r="O259">
        <v>0.27</v>
      </c>
      <c r="P259">
        <v>2.4700000000000002</v>
      </c>
      <c r="Q259">
        <v>1.4999999999999999E-2</v>
      </c>
      <c r="R259">
        <v>60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>
      <c r="A260">
        <v>415.30606186664022</v>
      </c>
      <c r="B260">
        <v>49</v>
      </c>
      <c r="C260">
        <v>5.9329437409520027</v>
      </c>
      <c r="D260">
        <v>1080.7581</v>
      </c>
      <c r="E260">
        <v>681.9733246783735</v>
      </c>
      <c r="F260">
        <v>155.80578</v>
      </c>
      <c r="G260">
        <v>80.411040000000014</v>
      </c>
      <c r="H260">
        <v>142</v>
      </c>
      <c r="I260">
        <v>66</v>
      </c>
      <c r="J260">
        <v>44</v>
      </c>
      <c r="K260">
        <v>84</v>
      </c>
      <c r="L260">
        <v>46</v>
      </c>
      <c r="M260">
        <v>15</v>
      </c>
      <c r="N260">
        <v>1995</v>
      </c>
      <c r="O260">
        <v>0.27</v>
      </c>
      <c r="P260">
        <v>2.4700000000000002</v>
      </c>
      <c r="Q260">
        <v>1.4999999999999999E-2</v>
      </c>
      <c r="R260">
        <v>60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>
      <c r="A261">
        <v>355.4769521063136</v>
      </c>
      <c r="B261">
        <v>42.000000000000007</v>
      </c>
      <c r="C261">
        <v>5.9246158684385586</v>
      </c>
      <c r="D261">
        <v>568.35</v>
      </c>
      <c r="E261">
        <v>685.48798001833188</v>
      </c>
      <c r="F261">
        <v>172.27080000000001</v>
      </c>
      <c r="G261">
        <v>68.893200000000007</v>
      </c>
      <c r="H261">
        <v>7</v>
      </c>
      <c r="I261">
        <v>54</v>
      </c>
      <c r="J261">
        <v>5</v>
      </c>
      <c r="K261">
        <v>323</v>
      </c>
      <c r="L261">
        <v>59</v>
      </c>
      <c r="M261">
        <v>27</v>
      </c>
      <c r="N261">
        <v>1995</v>
      </c>
      <c r="O261">
        <v>0.27</v>
      </c>
      <c r="P261">
        <v>2.4700000000000002</v>
      </c>
      <c r="Q261">
        <v>1.4999999999999999E-2</v>
      </c>
      <c r="R261">
        <v>60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>
      <c r="A262">
        <v>413.87538068141248</v>
      </c>
      <c r="B262">
        <v>49</v>
      </c>
      <c r="C262">
        <v>5.9125054383058941</v>
      </c>
      <c r="D262">
        <v>1140.7266</v>
      </c>
      <c r="E262">
        <v>680.35019900207112</v>
      </c>
      <c r="F262">
        <v>155.33688000000001</v>
      </c>
      <c r="G262">
        <v>80.098439999999997</v>
      </c>
      <c r="H262">
        <v>142</v>
      </c>
      <c r="I262">
        <v>66</v>
      </c>
      <c r="J262">
        <v>44</v>
      </c>
      <c r="K262">
        <v>323</v>
      </c>
      <c r="L262">
        <v>45</v>
      </c>
      <c r="M262">
        <v>15</v>
      </c>
      <c r="N262">
        <v>1995</v>
      </c>
      <c r="O262">
        <v>0.27</v>
      </c>
      <c r="P262">
        <v>2.4700000000000002</v>
      </c>
      <c r="Q262">
        <v>1.4999999999999999E-2</v>
      </c>
      <c r="R262">
        <v>60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>
      <c r="A263">
        <v>472.69434554161722</v>
      </c>
      <c r="B263">
        <v>56</v>
      </c>
      <c r="C263">
        <v>5.9086793192702149</v>
      </c>
      <c r="D263">
        <v>501.30239999999998</v>
      </c>
      <c r="E263">
        <v>688.7575143246213</v>
      </c>
      <c r="F263">
        <v>164.00960000000001</v>
      </c>
      <c r="G263">
        <v>91.692399999999992</v>
      </c>
      <c r="H263">
        <v>39</v>
      </c>
      <c r="I263">
        <v>53</v>
      </c>
      <c r="J263">
        <v>11</v>
      </c>
      <c r="K263">
        <v>127</v>
      </c>
      <c r="L263">
        <v>57</v>
      </c>
      <c r="M263">
        <v>23</v>
      </c>
      <c r="N263">
        <v>1995</v>
      </c>
      <c r="O263">
        <v>0.27</v>
      </c>
      <c r="P263">
        <v>2.4700000000000002</v>
      </c>
      <c r="Q263">
        <v>1.4999999999999999E-2</v>
      </c>
      <c r="R263">
        <v>60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>
      <c r="A264">
        <v>377.4135648939386</v>
      </c>
      <c r="B264">
        <v>44.744</v>
      </c>
      <c r="C264">
        <v>5.9044675358876502</v>
      </c>
      <c r="D264">
        <v>485.28</v>
      </c>
      <c r="E264">
        <v>691.13760930596391</v>
      </c>
      <c r="F264">
        <v>369.36</v>
      </c>
      <c r="G264">
        <v>73.257600000000011</v>
      </c>
      <c r="H264">
        <v>182</v>
      </c>
      <c r="I264">
        <v>50</v>
      </c>
      <c r="J264">
        <v>4</v>
      </c>
      <c r="K264">
        <v>40</v>
      </c>
      <c r="L264">
        <v>64</v>
      </c>
      <c r="M264">
        <v>5</v>
      </c>
      <c r="N264">
        <v>1995</v>
      </c>
      <c r="O264">
        <v>0.27</v>
      </c>
      <c r="P264">
        <v>2.4700000000000002</v>
      </c>
      <c r="Q264">
        <v>1.4999999999999999E-2</v>
      </c>
      <c r="R264">
        <v>60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>
      <c r="A265">
        <v>410.48065564206598</v>
      </c>
      <c r="B265">
        <v>49</v>
      </c>
      <c r="C265">
        <v>5.8640093663152308</v>
      </c>
      <c r="D265">
        <v>374.88600000000002</v>
      </c>
      <c r="E265">
        <v>688.28392031193766</v>
      </c>
      <c r="F265">
        <v>197.11080000000001</v>
      </c>
      <c r="G265">
        <v>79.614000000000004</v>
      </c>
      <c r="H265">
        <v>53</v>
      </c>
      <c r="I265">
        <v>57</v>
      </c>
      <c r="J265">
        <v>12</v>
      </c>
      <c r="K265">
        <v>127</v>
      </c>
      <c r="L265">
        <v>56</v>
      </c>
      <c r="M265">
        <v>23</v>
      </c>
      <c r="N265">
        <v>1995</v>
      </c>
      <c r="O265">
        <v>0.27</v>
      </c>
      <c r="P265">
        <v>2.4700000000000002</v>
      </c>
      <c r="Q265">
        <v>1.4999999999999999E-2</v>
      </c>
      <c r="R265">
        <v>60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>
      <c r="A266">
        <v>447.27702960809182</v>
      </c>
      <c r="B266">
        <v>53.666666666666657</v>
      </c>
      <c r="C266">
        <v>5.8340482122794581</v>
      </c>
      <c r="D266">
        <v>418.58100000000002</v>
      </c>
      <c r="E266">
        <v>690.44559916781805</v>
      </c>
      <c r="F266">
        <v>238.96080000000001</v>
      </c>
      <c r="G266">
        <v>86.802000000000007</v>
      </c>
      <c r="H266">
        <v>164</v>
      </c>
      <c r="I266">
        <v>55</v>
      </c>
      <c r="J266">
        <v>6</v>
      </c>
      <c r="K266">
        <v>148</v>
      </c>
      <c r="L266">
        <v>58</v>
      </c>
      <c r="M266">
        <v>30</v>
      </c>
      <c r="N266">
        <v>1995</v>
      </c>
      <c r="O266">
        <v>0.27</v>
      </c>
      <c r="P266">
        <v>2.4700000000000002</v>
      </c>
      <c r="Q266">
        <v>1.4999999999999999E-2</v>
      </c>
      <c r="R266">
        <v>60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>
      <c r="A267">
        <v>361.21186969270423</v>
      </c>
      <c r="B267">
        <v>43.400000000000013</v>
      </c>
      <c r="C267">
        <v>5.8259978982694234</v>
      </c>
      <c r="D267">
        <v>518.49040000000014</v>
      </c>
      <c r="E267">
        <v>689.14680227244003</v>
      </c>
      <c r="F267">
        <v>173.6574</v>
      </c>
      <c r="G267">
        <v>70.074680000000001</v>
      </c>
      <c r="H267">
        <v>7</v>
      </c>
      <c r="I267">
        <v>55</v>
      </c>
      <c r="J267">
        <v>5</v>
      </c>
      <c r="K267">
        <v>126</v>
      </c>
      <c r="L267">
        <v>57</v>
      </c>
      <c r="M267">
        <v>27</v>
      </c>
      <c r="N267">
        <v>1995</v>
      </c>
      <c r="O267">
        <v>0.27</v>
      </c>
      <c r="P267">
        <v>2.4700000000000002</v>
      </c>
      <c r="Q267">
        <v>1.4999999999999999E-2</v>
      </c>
      <c r="R267">
        <v>60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>
      <c r="A268">
        <v>372.11339543165337</v>
      </c>
      <c r="B268">
        <v>44.744</v>
      </c>
      <c r="C268">
        <v>5.8215487395440144</v>
      </c>
      <c r="D268">
        <v>429.76799999999997</v>
      </c>
      <c r="E268">
        <v>688.54002844077945</v>
      </c>
      <c r="F268">
        <v>366.40800000000002</v>
      </c>
      <c r="G268">
        <v>72.177600000000012</v>
      </c>
      <c r="H268">
        <v>231</v>
      </c>
      <c r="I268">
        <v>55</v>
      </c>
      <c r="J268">
        <v>5</v>
      </c>
      <c r="K268">
        <v>40</v>
      </c>
      <c r="L268">
        <v>64</v>
      </c>
      <c r="M268">
        <v>5</v>
      </c>
      <c r="N268">
        <v>1995</v>
      </c>
      <c r="O268">
        <v>0.27</v>
      </c>
      <c r="P268">
        <v>2.4700000000000002</v>
      </c>
      <c r="Q268">
        <v>1.4999999999999999E-2</v>
      </c>
      <c r="R268">
        <v>60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>
      <c r="A269">
        <v>465.41938869736981</v>
      </c>
      <c r="B269">
        <v>56</v>
      </c>
      <c r="C269">
        <v>5.8177423587171218</v>
      </c>
      <c r="D269">
        <v>468.89760000000001</v>
      </c>
      <c r="E269">
        <v>689.50297858474744</v>
      </c>
      <c r="F269">
        <v>160.83519999999999</v>
      </c>
      <c r="G269">
        <v>90.299599999999998</v>
      </c>
      <c r="H269">
        <v>39</v>
      </c>
      <c r="I269">
        <v>52</v>
      </c>
      <c r="J269">
        <v>11</v>
      </c>
      <c r="K269">
        <v>319</v>
      </c>
      <c r="L269">
        <v>58</v>
      </c>
      <c r="M269">
        <v>25</v>
      </c>
      <c r="N269">
        <v>1995</v>
      </c>
      <c r="O269">
        <v>0.27</v>
      </c>
      <c r="P269">
        <v>2.4700000000000002</v>
      </c>
      <c r="Q269">
        <v>1.4999999999999999E-2</v>
      </c>
      <c r="R269">
        <v>60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>
      <c r="A270">
        <v>418.75865891976753</v>
      </c>
      <c r="B270">
        <v>50.4</v>
      </c>
      <c r="C270">
        <v>5.8160924849967719</v>
      </c>
      <c r="D270">
        <v>377.04849999999999</v>
      </c>
      <c r="E270">
        <v>687.57881989366467</v>
      </c>
      <c r="F270">
        <v>313.19389999999999</v>
      </c>
      <c r="G270">
        <v>81.20389999999999</v>
      </c>
      <c r="H270">
        <v>163</v>
      </c>
      <c r="I270">
        <v>57</v>
      </c>
      <c r="J270">
        <v>11</v>
      </c>
      <c r="K270">
        <v>148</v>
      </c>
      <c r="L270">
        <v>56</v>
      </c>
      <c r="M270">
        <v>28</v>
      </c>
      <c r="N270">
        <v>1995</v>
      </c>
      <c r="O270">
        <v>0.27</v>
      </c>
      <c r="P270">
        <v>2.4700000000000002</v>
      </c>
      <c r="Q270">
        <v>1.4999999999999999E-2</v>
      </c>
      <c r="R270">
        <v>60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>
      <c r="A271">
        <v>377.8158805628201</v>
      </c>
      <c r="B271">
        <v>45.500000000000007</v>
      </c>
      <c r="C271">
        <v>5.8125520086587699</v>
      </c>
      <c r="D271">
        <v>531.83100000000002</v>
      </c>
      <c r="E271">
        <v>689.54450494506511</v>
      </c>
      <c r="F271">
        <v>178.58340000000001</v>
      </c>
      <c r="G271">
        <v>73.303800000000024</v>
      </c>
      <c r="H271">
        <v>52</v>
      </c>
      <c r="I271">
        <v>57</v>
      </c>
      <c r="J271">
        <v>10</v>
      </c>
      <c r="K271">
        <v>153</v>
      </c>
      <c r="L271">
        <v>56</v>
      </c>
      <c r="M271">
        <v>41</v>
      </c>
      <c r="N271">
        <v>1995</v>
      </c>
      <c r="O271">
        <v>0.27</v>
      </c>
      <c r="P271">
        <v>2.4700000000000002</v>
      </c>
      <c r="Q271">
        <v>1.4999999999999999E-2</v>
      </c>
      <c r="R271">
        <v>60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>
      <c r="A272">
        <v>371.36224942199681</v>
      </c>
      <c r="B272">
        <v>44.744</v>
      </c>
      <c r="C272">
        <v>5.8097973939611514</v>
      </c>
      <c r="D272">
        <v>557.37</v>
      </c>
      <c r="E272">
        <v>686.79668049792531</v>
      </c>
      <c r="F272">
        <v>366.3</v>
      </c>
      <c r="G272">
        <v>71.997600000000006</v>
      </c>
      <c r="H272">
        <v>128</v>
      </c>
      <c r="I272">
        <v>57</v>
      </c>
      <c r="J272">
        <v>5</v>
      </c>
      <c r="K272">
        <v>40</v>
      </c>
      <c r="L272">
        <v>64</v>
      </c>
      <c r="M272">
        <v>5</v>
      </c>
      <c r="N272">
        <v>1995</v>
      </c>
      <c r="O272">
        <v>0.27</v>
      </c>
      <c r="P272">
        <v>2.4700000000000002</v>
      </c>
      <c r="Q272">
        <v>1.4999999999999999E-2</v>
      </c>
      <c r="R272">
        <v>60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>
      <c r="A273">
        <v>416.38658358388062</v>
      </c>
      <c r="B273">
        <v>50.400000000000013</v>
      </c>
      <c r="C273">
        <v>5.7831469942205631</v>
      </c>
      <c r="D273">
        <v>1118.8566000000001</v>
      </c>
      <c r="E273">
        <v>680.35019900207112</v>
      </c>
      <c r="F273">
        <v>155.33688000000001</v>
      </c>
      <c r="G273">
        <v>80.584440000000001</v>
      </c>
      <c r="H273">
        <v>142</v>
      </c>
      <c r="I273">
        <v>66</v>
      </c>
      <c r="J273">
        <v>44</v>
      </c>
      <c r="K273">
        <v>126</v>
      </c>
      <c r="L273">
        <v>45</v>
      </c>
      <c r="M273">
        <v>15</v>
      </c>
      <c r="N273">
        <v>1995</v>
      </c>
      <c r="O273">
        <v>0.27</v>
      </c>
      <c r="P273">
        <v>2.4700000000000002</v>
      </c>
      <c r="Q273">
        <v>1.4999999999999999E-2</v>
      </c>
      <c r="R273">
        <v>60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>
      <c r="A274">
        <v>366.98277826255412</v>
      </c>
      <c r="B274">
        <v>44.744</v>
      </c>
      <c r="C274">
        <v>5.7412825134942747</v>
      </c>
      <c r="D274">
        <v>531.18719999999996</v>
      </c>
      <c r="E274">
        <v>681.21493775933607</v>
      </c>
      <c r="F274">
        <v>367.14240000000001</v>
      </c>
      <c r="G274">
        <v>71.040000000000006</v>
      </c>
      <c r="H274">
        <v>176</v>
      </c>
      <c r="I274">
        <v>57</v>
      </c>
      <c r="J274">
        <v>8</v>
      </c>
      <c r="K274">
        <v>40</v>
      </c>
      <c r="L274">
        <v>64</v>
      </c>
      <c r="M274">
        <v>5</v>
      </c>
      <c r="N274">
        <v>1995</v>
      </c>
      <c r="O274">
        <v>0.27</v>
      </c>
      <c r="P274">
        <v>2.4700000000000002</v>
      </c>
      <c r="Q274">
        <v>1.4999999999999999E-2</v>
      </c>
      <c r="R274">
        <v>60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>
      <c r="A275">
        <v>343.92407183549761</v>
      </c>
      <c r="B275">
        <v>42</v>
      </c>
      <c r="C275">
        <v>5.7320678639249607</v>
      </c>
      <c r="D275">
        <v>422.35296</v>
      </c>
      <c r="E275">
        <v>686.30705394190875</v>
      </c>
      <c r="F275">
        <v>166.70735999999999</v>
      </c>
      <c r="G275">
        <v>66.669119999999992</v>
      </c>
      <c r="H275">
        <v>8</v>
      </c>
      <c r="I275">
        <v>53</v>
      </c>
      <c r="J275">
        <v>4</v>
      </c>
      <c r="K275">
        <v>69</v>
      </c>
      <c r="L275">
        <v>60</v>
      </c>
      <c r="M275">
        <v>20</v>
      </c>
      <c r="N275">
        <v>1995</v>
      </c>
      <c r="O275">
        <v>0.27</v>
      </c>
      <c r="P275">
        <v>2.4700000000000002</v>
      </c>
      <c r="Q275">
        <v>1.4999999999999999E-2</v>
      </c>
      <c r="R275">
        <v>60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>
      <c r="A276">
        <v>400.96534722873349</v>
      </c>
      <c r="B276">
        <v>49</v>
      </c>
      <c r="C276">
        <v>5.7280763889819077</v>
      </c>
      <c r="D276">
        <v>515.52</v>
      </c>
      <c r="E276">
        <v>690.70915294070858</v>
      </c>
      <c r="F276">
        <v>186.624</v>
      </c>
      <c r="G276">
        <v>77.819999999999993</v>
      </c>
      <c r="H276">
        <v>9</v>
      </c>
      <c r="I276">
        <v>50</v>
      </c>
      <c r="J276">
        <v>4</v>
      </c>
      <c r="K276">
        <v>127</v>
      </c>
      <c r="L276">
        <v>62</v>
      </c>
      <c r="M276">
        <v>20</v>
      </c>
      <c r="N276">
        <v>1995</v>
      </c>
      <c r="O276">
        <v>0.27</v>
      </c>
      <c r="P276">
        <v>2.4700000000000002</v>
      </c>
      <c r="Q276">
        <v>1.4999999999999999E-2</v>
      </c>
      <c r="R276">
        <v>60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>
      <c r="A277">
        <v>343.59760232411992</v>
      </c>
      <c r="B277">
        <v>42</v>
      </c>
      <c r="C277">
        <v>5.7266267054019986</v>
      </c>
      <c r="D277">
        <v>1071.336</v>
      </c>
      <c r="E277">
        <v>680.18604913699494</v>
      </c>
      <c r="F277">
        <v>165.00960000000001</v>
      </c>
      <c r="G277">
        <v>66.494399999999999</v>
      </c>
      <c r="H277">
        <v>2</v>
      </c>
      <c r="I277">
        <v>56</v>
      </c>
      <c r="J277">
        <v>7</v>
      </c>
      <c r="K277">
        <v>323</v>
      </c>
      <c r="L277">
        <v>57</v>
      </c>
      <c r="M277">
        <v>28</v>
      </c>
      <c r="N277">
        <v>1995</v>
      </c>
      <c r="O277">
        <v>0.27</v>
      </c>
      <c r="P277">
        <v>2.4700000000000002</v>
      </c>
      <c r="Q277">
        <v>1.4999999999999999E-2</v>
      </c>
      <c r="R277">
        <v>60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>
      <c r="A278">
        <v>365.20609446635331</v>
      </c>
      <c r="B278">
        <v>44.744</v>
      </c>
      <c r="C278">
        <v>5.7134870848928871</v>
      </c>
      <c r="D278">
        <v>524.62800000000004</v>
      </c>
      <c r="E278">
        <v>683.95020746887974</v>
      </c>
      <c r="F278">
        <v>367.92599999999999</v>
      </c>
      <c r="G278">
        <v>70.748999999999995</v>
      </c>
      <c r="H278">
        <v>74</v>
      </c>
      <c r="I278">
        <v>56</v>
      </c>
      <c r="J278">
        <v>4</v>
      </c>
      <c r="K278">
        <v>40</v>
      </c>
      <c r="L278">
        <v>65</v>
      </c>
      <c r="M278">
        <v>5</v>
      </c>
      <c r="N278">
        <v>1995</v>
      </c>
      <c r="O278">
        <v>0.27</v>
      </c>
      <c r="P278">
        <v>2.4700000000000002</v>
      </c>
      <c r="Q278">
        <v>1.4999999999999999E-2</v>
      </c>
      <c r="R278">
        <v>60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>
      <c r="A279">
        <v>311.45490518928978</v>
      </c>
      <c r="B279">
        <v>38.5</v>
      </c>
      <c r="C279">
        <v>5.6628164579870877</v>
      </c>
      <c r="D279">
        <v>375.95699999999999</v>
      </c>
      <c r="E279">
        <v>690.21410788381752</v>
      </c>
      <c r="F279">
        <v>187.9785</v>
      </c>
      <c r="G279">
        <v>60.439500000000002</v>
      </c>
      <c r="H279">
        <v>22</v>
      </c>
      <c r="I279">
        <v>47</v>
      </c>
      <c r="J279">
        <v>3</v>
      </c>
      <c r="K279">
        <v>69</v>
      </c>
      <c r="L279">
        <v>64</v>
      </c>
      <c r="M279">
        <v>18</v>
      </c>
      <c r="N279">
        <v>1995</v>
      </c>
      <c r="O279">
        <v>0.27</v>
      </c>
      <c r="P279">
        <v>2.4700000000000002</v>
      </c>
      <c r="Q279">
        <v>1.4999999999999999E-2</v>
      </c>
      <c r="R279">
        <v>60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>
      <c r="A280">
        <v>361.03016870791498</v>
      </c>
      <c r="B280">
        <v>44.744</v>
      </c>
      <c r="C280">
        <v>5.6481565817884078</v>
      </c>
      <c r="D280">
        <v>492.72</v>
      </c>
      <c r="E280">
        <v>684.11618257261398</v>
      </c>
      <c r="F280">
        <v>381</v>
      </c>
      <c r="G280">
        <v>69.943200000000019</v>
      </c>
      <c r="H280">
        <v>5</v>
      </c>
      <c r="I280">
        <v>54</v>
      </c>
      <c r="J280">
        <v>1</v>
      </c>
      <c r="K280">
        <v>40</v>
      </c>
      <c r="L280">
        <v>68</v>
      </c>
      <c r="M280">
        <v>5</v>
      </c>
      <c r="N280">
        <v>1995</v>
      </c>
      <c r="O280">
        <v>0.27</v>
      </c>
      <c r="P280">
        <v>2.4700000000000002</v>
      </c>
      <c r="Q280">
        <v>1.4999999999999999E-2</v>
      </c>
      <c r="R280">
        <v>60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>
      <c r="A281">
        <v>394.2542653323016</v>
      </c>
      <c r="B281">
        <v>49</v>
      </c>
      <c r="C281">
        <v>5.6322037904614524</v>
      </c>
      <c r="D281">
        <v>492.53039999999999</v>
      </c>
      <c r="E281">
        <v>689.2393816920661</v>
      </c>
      <c r="F281">
        <v>186.35615999999999</v>
      </c>
      <c r="G281">
        <v>76.486800000000002</v>
      </c>
      <c r="H281">
        <v>9</v>
      </c>
      <c r="I281">
        <v>49</v>
      </c>
      <c r="J281">
        <v>4</v>
      </c>
      <c r="K281">
        <v>319</v>
      </c>
      <c r="L281">
        <v>62</v>
      </c>
      <c r="M281">
        <v>22</v>
      </c>
      <c r="N281">
        <v>1995</v>
      </c>
      <c r="O281">
        <v>0.27</v>
      </c>
      <c r="P281">
        <v>2.4700000000000002</v>
      </c>
      <c r="Q281">
        <v>1.4999999999999999E-2</v>
      </c>
      <c r="R281">
        <v>60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>
      <c r="A282">
        <v>365.05593439905169</v>
      </c>
      <c r="B282">
        <v>45.5</v>
      </c>
      <c r="C282">
        <v>5.6162451446007946</v>
      </c>
      <c r="D282">
        <v>511.09800000000001</v>
      </c>
      <c r="E282">
        <v>689.33168016759157</v>
      </c>
      <c r="F282">
        <v>170.6112</v>
      </c>
      <c r="G282">
        <v>70.823999999999998</v>
      </c>
      <c r="H282">
        <v>53</v>
      </c>
      <c r="I282">
        <v>56</v>
      </c>
      <c r="J282">
        <v>10</v>
      </c>
      <c r="K282">
        <v>153</v>
      </c>
      <c r="L282">
        <v>57</v>
      </c>
      <c r="M282">
        <v>40</v>
      </c>
      <c r="N282">
        <v>1995</v>
      </c>
      <c r="O282">
        <v>0.27</v>
      </c>
      <c r="P282">
        <v>2.4700000000000002</v>
      </c>
      <c r="Q282">
        <v>1.4999999999999999E-2</v>
      </c>
      <c r="R282">
        <v>60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>
      <c r="A283">
        <v>319.0585517743171</v>
      </c>
      <c r="B283">
        <v>39.900000000000013</v>
      </c>
      <c r="C283">
        <v>5.5975184521810011</v>
      </c>
      <c r="D283">
        <v>544.80119999999999</v>
      </c>
      <c r="E283">
        <v>690.07340876917624</v>
      </c>
      <c r="F283">
        <v>260.06324999999998</v>
      </c>
      <c r="G283">
        <v>61.912650000000014</v>
      </c>
      <c r="H283">
        <v>96</v>
      </c>
      <c r="I283">
        <v>61</v>
      </c>
      <c r="J283">
        <v>39</v>
      </c>
      <c r="K283">
        <v>153</v>
      </c>
      <c r="L283">
        <v>50</v>
      </c>
      <c r="M283">
        <v>25</v>
      </c>
      <c r="N283">
        <v>1995</v>
      </c>
      <c r="O283">
        <v>0.27</v>
      </c>
      <c r="P283">
        <v>2.4700000000000002</v>
      </c>
      <c r="Q283">
        <v>1.4999999999999999E-2</v>
      </c>
      <c r="R283">
        <v>60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>
      <c r="A284">
        <v>334.27245953059219</v>
      </c>
      <c r="B284">
        <v>42</v>
      </c>
      <c r="C284">
        <v>5.5712076588432042</v>
      </c>
      <c r="D284">
        <v>602.89200000000005</v>
      </c>
      <c r="E284">
        <v>684.07282994735829</v>
      </c>
      <c r="F284">
        <v>197.34479999999999</v>
      </c>
      <c r="G284">
        <v>64.758600000000001</v>
      </c>
      <c r="H284">
        <v>22</v>
      </c>
      <c r="I284">
        <v>50</v>
      </c>
      <c r="J284">
        <v>3</v>
      </c>
      <c r="K284">
        <v>153</v>
      </c>
      <c r="L284">
        <v>63</v>
      </c>
      <c r="M284">
        <v>34</v>
      </c>
      <c r="N284">
        <v>1995</v>
      </c>
      <c r="O284">
        <v>0.27</v>
      </c>
      <c r="P284">
        <v>2.4700000000000002</v>
      </c>
      <c r="Q284">
        <v>1.4999999999999999E-2</v>
      </c>
      <c r="R284">
        <v>60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>
      <c r="A285">
        <v>444.38975053143992</v>
      </c>
      <c r="B285">
        <v>56</v>
      </c>
      <c r="C285">
        <v>5.5548718816429998</v>
      </c>
      <c r="D285">
        <v>419.62349999999998</v>
      </c>
      <c r="E285">
        <v>690.5062240663899</v>
      </c>
      <c r="F285">
        <v>210.0429</v>
      </c>
      <c r="G285">
        <v>86.243100000000013</v>
      </c>
      <c r="H285">
        <v>52</v>
      </c>
      <c r="I285">
        <v>57</v>
      </c>
      <c r="J285">
        <v>13</v>
      </c>
      <c r="K285">
        <v>111</v>
      </c>
      <c r="L285">
        <v>56</v>
      </c>
      <c r="M285">
        <v>10</v>
      </c>
      <c r="N285">
        <v>1995</v>
      </c>
      <c r="O285">
        <v>0.27</v>
      </c>
      <c r="P285">
        <v>2.4700000000000002</v>
      </c>
      <c r="Q285">
        <v>1.4999999999999999E-2</v>
      </c>
      <c r="R285">
        <v>60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>
      <c r="A286">
        <v>315.54433766660571</v>
      </c>
      <c r="B286">
        <v>39.9</v>
      </c>
      <c r="C286">
        <v>5.535865573098345</v>
      </c>
      <c r="D286">
        <v>463.18200000000002</v>
      </c>
      <c r="E286">
        <v>690.67607850784054</v>
      </c>
      <c r="F286">
        <v>215.09520000000001</v>
      </c>
      <c r="G286">
        <v>61.240799999999993</v>
      </c>
      <c r="H286">
        <v>57</v>
      </c>
      <c r="I286">
        <v>57</v>
      </c>
      <c r="J286">
        <v>11</v>
      </c>
      <c r="K286">
        <v>153</v>
      </c>
      <c r="L286">
        <v>57</v>
      </c>
      <c r="M286">
        <v>40</v>
      </c>
      <c r="N286">
        <v>1995</v>
      </c>
      <c r="O286">
        <v>0.27</v>
      </c>
      <c r="P286">
        <v>2.4700000000000002</v>
      </c>
      <c r="Q286">
        <v>1.4999999999999999E-2</v>
      </c>
      <c r="R286">
        <v>60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>
      <c r="A287">
        <v>364.67654083249448</v>
      </c>
      <c r="B287">
        <v>46.2</v>
      </c>
      <c r="C287">
        <v>5.5254021338256756</v>
      </c>
      <c r="D287">
        <v>449.26949999999999</v>
      </c>
      <c r="E287">
        <v>688.23478203420211</v>
      </c>
      <c r="F287">
        <v>262.22190000000001</v>
      </c>
      <c r="G287">
        <v>70.729199999999992</v>
      </c>
      <c r="H287">
        <v>112</v>
      </c>
      <c r="I287">
        <v>54</v>
      </c>
      <c r="J287">
        <v>5</v>
      </c>
      <c r="K287">
        <v>277</v>
      </c>
      <c r="L287">
        <v>57</v>
      </c>
      <c r="M287">
        <v>15</v>
      </c>
      <c r="N287">
        <v>1995</v>
      </c>
      <c r="O287">
        <v>0.27</v>
      </c>
      <c r="P287">
        <v>2.4700000000000002</v>
      </c>
      <c r="Q287">
        <v>1.4999999999999999E-2</v>
      </c>
      <c r="R287">
        <v>60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>
      <c r="A288">
        <v>386.48974401145091</v>
      </c>
      <c r="B288">
        <v>49</v>
      </c>
      <c r="C288">
        <v>5.5212820573064434</v>
      </c>
      <c r="D288">
        <v>507.13600000000002</v>
      </c>
      <c r="E288">
        <v>689.41255101733191</v>
      </c>
      <c r="F288">
        <v>183.2208</v>
      </c>
      <c r="G288">
        <v>74.983999999999995</v>
      </c>
      <c r="H288">
        <v>6</v>
      </c>
      <c r="I288">
        <v>50</v>
      </c>
      <c r="J288">
        <v>7</v>
      </c>
      <c r="K288">
        <v>127</v>
      </c>
      <c r="L288">
        <v>56</v>
      </c>
      <c r="M288">
        <v>23</v>
      </c>
      <c r="N288">
        <v>1995</v>
      </c>
      <c r="O288">
        <v>0.27</v>
      </c>
      <c r="P288">
        <v>2.4700000000000002</v>
      </c>
      <c r="Q288">
        <v>1.4999999999999999E-2</v>
      </c>
      <c r="R288">
        <v>60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>
      <c r="A289">
        <v>331.052072348053</v>
      </c>
      <c r="B289">
        <v>42</v>
      </c>
      <c r="C289">
        <v>5.5175345391342159</v>
      </c>
      <c r="D289">
        <v>405.03899999999999</v>
      </c>
      <c r="E289">
        <v>690.67385892116192</v>
      </c>
      <c r="F289">
        <v>160.06200000000001</v>
      </c>
      <c r="G289">
        <v>64.250500000000002</v>
      </c>
      <c r="H289">
        <v>9</v>
      </c>
      <c r="I289">
        <v>51</v>
      </c>
      <c r="J289">
        <v>3</v>
      </c>
      <c r="K289">
        <v>69</v>
      </c>
      <c r="L289">
        <v>62</v>
      </c>
      <c r="M289">
        <v>19</v>
      </c>
      <c r="N289">
        <v>1995</v>
      </c>
      <c r="O289">
        <v>0.27</v>
      </c>
      <c r="P289">
        <v>2.4700000000000002</v>
      </c>
      <c r="Q289">
        <v>1.4999999999999999E-2</v>
      </c>
      <c r="R289">
        <v>60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>
      <c r="A290">
        <v>440.7697467216363</v>
      </c>
      <c r="B290">
        <v>56</v>
      </c>
      <c r="C290">
        <v>5.5096218340204546</v>
      </c>
      <c r="D290">
        <v>574.19040000000007</v>
      </c>
      <c r="E290">
        <v>679.52033195020738</v>
      </c>
      <c r="F290">
        <v>197.06399999999999</v>
      </c>
      <c r="G290">
        <v>85.28400000000002</v>
      </c>
      <c r="H290">
        <v>8</v>
      </c>
      <c r="I290">
        <v>57</v>
      </c>
      <c r="J290">
        <v>5</v>
      </c>
      <c r="K290">
        <v>111</v>
      </c>
      <c r="L290">
        <v>56</v>
      </c>
      <c r="M290">
        <v>11</v>
      </c>
      <c r="N290">
        <v>1995</v>
      </c>
      <c r="O290">
        <v>0.27</v>
      </c>
      <c r="P290">
        <v>2.4700000000000002</v>
      </c>
      <c r="Q290">
        <v>1.4999999999999999E-2</v>
      </c>
      <c r="R290">
        <v>60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>
      <c r="A291">
        <v>356.76784559980081</v>
      </c>
      <c r="B291">
        <v>45.5</v>
      </c>
      <c r="C291">
        <v>5.4887360861507819</v>
      </c>
      <c r="D291">
        <v>642.13199999999995</v>
      </c>
      <c r="E291">
        <v>686.82207194349826</v>
      </c>
      <c r="F291">
        <v>167.1498</v>
      </c>
      <c r="G291">
        <v>69.168600000000012</v>
      </c>
      <c r="H291">
        <v>9</v>
      </c>
      <c r="I291">
        <v>54</v>
      </c>
      <c r="J291">
        <v>3</v>
      </c>
      <c r="K291">
        <v>153</v>
      </c>
      <c r="L291">
        <v>59</v>
      </c>
      <c r="M291">
        <v>38</v>
      </c>
      <c r="N291">
        <v>1995</v>
      </c>
      <c r="O291">
        <v>0.27</v>
      </c>
      <c r="P291">
        <v>2.4700000000000002</v>
      </c>
      <c r="Q291">
        <v>1.4999999999999999E-2</v>
      </c>
      <c r="R291">
        <v>60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>
      <c r="A292">
        <v>350.57909797039918</v>
      </c>
      <c r="B292">
        <v>44.744</v>
      </c>
      <c r="C292">
        <v>5.4846542235669471</v>
      </c>
      <c r="D292">
        <v>495.096</v>
      </c>
      <c r="E292">
        <v>688.53443983402485</v>
      </c>
      <c r="F292">
        <v>382.98</v>
      </c>
      <c r="G292">
        <v>68.000559999999993</v>
      </c>
      <c r="H292">
        <v>4</v>
      </c>
      <c r="I292">
        <v>62</v>
      </c>
      <c r="J292">
        <v>1</v>
      </c>
      <c r="K292">
        <v>40</v>
      </c>
      <c r="L292">
        <v>57</v>
      </c>
      <c r="M292">
        <v>6</v>
      </c>
      <c r="N292">
        <v>1995</v>
      </c>
      <c r="O292">
        <v>0.27</v>
      </c>
      <c r="P292">
        <v>2.4700000000000002</v>
      </c>
      <c r="Q292">
        <v>1.4999999999999999E-2</v>
      </c>
      <c r="R292">
        <v>60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>
      <c r="A293">
        <v>382.36693027640808</v>
      </c>
      <c r="B293">
        <v>49</v>
      </c>
      <c r="C293">
        <v>5.4623847182344019</v>
      </c>
      <c r="D293">
        <v>477.63839999999999</v>
      </c>
      <c r="E293">
        <v>690.63070539419095</v>
      </c>
      <c r="F293">
        <v>185.3304</v>
      </c>
      <c r="G293">
        <v>74.208799999999997</v>
      </c>
      <c r="H293">
        <v>8</v>
      </c>
      <c r="I293">
        <v>51</v>
      </c>
      <c r="J293">
        <v>5</v>
      </c>
      <c r="K293">
        <v>56</v>
      </c>
      <c r="L293">
        <v>56</v>
      </c>
      <c r="M293">
        <v>4</v>
      </c>
      <c r="N293">
        <v>1995</v>
      </c>
      <c r="O293">
        <v>0.27</v>
      </c>
      <c r="P293">
        <v>2.4700000000000002</v>
      </c>
      <c r="Q293">
        <v>1.4999999999999999E-2</v>
      </c>
      <c r="R293">
        <v>60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>
      <c r="A294">
        <v>382.28615809818501</v>
      </c>
      <c r="B294">
        <v>49</v>
      </c>
      <c r="C294">
        <v>5.4612308299740713</v>
      </c>
      <c r="D294">
        <v>472.96800000000002</v>
      </c>
      <c r="E294">
        <v>691.12816246522675</v>
      </c>
      <c r="F294">
        <v>179.06399999999999</v>
      </c>
      <c r="G294">
        <v>74.203199999999995</v>
      </c>
      <c r="H294">
        <v>6</v>
      </c>
      <c r="I294">
        <v>57</v>
      </c>
      <c r="J294">
        <v>6</v>
      </c>
      <c r="K294">
        <v>319</v>
      </c>
      <c r="L294">
        <v>56</v>
      </c>
      <c r="M294">
        <v>26</v>
      </c>
      <c r="N294">
        <v>1995</v>
      </c>
      <c r="O294">
        <v>0.27</v>
      </c>
      <c r="P294">
        <v>2.4700000000000002</v>
      </c>
      <c r="Q294">
        <v>1.4999999999999999E-2</v>
      </c>
      <c r="R294">
        <v>60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>
      <c r="A295">
        <v>347.7778935000045</v>
      </c>
      <c r="B295">
        <v>44.744</v>
      </c>
      <c r="C295">
        <v>5.4408306242178428</v>
      </c>
      <c r="D295">
        <v>489</v>
      </c>
      <c r="E295">
        <v>690.92116182572613</v>
      </c>
      <c r="F295">
        <v>377.16</v>
      </c>
      <c r="G295">
        <v>67.501200000000011</v>
      </c>
      <c r="H295">
        <v>3</v>
      </c>
      <c r="I295">
        <v>41</v>
      </c>
      <c r="J295">
        <v>2</v>
      </c>
      <c r="K295">
        <v>40</v>
      </c>
      <c r="L295">
        <v>68</v>
      </c>
      <c r="M295">
        <v>5</v>
      </c>
      <c r="N295">
        <v>1995</v>
      </c>
      <c r="O295">
        <v>0.27</v>
      </c>
      <c r="P295">
        <v>2.4700000000000002</v>
      </c>
      <c r="Q295">
        <v>1.4999999999999999E-2</v>
      </c>
      <c r="R295">
        <v>60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>
      <c r="A296">
        <v>388.12288794078972</v>
      </c>
      <c r="B296">
        <v>50.400000000000013</v>
      </c>
      <c r="C296">
        <v>5.3905956658443008</v>
      </c>
      <c r="D296">
        <v>371.23079999999999</v>
      </c>
      <c r="E296">
        <v>689.49273787250706</v>
      </c>
      <c r="F296">
        <v>163.07204999999999</v>
      </c>
      <c r="G296">
        <v>75.302499999999995</v>
      </c>
      <c r="H296">
        <v>129</v>
      </c>
      <c r="I296">
        <v>48</v>
      </c>
      <c r="J296">
        <v>6</v>
      </c>
      <c r="K296">
        <v>96</v>
      </c>
      <c r="L296">
        <v>58</v>
      </c>
      <c r="M296">
        <v>19</v>
      </c>
      <c r="N296">
        <v>1995</v>
      </c>
      <c r="O296">
        <v>0.27</v>
      </c>
      <c r="P296">
        <v>2.4700000000000002</v>
      </c>
      <c r="Q296">
        <v>1.4999999999999999E-2</v>
      </c>
      <c r="R296">
        <v>60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>
      <c r="A297">
        <v>344.49071393401169</v>
      </c>
      <c r="B297">
        <v>44.744</v>
      </c>
      <c r="C297">
        <v>5.3894041604194571</v>
      </c>
      <c r="D297">
        <v>523.46249999999998</v>
      </c>
      <c r="E297">
        <v>687.92531120331932</v>
      </c>
      <c r="F297">
        <v>367.53750000000002</v>
      </c>
      <c r="G297">
        <v>66.808499999999995</v>
      </c>
      <c r="H297">
        <v>76</v>
      </c>
      <c r="I297">
        <v>55</v>
      </c>
      <c r="J297">
        <v>3</v>
      </c>
      <c r="K297">
        <v>40</v>
      </c>
      <c r="L297">
        <v>65</v>
      </c>
      <c r="M297">
        <v>5</v>
      </c>
      <c r="N297">
        <v>1995</v>
      </c>
      <c r="O297">
        <v>0.27</v>
      </c>
      <c r="P297">
        <v>2.4700000000000002</v>
      </c>
      <c r="Q297">
        <v>1.4999999999999999E-2</v>
      </c>
      <c r="R297">
        <v>60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>
      <c r="A298">
        <v>405.19011530780023</v>
      </c>
      <c r="B298">
        <v>52.73863636363636</v>
      </c>
      <c r="C298">
        <v>5.3780890116269111</v>
      </c>
      <c r="D298">
        <v>419.74720000000002</v>
      </c>
      <c r="E298">
        <v>689.33273907260809</v>
      </c>
      <c r="F298">
        <v>239.89760000000001</v>
      </c>
      <c r="G298">
        <v>78.610399999999998</v>
      </c>
      <c r="H298">
        <v>95</v>
      </c>
      <c r="I298">
        <v>57</v>
      </c>
      <c r="J298">
        <v>6</v>
      </c>
      <c r="K298">
        <v>148</v>
      </c>
      <c r="L298">
        <v>56</v>
      </c>
      <c r="M298">
        <v>28</v>
      </c>
      <c r="N298">
        <v>1995</v>
      </c>
      <c r="O298">
        <v>0.27</v>
      </c>
      <c r="P298">
        <v>2.4700000000000002</v>
      </c>
      <c r="Q298">
        <v>1.4999999999999999E-2</v>
      </c>
      <c r="R298">
        <v>60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>
      <c r="A299">
        <v>343.51101259437382</v>
      </c>
      <c r="B299">
        <v>44.744</v>
      </c>
      <c r="C299">
        <v>5.3740771682473998</v>
      </c>
      <c r="D299">
        <v>425.88159999999999</v>
      </c>
      <c r="E299">
        <v>691.18989078106461</v>
      </c>
      <c r="F299">
        <v>362.52159999999998</v>
      </c>
      <c r="G299">
        <v>66.677920000000015</v>
      </c>
      <c r="H299">
        <v>19</v>
      </c>
      <c r="I299">
        <v>47</v>
      </c>
      <c r="J299">
        <v>1</v>
      </c>
      <c r="K299">
        <v>40</v>
      </c>
      <c r="L299">
        <v>81</v>
      </c>
      <c r="M299">
        <v>4</v>
      </c>
      <c r="N299">
        <v>1995</v>
      </c>
      <c r="O299">
        <v>0.27</v>
      </c>
      <c r="P299">
        <v>2.4700000000000002</v>
      </c>
      <c r="Q299">
        <v>1.4999999999999999E-2</v>
      </c>
      <c r="R299">
        <v>60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>
      <c r="A300">
        <v>429.86567741436789</v>
      </c>
      <c r="B300">
        <v>56.000000000000007</v>
      </c>
      <c r="C300">
        <v>5.3733209676795992</v>
      </c>
      <c r="D300">
        <v>528.34440000000006</v>
      </c>
      <c r="E300">
        <v>684.83533661015929</v>
      </c>
      <c r="F300">
        <v>198.42156</v>
      </c>
      <c r="G300">
        <v>83.295240000000007</v>
      </c>
      <c r="H300">
        <v>8</v>
      </c>
      <c r="I300">
        <v>56</v>
      </c>
      <c r="J300">
        <v>5</v>
      </c>
      <c r="K300">
        <v>165</v>
      </c>
      <c r="L300">
        <v>57</v>
      </c>
      <c r="M300">
        <v>21</v>
      </c>
      <c r="N300">
        <v>1995</v>
      </c>
      <c r="O300">
        <v>0.27</v>
      </c>
      <c r="P300">
        <v>2.4700000000000002</v>
      </c>
      <c r="Q300">
        <v>1.4999999999999999E-2</v>
      </c>
      <c r="R300">
        <v>60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>
      <c r="A301">
        <v>428.98232410991761</v>
      </c>
      <c r="B301">
        <v>56.000000000000007</v>
      </c>
      <c r="C301">
        <v>5.36227905137397</v>
      </c>
      <c r="D301">
        <v>370.02852000000001</v>
      </c>
      <c r="E301">
        <v>688.07273245077545</v>
      </c>
      <c r="F301">
        <v>201.88288800000001</v>
      </c>
      <c r="G301">
        <v>83.197656000000009</v>
      </c>
      <c r="H301">
        <v>52</v>
      </c>
      <c r="I301">
        <v>54</v>
      </c>
      <c r="J301">
        <v>13</v>
      </c>
      <c r="K301">
        <v>125</v>
      </c>
      <c r="L301">
        <v>59</v>
      </c>
      <c r="M301">
        <v>22</v>
      </c>
      <c r="N301">
        <v>1995</v>
      </c>
      <c r="O301">
        <v>0.27</v>
      </c>
      <c r="P301">
        <v>2.4700000000000002</v>
      </c>
      <c r="Q301">
        <v>1.4999999999999999E-2</v>
      </c>
      <c r="R301">
        <v>60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>
      <c r="A302">
        <v>374.52878806272929</v>
      </c>
      <c r="B302">
        <v>49</v>
      </c>
      <c r="C302">
        <v>5.3504112580389904</v>
      </c>
      <c r="D302">
        <v>480.79199999999997</v>
      </c>
      <c r="E302">
        <v>691.20551958943668</v>
      </c>
      <c r="F302">
        <v>173.34180000000001</v>
      </c>
      <c r="G302">
        <v>72.698999999999998</v>
      </c>
      <c r="H302">
        <v>7</v>
      </c>
      <c r="I302">
        <v>57</v>
      </c>
      <c r="J302">
        <v>5</v>
      </c>
      <c r="K302">
        <v>127</v>
      </c>
      <c r="L302">
        <v>56</v>
      </c>
      <c r="M302">
        <v>24</v>
      </c>
      <c r="N302">
        <v>1995</v>
      </c>
      <c r="O302">
        <v>0.27</v>
      </c>
      <c r="P302">
        <v>2.4700000000000002</v>
      </c>
      <c r="Q302">
        <v>1.4999999999999999E-2</v>
      </c>
      <c r="R302">
        <v>60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>
      <c r="A303">
        <v>341.81707632286691</v>
      </c>
      <c r="B303">
        <v>44.744000000000007</v>
      </c>
      <c r="C303">
        <v>5.3475762879046744</v>
      </c>
      <c r="D303">
        <v>422.6816</v>
      </c>
      <c r="E303">
        <v>692.73619773944574</v>
      </c>
      <c r="F303">
        <v>359.32159999999999</v>
      </c>
      <c r="G303">
        <v>66.377120000000005</v>
      </c>
      <c r="H303">
        <v>14</v>
      </c>
      <c r="I303">
        <v>47</v>
      </c>
      <c r="J303">
        <v>1</v>
      </c>
      <c r="K303">
        <v>40</v>
      </c>
      <c r="L303">
        <v>81</v>
      </c>
      <c r="M303">
        <v>4</v>
      </c>
      <c r="N303">
        <v>1995</v>
      </c>
      <c r="O303">
        <v>0.27</v>
      </c>
      <c r="P303">
        <v>2.4700000000000002</v>
      </c>
      <c r="Q303">
        <v>1.4999999999999999E-2</v>
      </c>
      <c r="R303">
        <v>60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>
      <c r="A304">
        <v>481.18381184717208</v>
      </c>
      <c r="B304">
        <v>63.000000000000007</v>
      </c>
      <c r="C304">
        <v>5.3464867983019104</v>
      </c>
      <c r="D304">
        <v>542.58719999999994</v>
      </c>
      <c r="E304">
        <v>689.44896265560169</v>
      </c>
      <c r="F304">
        <v>169.16</v>
      </c>
      <c r="G304">
        <v>93.356800000000007</v>
      </c>
      <c r="H304">
        <v>39</v>
      </c>
      <c r="I304">
        <v>59</v>
      </c>
      <c r="J304">
        <v>11</v>
      </c>
      <c r="K304">
        <v>111</v>
      </c>
      <c r="L304">
        <v>53</v>
      </c>
      <c r="M304">
        <v>8</v>
      </c>
      <c r="N304">
        <v>1995</v>
      </c>
      <c r="O304">
        <v>0.27</v>
      </c>
      <c r="P304">
        <v>2.4700000000000002</v>
      </c>
      <c r="Q304">
        <v>1.4999999999999999E-2</v>
      </c>
      <c r="R304">
        <v>60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>
      <c r="A305">
        <v>480.55721578437527</v>
      </c>
      <c r="B305">
        <v>63.000000000000007</v>
      </c>
      <c r="C305">
        <v>5.339524619826391</v>
      </c>
      <c r="D305">
        <v>467.04840000000002</v>
      </c>
      <c r="E305">
        <v>691.09097906453314</v>
      </c>
      <c r="F305">
        <v>158.41195999999999</v>
      </c>
      <c r="G305">
        <v>93.277040000000014</v>
      </c>
      <c r="H305">
        <v>39</v>
      </c>
      <c r="I305">
        <v>55</v>
      </c>
      <c r="J305">
        <v>11</v>
      </c>
      <c r="K305">
        <v>165</v>
      </c>
      <c r="L305">
        <v>58</v>
      </c>
      <c r="M305">
        <v>19</v>
      </c>
      <c r="N305">
        <v>1995</v>
      </c>
      <c r="O305">
        <v>0.27</v>
      </c>
      <c r="P305">
        <v>2.4700000000000002</v>
      </c>
      <c r="Q305">
        <v>1.4999999999999999E-2</v>
      </c>
      <c r="R305">
        <v>60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>
      <c r="A306">
        <v>340.53868913374839</v>
      </c>
      <c r="B306">
        <v>44.744</v>
      </c>
      <c r="C306">
        <v>5.3275764883252252</v>
      </c>
      <c r="D306">
        <v>828.53280000000007</v>
      </c>
      <c r="E306">
        <v>684.1306582494617</v>
      </c>
      <c r="F306">
        <v>675.62639999999999</v>
      </c>
      <c r="G306">
        <v>65.973600000000005</v>
      </c>
      <c r="H306">
        <v>40</v>
      </c>
      <c r="I306">
        <v>60</v>
      </c>
      <c r="J306">
        <v>11</v>
      </c>
      <c r="K306">
        <v>333</v>
      </c>
      <c r="L306">
        <v>60</v>
      </c>
      <c r="M306">
        <v>22</v>
      </c>
      <c r="N306">
        <v>1995</v>
      </c>
      <c r="O306">
        <v>0.27</v>
      </c>
      <c r="P306">
        <v>2.4700000000000002</v>
      </c>
      <c r="Q306">
        <v>1.4999999999999999E-2</v>
      </c>
      <c r="R306">
        <v>60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>
      <c r="A307">
        <v>340.13828512777178</v>
      </c>
      <c r="B307">
        <v>44.744000000000007</v>
      </c>
      <c r="C307">
        <v>5.321312345553376</v>
      </c>
      <c r="D307">
        <v>867.56399999999996</v>
      </c>
      <c r="E307">
        <v>684.5729792069294</v>
      </c>
      <c r="F307">
        <v>696.97223999999994</v>
      </c>
      <c r="G307">
        <v>65.903999999999996</v>
      </c>
      <c r="H307">
        <v>40</v>
      </c>
      <c r="I307">
        <v>62</v>
      </c>
      <c r="J307">
        <v>11</v>
      </c>
      <c r="K307">
        <v>165</v>
      </c>
      <c r="L307">
        <v>59</v>
      </c>
      <c r="M307">
        <v>18</v>
      </c>
      <c r="N307">
        <v>1995</v>
      </c>
      <c r="O307">
        <v>0.27</v>
      </c>
      <c r="P307">
        <v>2.4700000000000002</v>
      </c>
      <c r="Q307">
        <v>1.4999999999999999E-2</v>
      </c>
      <c r="R307">
        <v>60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>
      <c r="A308">
        <v>425.01717688543152</v>
      </c>
      <c r="B308">
        <v>56</v>
      </c>
      <c r="C308">
        <v>5.3127147110678932</v>
      </c>
      <c r="D308">
        <v>543.12384000000009</v>
      </c>
      <c r="E308">
        <v>687.91927539513381</v>
      </c>
      <c r="F308">
        <v>199.47513599999999</v>
      </c>
      <c r="G308">
        <v>82.42519200000001</v>
      </c>
      <c r="H308">
        <v>8</v>
      </c>
      <c r="I308">
        <v>56</v>
      </c>
      <c r="J308">
        <v>5</v>
      </c>
      <c r="K308">
        <v>125</v>
      </c>
      <c r="L308">
        <v>57</v>
      </c>
      <c r="M308">
        <v>23</v>
      </c>
      <c r="N308">
        <v>1995</v>
      </c>
      <c r="O308">
        <v>0.27</v>
      </c>
      <c r="P308">
        <v>2.4700000000000002</v>
      </c>
      <c r="Q308">
        <v>1.4999999999999999E-2</v>
      </c>
      <c r="R308">
        <v>60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>
      <c r="A309">
        <v>424.98772064122551</v>
      </c>
      <c r="B309">
        <v>56</v>
      </c>
      <c r="C309">
        <v>5.3123465080153194</v>
      </c>
      <c r="D309">
        <v>1103.1966</v>
      </c>
      <c r="E309">
        <v>680.76757417597753</v>
      </c>
      <c r="F309">
        <v>155.01288</v>
      </c>
      <c r="G309">
        <v>82.258440000000007</v>
      </c>
      <c r="H309">
        <v>142</v>
      </c>
      <c r="I309">
        <v>66</v>
      </c>
      <c r="J309">
        <v>44</v>
      </c>
      <c r="K309">
        <v>127</v>
      </c>
      <c r="L309">
        <v>44</v>
      </c>
      <c r="M309">
        <v>15</v>
      </c>
      <c r="N309">
        <v>1995</v>
      </c>
      <c r="O309">
        <v>0.27</v>
      </c>
      <c r="P309">
        <v>2.4700000000000002</v>
      </c>
      <c r="Q309">
        <v>1.4999999999999999E-2</v>
      </c>
      <c r="R309">
        <v>60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>
      <c r="A310">
        <v>424.53045407184578</v>
      </c>
      <c r="B310">
        <v>56</v>
      </c>
      <c r="C310">
        <v>5.3066306758980728</v>
      </c>
      <c r="D310">
        <v>539.4144</v>
      </c>
      <c r="E310">
        <v>687.91927539513381</v>
      </c>
      <c r="F310">
        <v>199.38239999999999</v>
      </c>
      <c r="G310">
        <v>82.330799999999996</v>
      </c>
      <c r="H310">
        <v>8</v>
      </c>
      <c r="I310">
        <v>56</v>
      </c>
      <c r="J310">
        <v>5</v>
      </c>
      <c r="K310">
        <v>124</v>
      </c>
      <c r="L310">
        <v>57</v>
      </c>
      <c r="M310">
        <v>23</v>
      </c>
      <c r="N310">
        <v>1995</v>
      </c>
      <c r="O310">
        <v>0.27</v>
      </c>
      <c r="P310">
        <v>2.4700000000000002</v>
      </c>
      <c r="Q310">
        <v>1.4999999999999999E-2</v>
      </c>
      <c r="R310">
        <v>60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>
      <c r="A311">
        <v>477.34602299217062</v>
      </c>
      <c r="B311">
        <v>63</v>
      </c>
      <c r="C311">
        <v>5.3038446999130073</v>
      </c>
      <c r="D311">
        <v>481.82783999999998</v>
      </c>
      <c r="E311">
        <v>689.68192304312504</v>
      </c>
      <c r="F311">
        <v>159.46553599999999</v>
      </c>
      <c r="G311">
        <v>92.618103999999988</v>
      </c>
      <c r="H311">
        <v>39</v>
      </c>
      <c r="I311">
        <v>53</v>
      </c>
      <c r="J311">
        <v>11</v>
      </c>
      <c r="K311">
        <v>125</v>
      </c>
      <c r="L311">
        <v>59</v>
      </c>
      <c r="M311">
        <v>23</v>
      </c>
      <c r="N311">
        <v>1995</v>
      </c>
      <c r="O311">
        <v>0.27</v>
      </c>
      <c r="P311">
        <v>2.4700000000000002</v>
      </c>
      <c r="Q311">
        <v>1.4999999999999999E-2</v>
      </c>
      <c r="R311">
        <v>60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>
      <c r="A312">
        <v>476.84246468319873</v>
      </c>
      <c r="B312">
        <v>63</v>
      </c>
      <c r="C312">
        <v>5.2982496075910976</v>
      </c>
      <c r="D312">
        <v>478.11840000000001</v>
      </c>
      <c r="E312">
        <v>689.68192304312504</v>
      </c>
      <c r="F312">
        <v>159.37280000000001</v>
      </c>
      <c r="G312">
        <v>92.520399999999995</v>
      </c>
      <c r="H312">
        <v>39</v>
      </c>
      <c r="I312">
        <v>53</v>
      </c>
      <c r="J312">
        <v>11</v>
      </c>
      <c r="K312">
        <v>124</v>
      </c>
      <c r="L312">
        <v>59</v>
      </c>
      <c r="M312">
        <v>23</v>
      </c>
      <c r="N312">
        <v>1995</v>
      </c>
      <c r="O312">
        <v>0.27</v>
      </c>
      <c r="P312">
        <v>2.4700000000000002</v>
      </c>
      <c r="Q312">
        <v>1.4999999999999999E-2</v>
      </c>
      <c r="R312">
        <v>60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>
      <c r="A313">
        <v>343.99601940380512</v>
      </c>
      <c r="B313">
        <v>45.500000000000007</v>
      </c>
      <c r="C313">
        <v>5.292246452366232</v>
      </c>
      <c r="D313">
        <v>620.81600000000003</v>
      </c>
      <c r="E313">
        <v>686.11683939169825</v>
      </c>
      <c r="F313">
        <v>157.38239999999999</v>
      </c>
      <c r="G313">
        <v>66.679600000000008</v>
      </c>
      <c r="H313">
        <v>6</v>
      </c>
      <c r="I313">
        <v>56</v>
      </c>
      <c r="J313">
        <v>5</v>
      </c>
      <c r="K313">
        <v>153</v>
      </c>
      <c r="L313">
        <v>57</v>
      </c>
      <c r="M313">
        <v>41</v>
      </c>
      <c r="N313">
        <v>1995</v>
      </c>
      <c r="O313">
        <v>0.27</v>
      </c>
      <c r="P313">
        <v>2.4700000000000002</v>
      </c>
      <c r="Q313">
        <v>1.4999999999999999E-2</v>
      </c>
      <c r="R313">
        <v>60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>
      <c r="A314">
        <v>337.82820113114923</v>
      </c>
      <c r="B314">
        <v>44.744</v>
      </c>
      <c r="C314">
        <v>5.2851721078089664</v>
      </c>
      <c r="D314">
        <v>850.98599999999999</v>
      </c>
      <c r="E314">
        <v>679.67865639446086</v>
      </c>
      <c r="F314">
        <v>675.702</v>
      </c>
      <c r="G314">
        <v>65.368800000000007</v>
      </c>
      <c r="H314">
        <v>40</v>
      </c>
      <c r="I314">
        <v>60</v>
      </c>
      <c r="J314">
        <v>11</v>
      </c>
      <c r="K314">
        <v>124</v>
      </c>
      <c r="L314">
        <v>60</v>
      </c>
      <c r="M314">
        <v>21</v>
      </c>
      <c r="N314">
        <v>1995</v>
      </c>
      <c r="O314">
        <v>0.27</v>
      </c>
      <c r="P314">
        <v>2.4700000000000002</v>
      </c>
      <c r="Q314">
        <v>1.4999999999999999E-2</v>
      </c>
      <c r="R314">
        <v>60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>
      <c r="A315">
        <v>337.7813049925918</v>
      </c>
      <c r="B315">
        <v>44.744</v>
      </c>
      <c r="C315">
        <v>5.2844384385574443</v>
      </c>
      <c r="D315">
        <v>470.73360000000002</v>
      </c>
      <c r="E315">
        <v>689.00276374895134</v>
      </c>
      <c r="F315">
        <v>364.0668</v>
      </c>
      <c r="G315">
        <v>65.526600000000002</v>
      </c>
      <c r="H315">
        <v>17</v>
      </c>
      <c r="I315">
        <v>61</v>
      </c>
      <c r="J315">
        <v>1</v>
      </c>
      <c r="K315">
        <v>40</v>
      </c>
      <c r="L315">
        <v>65</v>
      </c>
      <c r="M315">
        <v>5</v>
      </c>
      <c r="N315">
        <v>1995</v>
      </c>
      <c r="O315">
        <v>0.27</v>
      </c>
      <c r="P315">
        <v>2.4700000000000002</v>
      </c>
      <c r="Q315">
        <v>1.4999999999999999E-2</v>
      </c>
      <c r="R315">
        <v>60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>
      <c r="A316">
        <v>422.33067590366369</v>
      </c>
      <c r="B316">
        <v>56.000000000000007</v>
      </c>
      <c r="C316">
        <v>5.2791334487957959</v>
      </c>
      <c r="D316">
        <v>515.30304000000001</v>
      </c>
      <c r="E316">
        <v>685.89268705072197</v>
      </c>
      <c r="F316">
        <v>198.91872000000001</v>
      </c>
      <c r="G316">
        <v>81.858840000000001</v>
      </c>
      <c r="H316">
        <v>8</v>
      </c>
      <c r="I316">
        <v>56</v>
      </c>
      <c r="J316">
        <v>5</v>
      </c>
      <c r="K316">
        <v>333</v>
      </c>
      <c r="L316">
        <v>57</v>
      </c>
      <c r="M316">
        <v>23</v>
      </c>
      <c r="N316">
        <v>1995</v>
      </c>
      <c r="O316">
        <v>0.27</v>
      </c>
      <c r="P316">
        <v>2.4700000000000002</v>
      </c>
      <c r="Q316">
        <v>1.4999999999999999E-2</v>
      </c>
      <c r="R316">
        <v>60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>
      <c r="A317">
        <v>474.57156410655779</v>
      </c>
      <c r="B317">
        <v>63.000000000000007</v>
      </c>
      <c r="C317">
        <v>5.2730173789617529</v>
      </c>
      <c r="D317">
        <v>454.00704000000002</v>
      </c>
      <c r="E317">
        <v>690.46683442065546</v>
      </c>
      <c r="F317">
        <v>158.90912</v>
      </c>
      <c r="G317">
        <v>92.099519999999984</v>
      </c>
      <c r="H317">
        <v>39</v>
      </c>
      <c r="I317">
        <v>54</v>
      </c>
      <c r="J317">
        <v>11</v>
      </c>
      <c r="K317">
        <v>333</v>
      </c>
      <c r="L317">
        <v>56</v>
      </c>
      <c r="M317">
        <v>23</v>
      </c>
      <c r="N317">
        <v>1995</v>
      </c>
      <c r="O317">
        <v>0.27</v>
      </c>
      <c r="P317">
        <v>2.4700000000000002</v>
      </c>
      <c r="Q317">
        <v>1.4999999999999999E-2</v>
      </c>
      <c r="R317">
        <v>60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>
      <c r="A318">
        <v>336.5606242634874</v>
      </c>
      <c r="B318">
        <v>44.744</v>
      </c>
      <c r="C318">
        <v>5.2653414309056226</v>
      </c>
      <c r="D318">
        <v>508.98239999999998</v>
      </c>
      <c r="E318">
        <v>690.97677263199125</v>
      </c>
      <c r="F318">
        <v>359.74079999999998</v>
      </c>
      <c r="G318">
        <v>65.325000000000003</v>
      </c>
      <c r="H318">
        <v>114</v>
      </c>
      <c r="I318">
        <v>65</v>
      </c>
      <c r="J318">
        <v>2</v>
      </c>
      <c r="K318">
        <v>40</v>
      </c>
      <c r="L318">
        <v>65</v>
      </c>
      <c r="M318">
        <v>5</v>
      </c>
      <c r="N318">
        <v>1995</v>
      </c>
      <c r="O318">
        <v>0.27</v>
      </c>
      <c r="P318">
        <v>2.4700000000000002</v>
      </c>
      <c r="Q318">
        <v>1.4999999999999999E-2</v>
      </c>
      <c r="R318">
        <v>60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>
      <c r="A319">
        <v>430.36134596060532</v>
      </c>
      <c r="B319">
        <v>57.235294117647058</v>
      </c>
      <c r="C319">
        <v>5.2634121448419346</v>
      </c>
      <c r="D319">
        <v>531.04590000000007</v>
      </c>
      <c r="E319">
        <v>690.07115967695267</v>
      </c>
      <c r="F319">
        <v>196.70712599999999</v>
      </c>
      <c r="G319">
        <v>83.510675000000006</v>
      </c>
      <c r="H319">
        <v>8</v>
      </c>
      <c r="I319">
        <v>55</v>
      </c>
      <c r="J319">
        <v>5</v>
      </c>
      <c r="K319">
        <v>77</v>
      </c>
      <c r="L319">
        <v>58</v>
      </c>
      <c r="M319">
        <v>35</v>
      </c>
      <c r="N319">
        <v>1995</v>
      </c>
      <c r="O319">
        <v>0.27</v>
      </c>
      <c r="P319">
        <v>2.4700000000000002</v>
      </c>
      <c r="Q319">
        <v>1.4999999999999999E-2</v>
      </c>
      <c r="R319">
        <v>60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>
      <c r="A320">
        <v>336.30670785139228</v>
      </c>
      <c r="B320">
        <v>44.744</v>
      </c>
      <c r="C320">
        <v>5.2613690214548239</v>
      </c>
      <c r="D320">
        <v>514.51199999999994</v>
      </c>
      <c r="E320">
        <v>690.34172423989548</v>
      </c>
      <c r="F320">
        <v>363.96</v>
      </c>
      <c r="G320">
        <v>65.264399999999995</v>
      </c>
      <c r="H320">
        <v>301</v>
      </c>
      <c r="I320">
        <v>61</v>
      </c>
      <c r="J320">
        <v>4</v>
      </c>
      <c r="K320">
        <v>40</v>
      </c>
      <c r="L320">
        <v>55</v>
      </c>
      <c r="M320">
        <v>6</v>
      </c>
      <c r="N320">
        <v>1995</v>
      </c>
      <c r="O320">
        <v>0.27</v>
      </c>
      <c r="P320">
        <v>2.4700000000000002</v>
      </c>
      <c r="Q320">
        <v>1.4999999999999999E-2</v>
      </c>
      <c r="R320">
        <v>60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>
      <c r="A321">
        <v>430.17827251741659</v>
      </c>
      <c r="B321">
        <v>57.235294117647058</v>
      </c>
      <c r="C321">
        <v>5.2611731171194842</v>
      </c>
      <c r="D321">
        <v>530.95020000000011</v>
      </c>
      <c r="E321">
        <v>690.07115967695267</v>
      </c>
      <c r="F321">
        <v>196.674588</v>
      </c>
      <c r="G321">
        <v>83.475150000000014</v>
      </c>
      <c r="H321">
        <v>8</v>
      </c>
      <c r="I321">
        <v>55</v>
      </c>
      <c r="J321">
        <v>5</v>
      </c>
      <c r="K321">
        <v>312</v>
      </c>
      <c r="L321">
        <v>58</v>
      </c>
      <c r="M321">
        <v>35</v>
      </c>
      <c r="N321">
        <v>1995</v>
      </c>
      <c r="O321">
        <v>0.27</v>
      </c>
      <c r="P321">
        <v>2.4700000000000002</v>
      </c>
      <c r="Q321">
        <v>1.4999999999999999E-2</v>
      </c>
      <c r="R321">
        <v>60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>
      <c r="A322">
        <v>420.79891250102332</v>
      </c>
      <c r="B322">
        <v>56.000000000000007</v>
      </c>
      <c r="C322">
        <v>5.2599864062627901</v>
      </c>
      <c r="D322">
        <v>514.808448</v>
      </c>
      <c r="E322">
        <v>687.91927539513381</v>
      </c>
      <c r="F322">
        <v>198.671424</v>
      </c>
      <c r="G322">
        <v>81.607128000000003</v>
      </c>
      <c r="H322">
        <v>8</v>
      </c>
      <c r="I322">
        <v>56</v>
      </c>
      <c r="J322">
        <v>5</v>
      </c>
      <c r="K322">
        <v>85</v>
      </c>
      <c r="L322">
        <v>57</v>
      </c>
      <c r="M322">
        <v>23</v>
      </c>
      <c r="N322">
        <v>1995</v>
      </c>
      <c r="O322">
        <v>0.27</v>
      </c>
      <c r="P322">
        <v>2.4700000000000002</v>
      </c>
      <c r="Q322">
        <v>1.4999999999999999E-2</v>
      </c>
      <c r="R322">
        <v>60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>
      <c r="A323">
        <v>336.13428326847139</v>
      </c>
      <c r="B323">
        <v>44.744000000000007</v>
      </c>
      <c r="C323">
        <v>5.2586715154641963</v>
      </c>
      <c r="D323">
        <v>865.404</v>
      </c>
      <c r="E323">
        <v>682.24175534900246</v>
      </c>
      <c r="F323">
        <v>685.97640000000001</v>
      </c>
      <c r="G323">
        <v>65.086680000000001</v>
      </c>
      <c r="H323">
        <v>40</v>
      </c>
      <c r="I323">
        <v>61</v>
      </c>
      <c r="J323">
        <v>11</v>
      </c>
      <c r="K323">
        <v>125</v>
      </c>
      <c r="L323">
        <v>60</v>
      </c>
      <c r="M323">
        <v>20</v>
      </c>
      <c r="N323">
        <v>1995</v>
      </c>
      <c r="O323">
        <v>0.27</v>
      </c>
      <c r="P323">
        <v>2.4700000000000002</v>
      </c>
      <c r="Q323">
        <v>1.4999999999999999E-2</v>
      </c>
      <c r="R323">
        <v>60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>
      <c r="A324">
        <v>472.98185098108053</v>
      </c>
      <c r="B324">
        <v>63.000000000000007</v>
      </c>
      <c r="C324">
        <v>5.2553538997897826</v>
      </c>
      <c r="D324">
        <v>453.51244799999989</v>
      </c>
      <c r="E324">
        <v>689.68192304312504</v>
      </c>
      <c r="F324">
        <v>158.661824</v>
      </c>
      <c r="G324">
        <v>91.771335999999977</v>
      </c>
      <c r="H324">
        <v>39</v>
      </c>
      <c r="I324">
        <v>53</v>
      </c>
      <c r="J324">
        <v>11</v>
      </c>
      <c r="K324">
        <v>85</v>
      </c>
      <c r="L324">
        <v>59</v>
      </c>
      <c r="M324">
        <v>23</v>
      </c>
      <c r="N324">
        <v>1995</v>
      </c>
      <c r="O324">
        <v>0.27</v>
      </c>
      <c r="P324">
        <v>2.4700000000000002</v>
      </c>
      <c r="Q324">
        <v>1.4999999999999999E-2</v>
      </c>
      <c r="R324">
        <v>60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>
      <c r="A325">
        <v>419.66322593599028</v>
      </c>
      <c r="B325">
        <v>56.000000000000007</v>
      </c>
      <c r="C325">
        <v>5.2457903241998789</v>
      </c>
      <c r="D325">
        <v>537.82464000000004</v>
      </c>
      <c r="E325">
        <v>687.91927539513381</v>
      </c>
      <c r="F325">
        <v>198.85248000000001</v>
      </c>
      <c r="G325">
        <v>81.386880000000005</v>
      </c>
      <c r="H325">
        <v>8</v>
      </c>
      <c r="I325">
        <v>56</v>
      </c>
      <c r="J325">
        <v>5</v>
      </c>
      <c r="K325">
        <v>41</v>
      </c>
      <c r="L325">
        <v>57</v>
      </c>
      <c r="M325">
        <v>23</v>
      </c>
      <c r="N325">
        <v>1995</v>
      </c>
      <c r="O325">
        <v>0.27</v>
      </c>
      <c r="P325">
        <v>2.4700000000000002</v>
      </c>
      <c r="Q325">
        <v>1.4999999999999999E-2</v>
      </c>
      <c r="R325">
        <v>60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>
      <c r="A326">
        <v>471.80688159347932</v>
      </c>
      <c r="B326">
        <v>63.000000000000007</v>
      </c>
      <c r="C326">
        <v>5.2422986843719919</v>
      </c>
      <c r="D326">
        <v>475.33631999999989</v>
      </c>
      <c r="E326">
        <v>689.68192304312504</v>
      </c>
      <c r="F326">
        <v>158.44543999999999</v>
      </c>
      <c r="G326">
        <v>91.543360000000007</v>
      </c>
      <c r="H326">
        <v>39</v>
      </c>
      <c r="I326">
        <v>53</v>
      </c>
      <c r="J326">
        <v>11</v>
      </c>
      <c r="K326">
        <v>41</v>
      </c>
      <c r="L326">
        <v>59</v>
      </c>
      <c r="M326">
        <v>23</v>
      </c>
      <c r="N326">
        <v>1995</v>
      </c>
      <c r="O326">
        <v>0.27</v>
      </c>
      <c r="P326">
        <v>2.4700000000000002</v>
      </c>
      <c r="Q326">
        <v>1.4999999999999999E-2</v>
      </c>
      <c r="R326">
        <v>60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>
      <c r="A327">
        <v>419.19902200255478</v>
      </c>
      <c r="B327">
        <v>56.000000000000007</v>
      </c>
      <c r="C327">
        <v>5.2399877750319348</v>
      </c>
      <c r="D327">
        <v>492.51648000000012</v>
      </c>
      <c r="E327">
        <v>691.97245208395748</v>
      </c>
      <c r="F327">
        <v>198.85248000000001</v>
      </c>
      <c r="G327">
        <v>81.386880000000005</v>
      </c>
      <c r="H327">
        <v>8</v>
      </c>
      <c r="I327">
        <v>56</v>
      </c>
      <c r="J327">
        <v>5</v>
      </c>
      <c r="K327">
        <v>133</v>
      </c>
      <c r="L327">
        <v>57</v>
      </c>
      <c r="M327">
        <v>23</v>
      </c>
      <c r="N327">
        <v>1995</v>
      </c>
      <c r="O327">
        <v>0.27</v>
      </c>
      <c r="P327">
        <v>2.4700000000000002</v>
      </c>
      <c r="Q327">
        <v>1.4999999999999999E-2</v>
      </c>
      <c r="R327">
        <v>60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>
      <c r="A328">
        <v>334.8963962154541</v>
      </c>
      <c r="B328">
        <v>44.744</v>
      </c>
      <c r="C328">
        <v>5.2393053225196207</v>
      </c>
      <c r="D328">
        <v>428.94560000000001</v>
      </c>
      <c r="E328">
        <v>690.2970954356847</v>
      </c>
      <c r="F328">
        <v>364.79360000000003</v>
      </c>
      <c r="G328">
        <v>64.989919999999998</v>
      </c>
      <c r="H328">
        <v>38</v>
      </c>
      <c r="I328">
        <v>58</v>
      </c>
      <c r="J328">
        <v>8</v>
      </c>
      <c r="K328">
        <v>40</v>
      </c>
      <c r="L328">
        <v>54</v>
      </c>
      <c r="M328">
        <v>6</v>
      </c>
      <c r="N328">
        <v>1995</v>
      </c>
      <c r="O328">
        <v>0.27</v>
      </c>
      <c r="P328">
        <v>2.4700000000000002</v>
      </c>
      <c r="Q328">
        <v>1.4999999999999999E-2</v>
      </c>
      <c r="R328">
        <v>60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>
      <c r="A329">
        <v>334.48504321813698</v>
      </c>
      <c r="B329">
        <v>44.744</v>
      </c>
      <c r="C329">
        <v>5.2328698876429458</v>
      </c>
      <c r="D329">
        <v>427.024</v>
      </c>
      <c r="E329">
        <v>687.48862412536459</v>
      </c>
      <c r="F329">
        <v>362.87200000000001</v>
      </c>
      <c r="G329">
        <v>64.860320000000002</v>
      </c>
      <c r="H329">
        <v>26</v>
      </c>
      <c r="I329">
        <v>49</v>
      </c>
      <c r="J329">
        <v>1</v>
      </c>
      <c r="K329">
        <v>40</v>
      </c>
      <c r="L329">
        <v>81</v>
      </c>
      <c r="M329">
        <v>4</v>
      </c>
      <c r="N329">
        <v>1995</v>
      </c>
      <c r="O329">
        <v>0.27</v>
      </c>
      <c r="P329">
        <v>2.4700000000000002</v>
      </c>
      <c r="Q329">
        <v>1.4999999999999999E-2</v>
      </c>
      <c r="R329">
        <v>60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>
      <c r="A330">
        <v>334.23372990862811</v>
      </c>
      <c r="B330">
        <v>44.744000000000007</v>
      </c>
      <c r="C330">
        <v>5.2289382025755327</v>
      </c>
      <c r="D330">
        <v>828.04895999999997</v>
      </c>
      <c r="E330">
        <v>679.67865639446086</v>
      </c>
      <c r="F330">
        <v>675.38447999999994</v>
      </c>
      <c r="G330">
        <v>64.673280000000005</v>
      </c>
      <c r="H330">
        <v>40</v>
      </c>
      <c r="I330">
        <v>60</v>
      </c>
      <c r="J330">
        <v>11</v>
      </c>
      <c r="K330">
        <v>85</v>
      </c>
      <c r="L330">
        <v>60</v>
      </c>
      <c r="M330">
        <v>21</v>
      </c>
      <c r="N330">
        <v>1995</v>
      </c>
      <c r="O330">
        <v>0.27</v>
      </c>
      <c r="P330">
        <v>2.4700000000000002</v>
      </c>
      <c r="Q330">
        <v>1.4999999999999999E-2</v>
      </c>
      <c r="R330">
        <v>60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>
      <c r="A331">
        <v>418.17226188429947</v>
      </c>
      <c r="B331">
        <v>56.000000000000007</v>
      </c>
      <c r="C331">
        <v>5.2271532735537427</v>
      </c>
      <c r="D331">
        <v>406.03800000000001</v>
      </c>
      <c r="E331">
        <v>692.87800829875505</v>
      </c>
      <c r="F331">
        <v>205.61760000000001</v>
      </c>
      <c r="G331">
        <v>81.207599999999999</v>
      </c>
      <c r="H331">
        <v>53</v>
      </c>
      <c r="I331">
        <v>58</v>
      </c>
      <c r="J331">
        <v>13</v>
      </c>
      <c r="K331">
        <v>111</v>
      </c>
      <c r="L331">
        <v>51</v>
      </c>
      <c r="M331">
        <v>9</v>
      </c>
      <c r="N331">
        <v>1995</v>
      </c>
      <c r="O331">
        <v>0.27</v>
      </c>
      <c r="P331">
        <v>2.4700000000000002</v>
      </c>
      <c r="Q331">
        <v>1.4999999999999999E-2</v>
      </c>
      <c r="R331">
        <v>60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>
      <c r="A332">
        <v>469.54880168933192</v>
      </c>
      <c r="B332">
        <v>63.000000000000007</v>
      </c>
      <c r="C332">
        <v>5.2172089076592423</v>
      </c>
      <c r="D332">
        <v>430.82303999999999</v>
      </c>
      <c r="E332">
        <v>691.31741539124687</v>
      </c>
      <c r="F332">
        <v>158.44543999999999</v>
      </c>
      <c r="G332">
        <v>91.145920000000004</v>
      </c>
      <c r="H332">
        <v>39</v>
      </c>
      <c r="I332">
        <v>53</v>
      </c>
      <c r="J332">
        <v>11</v>
      </c>
      <c r="K332">
        <v>133</v>
      </c>
      <c r="L332">
        <v>58</v>
      </c>
      <c r="M332">
        <v>23</v>
      </c>
      <c r="N332">
        <v>1995</v>
      </c>
      <c r="O332">
        <v>0.27</v>
      </c>
      <c r="P332">
        <v>2.4700000000000002</v>
      </c>
      <c r="Q332">
        <v>1.4999999999999999E-2</v>
      </c>
      <c r="R332">
        <v>60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>
      <c r="A333">
        <v>478.53563067529058</v>
      </c>
      <c r="B333">
        <v>64.235294117647072</v>
      </c>
      <c r="C333">
        <v>5.2148113599230372</v>
      </c>
      <c r="D333">
        <v>476.94074999999992</v>
      </c>
      <c r="E333">
        <v>690.32035247580393</v>
      </c>
      <c r="F333">
        <v>159.43607900000001</v>
      </c>
      <c r="G333">
        <v>92.865107499999993</v>
      </c>
      <c r="H333">
        <v>39</v>
      </c>
      <c r="I333">
        <v>53</v>
      </c>
      <c r="J333">
        <v>11</v>
      </c>
      <c r="K333">
        <v>77</v>
      </c>
      <c r="L333">
        <v>59</v>
      </c>
      <c r="M333">
        <v>33</v>
      </c>
      <c r="N333">
        <v>1995</v>
      </c>
      <c r="O333">
        <v>0.27</v>
      </c>
      <c r="P333">
        <v>2.4700000000000002</v>
      </c>
      <c r="Q333">
        <v>1.4999999999999999E-2</v>
      </c>
      <c r="R333">
        <v>60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>
      <c r="A334">
        <v>342.48655975291882</v>
      </c>
      <c r="B334">
        <v>45.979294117647072</v>
      </c>
      <c r="C334">
        <v>5.2140990075580476</v>
      </c>
      <c r="D334">
        <v>848.41949999999997</v>
      </c>
      <c r="E334">
        <v>684.22340828810752</v>
      </c>
      <c r="F334">
        <v>675.27543000000003</v>
      </c>
      <c r="G334">
        <v>66.352650000000011</v>
      </c>
      <c r="H334">
        <v>40</v>
      </c>
      <c r="I334">
        <v>60</v>
      </c>
      <c r="J334">
        <v>11</v>
      </c>
      <c r="K334">
        <v>77</v>
      </c>
      <c r="L334">
        <v>60</v>
      </c>
      <c r="M334">
        <v>31</v>
      </c>
      <c r="N334">
        <v>1995</v>
      </c>
      <c r="O334">
        <v>0.27</v>
      </c>
      <c r="P334">
        <v>2.4700000000000002</v>
      </c>
      <c r="Q334">
        <v>1.4999999999999999E-2</v>
      </c>
      <c r="R334">
        <v>60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>
      <c r="A335">
        <v>364.92895683505043</v>
      </c>
      <c r="B335">
        <v>49</v>
      </c>
      <c r="C335">
        <v>5.2132708119292923</v>
      </c>
      <c r="D335">
        <v>449.28800000000012</v>
      </c>
      <c r="E335">
        <v>686.31312182133888</v>
      </c>
      <c r="F335">
        <v>170.184</v>
      </c>
      <c r="G335">
        <v>70.741</v>
      </c>
      <c r="H335">
        <v>7</v>
      </c>
      <c r="I335">
        <v>56</v>
      </c>
      <c r="J335">
        <v>5</v>
      </c>
      <c r="K335">
        <v>319</v>
      </c>
      <c r="L335">
        <v>57</v>
      </c>
      <c r="M335">
        <v>25</v>
      </c>
      <c r="N335">
        <v>1995</v>
      </c>
      <c r="O335">
        <v>0.27</v>
      </c>
      <c r="P335">
        <v>2.4700000000000002</v>
      </c>
      <c r="Q335">
        <v>1.4999999999999999E-2</v>
      </c>
      <c r="R335">
        <v>60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>
      <c r="A336">
        <v>417.04671962066533</v>
      </c>
      <c r="B336">
        <v>56</v>
      </c>
      <c r="C336">
        <v>5.2130839952583168</v>
      </c>
      <c r="D336">
        <v>511.42079999999999</v>
      </c>
      <c r="E336">
        <v>690.9128630705394</v>
      </c>
      <c r="F336">
        <v>196.9776</v>
      </c>
      <c r="G336">
        <v>80.945599999999999</v>
      </c>
      <c r="H336">
        <v>8</v>
      </c>
      <c r="I336">
        <v>57</v>
      </c>
      <c r="J336">
        <v>5</v>
      </c>
      <c r="K336">
        <v>178</v>
      </c>
      <c r="L336">
        <v>55</v>
      </c>
      <c r="M336">
        <v>2</v>
      </c>
      <c r="N336">
        <v>1995</v>
      </c>
      <c r="O336">
        <v>0.27</v>
      </c>
      <c r="P336">
        <v>2.4700000000000002</v>
      </c>
      <c r="Q336">
        <v>1.4999999999999999E-2</v>
      </c>
      <c r="R336">
        <v>60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>
      <c r="A337">
        <v>478.36005444741431</v>
      </c>
      <c r="B337">
        <v>64.235294117647072</v>
      </c>
      <c r="C337">
        <v>5.2128980292346423</v>
      </c>
      <c r="D337">
        <v>476.84669999999988</v>
      </c>
      <c r="E337">
        <v>690.32035247580393</v>
      </c>
      <c r="F337">
        <v>159.40410199999999</v>
      </c>
      <c r="G337">
        <v>92.831035</v>
      </c>
      <c r="H337">
        <v>39</v>
      </c>
      <c r="I337">
        <v>53</v>
      </c>
      <c r="J337">
        <v>11</v>
      </c>
      <c r="K337">
        <v>312</v>
      </c>
      <c r="L337">
        <v>59</v>
      </c>
      <c r="M337">
        <v>33</v>
      </c>
      <c r="N337">
        <v>1995</v>
      </c>
      <c r="O337">
        <v>0.27</v>
      </c>
      <c r="P337">
        <v>2.4700000000000002</v>
      </c>
      <c r="Q337">
        <v>1.4999999999999999E-2</v>
      </c>
      <c r="R337">
        <v>60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>
      <c r="A338">
        <v>333.13976040612158</v>
      </c>
      <c r="B338">
        <v>44.744000000000007</v>
      </c>
      <c r="C338">
        <v>5.2118235357653573</v>
      </c>
      <c r="D338">
        <v>849.39840000000004</v>
      </c>
      <c r="E338">
        <v>679.67865639446086</v>
      </c>
      <c r="F338">
        <v>675.17280000000005</v>
      </c>
      <c r="G338">
        <v>64.461600000000004</v>
      </c>
      <c r="H338">
        <v>40</v>
      </c>
      <c r="I338">
        <v>60</v>
      </c>
      <c r="J338">
        <v>11</v>
      </c>
      <c r="K338">
        <v>41</v>
      </c>
      <c r="L338">
        <v>60</v>
      </c>
      <c r="M338">
        <v>21</v>
      </c>
      <c r="N338">
        <v>1995</v>
      </c>
      <c r="O338">
        <v>0.27</v>
      </c>
      <c r="P338">
        <v>2.4700000000000002</v>
      </c>
      <c r="Q338">
        <v>1.4999999999999999E-2</v>
      </c>
      <c r="R338">
        <v>60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>
      <c r="A339">
        <v>342.31854931897311</v>
      </c>
      <c r="B339">
        <v>45.979294117647072</v>
      </c>
      <c r="C339">
        <v>5.2115411756900532</v>
      </c>
      <c r="D339">
        <v>849.42</v>
      </c>
      <c r="E339">
        <v>684.22340828810752</v>
      </c>
      <c r="F339">
        <v>675.61559999999997</v>
      </c>
      <c r="G339">
        <v>66.320100000000011</v>
      </c>
      <c r="H339">
        <v>40</v>
      </c>
      <c r="I339">
        <v>60</v>
      </c>
      <c r="J339">
        <v>11</v>
      </c>
      <c r="K339">
        <v>312</v>
      </c>
      <c r="L339">
        <v>60</v>
      </c>
      <c r="M339">
        <v>31</v>
      </c>
      <c r="N339">
        <v>1995</v>
      </c>
      <c r="O339">
        <v>0.27</v>
      </c>
      <c r="P339">
        <v>2.4700000000000002</v>
      </c>
      <c r="Q339">
        <v>1.4999999999999999E-2</v>
      </c>
      <c r="R339">
        <v>60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>
      <c r="A340">
        <v>426.68095151602779</v>
      </c>
      <c r="B340">
        <v>57.358208955223901</v>
      </c>
      <c r="C340">
        <v>5.2072174410881349</v>
      </c>
      <c r="D340">
        <v>536.90124000000003</v>
      </c>
      <c r="E340">
        <v>689.15285090912357</v>
      </c>
      <c r="F340">
        <v>198.6564114</v>
      </c>
      <c r="G340">
        <v>82.775741999999994</v>
      </c>
      <c r="H340">
        <v>8</v>
      </c>
      <c r="I340">
        <v>56</v>
      </c>
      <c r="J340">
        <v>5</v>
      </c>
      <c r="K340">
        <v>316</v>
      </c>
      <c r="L340">
        <v>57</v>
      </c>
      <c r="M340">
        <v>28</v>
      </c>
      <c r="N340">
        <v>1995</v>
      </c>
      <c r="O340">
        <v>0.27</v>
      </c>
      <c r="P340">
        <v>2.4700000000000002</v>
      </c>
      <c r="Q340">
        <v>1.4999999999999999E-2</v>
      </c>
      <c r="R340">
        <v>60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>
      <c r="A341">
        <v>332.78478460852767</v>
      </c>
      <c r="B341">
        <v>44.744000000000007</v>
      </c>
      <c r="C341">
        <v>5.2062700971296563</v>
      </c>
      <c r="D341">
        <v>805.8528</v>
      </c>
      <c r="E341">
        <v>683.57415801758657</v>
      </c>
      <c r="F341">
        <v>675.17280000000005</v>
      </c>
      <c r="G341">
        <v>64.461600000000004</v>
      </c>
      <c r="H341">
        <v>40</v>
      </c>
      <c r="I341">
        <v>60</v>
      </c>
      <c r="J341">
        <v>11</v>
      </c>
      <c r="K341">
        <v>133</v>
      </c>
      <c r="L341">
        <v>60</v>
      </c>
      <c r="M341">
        <v>21</v>
      </c>
      <c r="N341">
        <v>1995</v>
      </c>
      <c r="O341">
        <v>0.27</v>
      </c>
      <c r="P341">
        <v>2.4700000000000002</v>
      </c>
      <c r="Q341">
        <v>1.4999999999999999E-2</v>
      </c>
      <c r="R341">
        <v>60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>
      <c r="A342">
        <v>476.88369533635131</v>
      </c>
      <c r="B342">
        <v>64.358208955223901</v>
      </c>
      <c r="C342">
        <v>5.186884348625898</v>
      </c>
      <c r="D342">
        <v>474.42912000000001</v>
      </c>
      <c r="E342">
        <v>691.0697096718535</v>
      </c>
      <c r="F342">
        <v>158.2528112</v>
      </c>
      <c r="G342">
        <v>92.563465499999992</v>
      </c>
      <c r="H342">
        <v>39</v>
      </c>
      <c r="I342">
        <v>54</v>
      </c>
      <c r="J342">
        <v>11</v>
      </c>
      <c r="K342">
        <v>316</v>
      </c>
      <c r="L342">
        <v>57</v>
      </c>
      <c r="M342">
        <v>27</v>
      </c>
      <c r="N342">
        <v>1995</v>
      </c>
      <c r="O342">
        <v>0.27</v>
      </c>
      <c r="P342">
        <v>2.4700000000000002</v>
      </c>
      <c r="Q342">
        <v>1.4999999999999999E-2</v>
      </c>
      <c r="R342">
        <v>60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>
      <c r="A343">
        <v>331.10604921891252</v>
      </c>
      <c r="B343">
        <v>44.744</v>
      </c>
      <c r="C343">
        <v>5.1800070278302943</v>
      </c>
      <c r="D343">
        <v>427.024</v>
      </c>
      <c r="E343">
        <v>688.51145996795981</v>
      </c>
      <c r="F343">
        <v>362.87200000000001</v>
      </c>
      <c r="G343">
        <v>64.223039999999997</v>
      </c>
      <c r="H343">
        <v>18</v>
      </c>
      <c r="I343">
        <v>48</v>
      </c>
      <c r="J343">
        <v>1</v>
      </c>
      <c r="K343">
        <v>40</v>
      </c>
      <c r="L343">
        <v>82</v>
      </c>
      <c r="M343">
        <v>4</v>
      </c>
      <c r="N343">
        <v>1995</v>
      </c>
      <c r="O343">
        <v>0.27</v>
      </c>
      <c r="P343">
        <v>2.4700000000000002</v>
      </c>
      <c r="Q343">
        <v>1.4999999999999999E-2</v>
      </c>
      <c r="R343">
        <v>60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>
      <c r="A344">
        <v>414.14055925920178</v>
      </c>
      <c r="B344">
        <v>56</v>
      </c>
      <c r="C344">
        <v>5.1767569907400226</v>
      </c>
      <c r="D344">
        <v>488.99200000000002</v>
      </c>
      <c r="E344">
        <v>691.46263732105047</v>
      </c>
      <c r="F344">
        <v>194.768</v>
      </c>
      <c r="G344">
        <v>80.393600000000006</v>
      </c>
      <c r="H344">
        <v>52</v>
      </c>
      <c r="I344">
        <v>56</v>
      </c>
      <c r="J344">
        <v>12</v>
      </c>
      <c r="K344">
        <v>148</v>
      </c>
      <c r="L344">
        <v>56</v>
      </c>
      <c r="M344">
        <v>28</v>
      </c>
      <c r="N344">
        <v>1995</v>
      </c>
      <c r="O344">
        <v>0.27</v>
      </c>
      <c r="P344">
        <v>2.4700000000000002</v>
      </c>
      <c r="Q344">
        <v>1.4999999999999999E-2</v>
      </c>
      <c r="R344">
        <v>60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>
      <c r="A345">
        <v>330.82062920089231</v>
      </c>
      <c r="B345">
        <v>44.744</v>
      </c>
      <c r="C345">
        <v>5.1755417584620194</v>
      </c>
      <c r="D345">
        <v>469.13600000000002</v>
      </c>
      <c r="E345">
        <v>691.66987418082385</v>
      </c>
      <c r="F345">
        <v>362.87200000000001</v>
      </c>
      <c r="G345">
        <v>64.223039999999997</v>
      </c>
      <c r="H345">
        <v>46</v>
      </c>
      <c r="I345">
        <v>48</v>
      </c>
      <c r="J345">
        <v>1</v>
      </c>
      <c r="K345">
        <v>40</v>
      </c>
      <c r="L345">
        <v>82</v>
      </c>
      <c r="M345">
        <v>4</v>
      </c>
      <c r="N345">
        <v>1995</v>
      </c>
      <c r="O345">
        <v>0.27</v>
      </c>
      <c r="P345">
        <v>2.4700000000000002</v>
      </c>
      <c r="Q345">
        <v>1.4999999999999999E-2</v>
      </c>
      <c r="R345">
        <v>60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>
      <c r="A346">
        <v>329.98514652558561</v>
      </c>
      <c r="B346">
        <v>44.744000000000007</v>
      </c>
      <c r="C346">
        <v>5.1624710032162948</v>
      </c>
      <c r="D346">
        <v>434.05599999999998</v>
      </c>
      <c r="E346">
        <v>688.57872589057365</v>
      </c>
      <c r="F346">
        <v>368.71600000000001</v>
      </c>
      <c r="G346">
        <v>64.006800000000013</v>
      </c>
      <c r="H346">
        <v>15</v>
      </c>
      <c r="I346">
        <v>66</v>
      </c>
      <c r="J346">
        <v>1</v>
      </c>
      <c r="K346">
        <v>40</v>
      </c>
      <c r="L346">
        <v>55</v>
      </c>
      <c r="M346">
        <v>6</v>
      </c>
      <c r="N346">
        <v>1995</v>
      </c>
      <c r="O346">
        <v>0.27</v>
      </c>
      <c r="P346">
        <v>2.4700000000000002</v>
      </c>
      <c r="Q346">
        <v>1.4999999999999999E-2</v>
      </c>
      <c r="R346">
        <v>60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>
      <c r="A347">
        <v>412.83527722892632</v>
      </c>
      <c r="B347">
        <v>56</v>
      </c>
      <c r="C347">
        <v>5.1604409653615786</v>
      </c>
      <c r="D347">
        <v>511.08384000000001</v>
      </c>
      <c r="E347">
        <v>689.93858921161836</v>
      </c>
      <c r="F347">
        <v>196.80912000000001</v>
      </c>
      <c r="G347">
        <v>80.106880000000004</v>
      </c>
      <c r="H347">
        <v>8</v>
      </c>
      <c r="I347">
        <v>56</v>
      </c>
      <c r="J347">
        <v>5</v>
      </c>
      <c r="K347">
        <v>1</v>
      </c>
      <c r="L347">
        <v>56</v>
      </c>
      <c r="M347">
        <v>4</v>
      </c>
      <c r="N347">
        <v>1995</v>
      </c>
      <c r="O347">
        <v>0.27</v>
      </c>
      <c r="P347">
        <v>2.4700000000000002</v>
      </c>
      <c r="Q347">
        <v>1.4999999999999999E-2</v>
      </c>
      <c r="R347">
        <v>60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>
      <c r="A348">
        <v>412.75472285730689</v>
      </c>
      <c r="B348">
        <v>56.000000000000007</v>
      </c>
      <c r="C348">
        <v>5.1594340357163366</v>
      </c>
      <c r="D348">
        <v>574.96799999999996</v>
      </c>
      <c r="E348">
        <v>688.88464730290457</v>
      </c>
      <c r="F348">
        <v>197.35560000000001</v>
      </c>
      <c r="G348">
        <v>80.06819999999999</v>
      </c>
      <c r="H348">
        <v>9</v>
      </c>
      <c r="I348">
        <v>53</v>
      </c>
      <c r="J348">
        <v>4</v>
      </c>
      <c r="K348">
        <v>111</v>
      </c>
      <c r="L348">
        <v>57</v>
      </c>
      <c r="M348">
        <v>9</v>
      </c>
      <c r="N348">
        <v>1995</v>
      </c>
      <c r="O348">
        <v>0.27</v>
      </c>
      <c r="P348">
        <v>2.4700000000000002</v>
      </c>
      <c r="Q348">
        <v>1.4999999999999999E-2</v>
      </c>
      <c r="R348">
        <v>60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>
      <c r="A349">
        <v>412.02954968586459</v>
      </c>
      <c r="B349">
        <v>56.000000000000007</v>
      </c>
      <c r="C349">
        <v>5.1503693710733067</v>
      </c>
      <c r="D349">
        <v>504.38457599999998</v>
      </c>
      <c r="E349">
        <v>687.92531120331944</v>
      </c>
      <c r="F349">
        <v>194.50828799999999</v>
      </c>
      <c r="G349">
        <v>79.906584000000009</v>
      </c>
      <c r="H349">
        <v>8</v>
      </c>
      <c r="I349">
        <v>55</v>
      </c>
      <c r="J349">
        <v>5</v>
      </c>
      <c r="K349">
        <v>331</v>
      </c>
      <c r="L349">
        <v>58</v>
      </c>
      <c r="M349">
        <v>9</v>
      </c>
      <c r="N349">
        <v>1995</v>
      </c>
      <c r="O349">
        <v>0.27</v>
      </c>
      <c r="P349">
        <v>2.4700000000000002</v>
      </c>
      <c r="Q349">
        <v>1.4999999999999999E-2</v>
      </c>
      <c r="R349">
        <v>60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>
      <c r="A350">
        <v>329.04431816059179</v>
      </c>
      <c r="B350">
        <v>44.744</v>
      </c>
      <c r="C350">
        <v>5.1477521614610744</v>
      </c>
      <c r="D350">
        <v>418.608</v>
      </c>
      <c r="E350">
        <v>692.78261670849724</v>
      </c>
      <c r="F350">
        <v>356.04</v>
      </c>
      <c r="G350">
        <v>63.897599999999997</v>
      </c>
      <c r="H350">
        <v>29</v>
      </c>
      <c r="I350">
        <v>45</v>
      </c>
      <c r="J350">
        <v>2</v>
      </c>
      <c r="K350">
        <v>40</v>
      </c>
      <c r="L350">
        <v>80</v>
      </c>
      <c r="M350">
        <v>4</v>
      </c>
      <c r="N350">
        <v>1995</v>
      </c>
      <c r="O350">
        <v>0.27</v>
      </c>
      <c r="P350">
        <v>2.4700000000000002</v>
      </c>
      <c r="Q350">
        <v>1.4999999999999999E-2</v>
      </c>
      <c r="R350">
        <v>60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>
      <c r="A351">
        <v>338.66867956350279</v>
      </c>
      <c r="B351">
        <v>46.102208955223887</v>
      </c>
      <c r="C351">
        <v>5.1422281289102854</v>
      </c>
      <c r="D351">
        <v>861.399</v>
      </c>
      <c r="E351">
        <v>684.63779801402029</v>
      </c>
      <c r="F351">
        <v>685.81408499999998</v>
      </c>
      <c r="G351">
        <v>65.620417500000016</v>
      </c>
      <c r="H351">
        <v>40</v>
      </c>
      <c r="I351">
        <v>61</v>
      </c>
      <c r="J351">
        <v>11</v>
      </c>
      <c r="K351">
        <v>316</v>
      </c>
      <c r="L351">
        <v>59</v>
      </c>
      <c r="M351">
        <v>25</v>
      </c>
      <c r="N351">
        <v>1995</v>
      </c>
      <c r="O351">
        <v>0.27</v>
      </c>
      <c r="P351">
        <v>2.4700000000000002</v>
      </c>
      <c r="Q351">
        <v>1.4999999999999999E-2</v>
      </c>
      <c r="R351">
        <v>60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>
      <c r="A352">
        <v>328.37427254085009</v>
      </c>
      <c r="B352">
        <v>44.744</v>
      </c>
      <c r="C352">
        <v>5.1372695954450904</v>
      </c>
      <c r="D352">
        <v>418.21120000000002</v>
      </c>
      <c r="E352">
        <v>692.32494588881252</v>
      </c>
      <c r="F352">
        <v>355.64319999999998</v>
      </c>
      <c r="G352">
        <v>63.759520000000002</v>
      </c>
      <c r="H352">
        <v>24</v>
      </c>
      <c r="I352">
        <v>44</v>
      </c>
      <c r="J352">
        <v>2</v>
      </c>
      <c r="K352">
        <v>40</v>
      </c>
      <c r="L352">
        <v>81</v>
      </c>
      <c r="M352">
        <v>4</v>
      </c>
      <c r="N352">
        <v>1995</v>
      </c>
      <c r="O352">
        <v>0.27</v>
      </c>
      <c r="P352">
        <v>2.4700000000000002</v>
      </c>
      <c r="Q352">
        <v>1.4999999999999999E-2</v>
      </c>
      <c r="R352">
        <v>60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>
      <c r="A353">
        <v>327.97779699501859</v>
      </c>
      <c r="B353">
        <v>44.744</v>
      </c>
      <c r="C353">
        <v>5.1310669116867738</v>
      </c>
      <c r="D353">
        <v>942.36350000000004</v>
      </c>
      <c r="E353">
        <v>681.4962384920359</v>
      </c>
      <c r="F353">
        <v>643.29999999999995</v>
      </c>
      <c r="G353">
        <v>63.49436</v>
      </c>
      <c r="H353">
        <v>40</v>
      </c>
      <c r="I353">
        <v>57</v>
      </c>
      <c r="J353">
        <v>11</v>
      </c>
      <c r="K353">
        <v>148</v>
      </c>
      <c r="L353">
        <v>62</v>
      </c>
      <c r="M353">
        <v>25</v>
      </c>
      <c r="N353">
        <v>1995</v>
      </c>
      <c r="O353">
        <v>0.27</v>
      </c>
      <c r="P353">
        <v>2.4700000000000002</v>
      </c>
      <c r="Q353">
        <v>1.4999999999999999E-2</v>
      </c>
      <c r="R353">
        <v>60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>
      <c r="A354">
        <v>461.59170555130009</v>
      </c>
      <c r="B354">
        <v>63</v>
      </c>
      <c r="C354">
        <v>5.1287967283477789</v>
      </c>
      <c r="D354">
        <v>447.68544000000003</v>
      </c>
      <c r="E354">
        <v>688.10290456431539</v>
      </c>
      <c r="F354">
        <v>156.09871999999999</v>
      </c>
      <c r="G354">
        <v>89.522720000000007</v>
      </c>
      <c r="H354">
        <v>39</v>
      </c>
      <c r="I354">
        <v>59</v>
      </c>
      <c r="J354">
        <v>10</v>
      </c>
      <c r="K354">
        <v>1</v>
      </c>
      <c r="L354">
        <v>54</v>
      </c>
      <c r="M354">
        <v>4</v>
      </c>
      <c r="N354">
        <v>1995</v>
      </c>
      <c r="O354">
        <v>0.27</v>
      </c>
      <c r="P354">
        <v>2.4700000000000002</v>
      </c>
      <c r="Q354">
        <v>1.4999999999999999E-2</v>
      </c>
      <c r="R354">
        <v>60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>
      <c r="A355">
        <v>326.64384402144913</v>
      </c>
      <c r="B355">
        <v>44.744000000000007</v>
      </c>
      <c r="C355">
        <v>5.1101978100977634</v>
      </c>
      <c r="D355">
        <v>434.05599999999998</v>
      </c>
      <c r="E355">
        <v>688.67742633472551</v>
      </c>
      <c r="F355">
        <v>368.71600000000001</v>
      </c>
      <c r="G355">
        <v>63.360400000000013</v>
      </c>
      <c r="H355">
        <v>30</v>
      </c>
      <c r="I355">
        <v>65</v>
      </c>
      <c r="J355">
        <v>1</v>
      </c>
      <c r="K355">
        <v>40</v>
      </c>
      <c r="L355">
        <v>55</v>
      </c>
      <c r="M355">
        <v>6</v>
      </c>
      <c r="N355">
        <v>1995</v>
      </c>
      <c r="O355">
        <v>0.27</v>
      </c>
      <c r="P355">
        <v>2.4700000000000002</v>
      </c>
      <c r="Q355">
        <v>1.4999999999999999E-2</v>
      </c>
      <c r="R355">
        <v>60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>
      <c r="A356">
        <v>326.43678972997913</v>
      </c>
      <c r="B356">
        <v>44.744</v>
      </c>
      <c r="C356">
        <v>5.1069585377030524</v>
      </c>
      <c r="D356">
        <v>427.024</v>
      </c>
      <c r="E356">
        <v>689.07076248482122</v>
      </c>
      <c r="F356">
        <v>362.87200000000001</v>
      </c>
      <c r="G356">
        <v>63.327039999999997</v>
      </c>
      <c r="H356">
        <v>27</v>
      </c>
      <c r="I356">
        <v>47</v>
      </c>
      <c r="J356">
        <v>1</v>
      </c>
      <c r="K356">
        <v>40</v>
      </c>
      <c r="L356">
        <v>82</v>
      </c>
      <c r="M356">
        <v>4</v>
      </c>
      <c r="N356">
        <v>1995</v>
      </c>
      <c r="O356">
        <v>0.27</v>
      </c>
      <c r="P356">
        <v>2.4700000000000002</v>
      </c>
      <c r="Q356">
        <v>1.4999999999999999E-2</v>
      </c>
      <c r="R356">
        <v>60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>
      <c r="A357">
        <v>383.0196967554383</v>
      </c>
      <c r="B357">
        <v>52.500000000000007</v>
      </c>
      <c r="C357">
        <v>5.1069292900725101</v>
      </c>
      <c r="D357">
        <v>466.8</v>
      </c>
      <c r="E357">
        <v>690.34454907509735</v>
      </c>
      <c r="F357">
        <v>226.4016</v>
      </c>
      <c r="G357">
        <v>74.329679999999996</v>
      </c>
      <c r="H357">
        <v>22</v>
      </c>
      <c r="I357">
        <v>46</v>
      </c>
      <c r="J357">
        <v>4</v>
      </c>
      <c r="K357">
        <v>165</v>
      </c>
      <c r="L357">
        <v>63</v>
      </c>
      <c r="M357">
        <v>18</v>
      </c>
      <c r="N357">
        <v>1995</v>
      </c>
      <c r="O357">
        <v>0.27</v>
      </c>
      <c r="P357">
        <v>2.4700000000000002</v>
      </c>
      <c r="Q357">
        <v>1.4999999999999999E-2</v>
      </c>
      <c r="R357">
        <v>60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>
      <c r="A358">
        <v>326.34525155997108</v>
      </c>
      <c r="B358">
        <v>44.744000000000007</v>
      </c>
      <c r="C358">
        <v>5.1055264637041793</v>
      </c>
      <c r="D358">
        <v>736.62059999999997</v>
      </c>
      <c r="E358">
        <v>686.93775933609959</v>
      </c>
      <c r="F358">
        <v>617.82060000000001</v>
      </c>
      <c r="G358">
        <v>63.272399999999998</v>
      </c>
      <c r="H358">
        <v>40</v>
      </c>
      <c r="I358">
        <v>60</v>
      </c>
      <c r="J358">
        <v>10</v>
      </c>
      <c r="K358">
        <v>155</v>
      </c>
      <c r="L358">
        <v>60</v>
      </c>
      <c r="M358">
        <v>38</v>
      </c>
      <c r="N358">
        <v>1995</v>
      </c>
      <c r="O358">
        <v>0.27</v>
      </c>
      <c r="P358">
        <v>2.4700000000000002</v>
      </c>
      <c r="Q358">
        <v>1.4999999999999999E-2</v>
      </c>
      <c r="R358">
        <v>60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>
      <c r="A359">
        <v>357.25089253047747</v>
      </c>
      <c r="B359">
        <v>49</v>
      </c>
      <c r="C359">
        <v>5.1035841790068224</v>
      </c>
      <c r="D359">
        <v>1015.3920000000001</v>
      </c>
      <c r="E359">
        <v>680.57487577203506</v>
      </c>
      <c r="F359">
        <v>166.08959999999999</v>
      </c>
      <c r="G359">
        <v>69.144000000000005</v>
      </c>
      <c r="H359">
        <v>2</v>
      </c>
      <c r="I359">
        <v>52</v>
      </c>
      <c r="J359">
        <v>8</v>
      </c>
      <c r="K359">
        <v>127</v>
      </c>
      <c r="L359">
        <v>58</v>
      </c>
      <c r="M359">
        <v>22</v>
      </c>
      <c r="N359">
        <v>1995</v>
      </c>
      <c r="O359">
        <v>0.27</v>
      </c>
      <c r="P359">
        <v>2.4700000000000002</v>
      </c>
      <c r="Q359">
        <v>1.4999999999999999E-2</v>
      </c>
      <c r="R359">
        <v>60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>
      <c r="A360">
        <v>407.76339177351588</v>
      </c>
      <c r="B360">
        <v>56</v>
      </c>
      <c r="C360">
        <v>5.0970423971689494</v>
      </c>
      <c r="D360">
        <v>510.62160000000011</v>
      </c>
      <c r="E360">
        <v>689.46058091286318</v>
      </c>
      <c r="F360">
        <v>196.578</v>
      </c>
      <c r="G360">
        <v>79.112400000000008</v>
      </c>
      <c r="H360">
        <v>8</v>
      </c>
      <c r="I360">
        <v>56</v>
      </c>
      <c r="J360">
        <v>5</v>
      </c>
      <c r="K360">
        <v>177</v>
      </c>
      <c r="L360">
        <v>54</v>
      </c>
      <c r="M360">
        <v>2</v>
      </c>
      <c r="N360">
        <v>1995</v>
      </c>
      <c r="O360">
        <v>0.27</v>
      </c>
      <c r="P360">
        <v>2.4700000000000002</v>
      </c>
      <c r="Q360">
        <v>1.4999999999999999E-2</v>
      </c>
      <c r="R360">
        <v>60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>
      <c r="A361">
        <v>458.48938076512212</v>
      </c>
      <c r="B361">
        <v>63.000000000000007</v>
      </c>
      <c r="C361">
        <v>5.0943264529458014</v>
      </c>
      <c r="D361">
        <v>448.61027999999999</v>
      </c>
      <c r="E361">
        <v>683.82572614107892</v>
      </c>
      <c r="F361">
        <v>156.56113999999999</v>
      </c>
      <c r="G361">
        <v>88.817139999999995</v>
      </c>
      <c r="H361">
        <v>39</v>
      </c>
      <c r="I361">
        <v>58</v>
      </c>
      <c r="J361">
        <v>10</v>
      </c>
      <c r="K361">
        <v>331</v>
      </c>
      <c r="L361">
        <v>55</v>
      </c>
      <c r="M361">
        <v>9</v>
      </c>
      <c r="N361">
        <v>1995</v>
      </c>
      <c r="O361">
        <v>0.27</v>
      </c>
      <c r="P361">
        <v>2.4700000000000002</v>
      </c>
      <c r="Q361">
        <v>1.4999999999999999E-2</v>
      </c>
      <c r="R361">
        <v>60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>
      <c r="A362">
        <v>324.75688167810432</v>
      </c>
      <c r="B362">
        <v>44.744000000000007</v>
      </c>
      <c r="C362">
        <v>5.0806771226236576</v>
      </c>
      <c r="D362">
        <v>424.08</v>
      </c>
      <c r="E362">
        <v>688.66938067860303</v>
      </c>
      <c r="F362">
        <v>359.928</v>
      </c>
      <c r="G362">
        <v>62.994239999999998</v>
      </c>
      <c r="H362">
        <v>31</v>
      </c>
      <c r="I362">
        <v>48</v>
      </c>
      <c r="J362">
        <v>1</v>
      </c>
      <c r="K362">
        <v>40</v>
      </c>
      <c r="L362">
        <v>82</v>
      </c>
      <c r="M362">
        <v>4</v>
      </c>
      <c r="N362">
        <v>1995</v>
      </c>
      <c r="O362">
        <v>0.27</v>
      </c>
      <c r="P362">
        <v>2.4700000000000002</v>
      </c>
      <c r="Q362">
        <v>1.4999999999999999E-2</v>
      </c>
      <c r="R362">
        <v>60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>
      <c r="A363">
        <v>456.79091317916709</v>
      </c>
      <c r="B363">
        <v>63.000000000000007</v>
      </c>
      <c r="C363">
        <v>5.0754545908796347</v>
      </c>
      <c r="D363">
        <v>427.19441999999998</v>
      </c>
      <c r="E363">
        <v>683.25975103734436</v>
      </c>
      <c r="F363">
        <v>156.21842000000001</v>
      </c>
      <c r="G363">
        <v>88.474419999999995</v>
      </c>
      <c r="H363">
        <v>39</v>
      </c>
      <c r="I363">
        <v>58</v>
      </c>
      <c r="J363">
        <v>10</v>
      </c>
      <c r="K363">
        <v>317</v>
      </c>
      <c r="L363">
        <v>53</v>
      </c>
      <c r="M363">
        <v>4</v>
      </c>
      <c r="N363">
        <v>1995</v>
      </c>
      <c r="O363">
        <v>0.27</v>
      </c>
      <c r="P363">
        <v>2.4700000000000002</v>
      </c>
      <c r="Q363">
        <v>1.4999999999999999E-2</v>
      </c>
      <c r="R363">
        <v>60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>
      <c r="A364">
        <v>324.2404521079182</v>
      </c>
      <c r="B364">
        <v>44.744</v>
      </c>
      <c r="C364">
        <v>5.0725978114505352</v>
      </c>
      <c r="D364">
        <v>419.84</v>
      </c>
      <c r="E364">
        <v>691.20340960206522</v>
      </c>
      <c r="F364">
        <v>356.48</v>
      </c>
      <c r="G364">
        <v>62.937600000000003</v>
      </c>
      <c r="H364">
        <v>120</v>
      </c>
      <c r="I364">
        <v>66</v>
      </c>
      <c r="J364">
        <v>2</v>
      </c>
      <c r="K364">
        <v>40</v>
      </c>
      <c r="L364">
        <v>64</v>
      </c>
      <c r="M364">
        <v>5</v>
      </c>
      <c r="N364">
        <v>1995</v>
      </c>
      <c r="O364">
        <v>0.27</v>
      </c>
      <c r="P364">
        <v>2.4700000000000002</v>
      </c>
      <c r="Q364">
        <v>1.4999999999999999E-2</v>
      </c>
      <c r="R364">
        <v>60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>
      <c r="A365">
        <v>323.77903378528282</v>
      </c>
      <c r="B365">
        <v>44.743999999999993</v>
      </c>
      <c r="C365">
        <v>5.0653791268035491</v>
      </c>
      <c r="D365">
        <v>767.08488</v>
      </c>
      <c r="E365">
        <v>686.26058091286313</v>
      </c>
      <c r="F365">
        <v>642.93888000000004</v>
      </c>
      <c r="G365">
        <v>62.763240000000003</v>
      </c>
      <c r="H365">
        <v>40</v>
      </c>
      <c r="I365">
        <v>57</v>
      </c>
      <c r="J365">
        <v>11</v>
      </c>
      <c r="K365">
        <v>62</v>
      </c>
      <c r="L365">
        <v>61</v>
      </c>
      <c r="M365">
        <v>24</v>
      </c>
      <c r="N365">
        <v>1995</v>
      </c>
      <c r="O365">
        <v>0.27</v>
      </c>
      <c r="P365">
        <v>2.4700000000000002</v>
      </c>
      <c r="Q365">
        <v>1.4999999999999999E-2</v>
      </c>
      <c r="R365">
        <v>60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>
      <c r="A366">
        <v>379.70825311613231</v>
      </c>
      <c r="B366">
        <v>52.5</v>
      </c>
      <c r="C366">
        <v>5.0627767082150976</v>
      </c>
      <c r="D366">
        <v>523.23599999999999</v>
      </c>
      <c r="E366">
        <v>690.89460580912851</v>
      </c>
      <c r="F366">
        <v>229.8552</v>
      </c>
      <c r="G366">
        <v>73.698119999999989</v>
      </c>
      <c r="H366">
        <v>22</v>
      </c>
      <c r="I366">
        <v>47</v>
      </c>
      <c r="J366">
        <v>4</v>
      </c>
      <c r="K366">
        <v>112</v>
      </c>
      <c r="L366">
        <v>61</v>
      </c>
      <c r="M366">
        <v>2</v>
      </c>
      <c r="N366">
        <v>1995</v>
      </c>
      <c r="O366">
        <v>0.27</v>
      </c>
      <c r="P366">
        <v>2.4700000000000002</v>
      </c>
      <c r="Q366">
        <v>1.4999999999999999E-2</v>
      </c>
      <c r="R366">
        <v>60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>
      <c r="A367">
        <v>455.53599137379098</v>
      </c>
      <c r="B367">
        <v>63</v>
      </c>
      <c r="C367">
        <v>5.0615110152643448</v>
      </c>
      <c r="D367">
        <v>427.11925000000002</v>
      </c>
      <c r="E367">
        <v>690.21576763485484</v>
      </c>
      <c r="F367">
        <v>156.14324999999999</v>
      </c>
      <c r="G367">
        <v>88.399249999999995</v>
      </c>
      <c r="H367">
        <v>39</v>
      </c>
      <c r="I367">
        <v>58</v>
      </c>
      <c r="J367">
        <v>10</v>
      </c>
      <c r="K367">
        <v>98</v>
      </c>
      <c r="L367">
        <v>55</v>
      </c>
      <c r="M367">
        <v>7</v>
      </c>
      <c r="N367">
        <v>1995</v>
      </c>
      <c r="O367">
        <v>0.27</v>
      </c>
      <c r="P367">
        <v>2.4700000000000002</v>
      </c>
      <c r="Q367">
        <v>1.4999999999999999E-2</v>
      </c>
      <c r="R367">
        <v>60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>
      <c r="A368">
        <v>323.52623145001797</v>
      </c>
      <c r="B368">
        <v>44.744</v>
      </c>
      <c r="C368">
        <v>5.0614241465897694</v>
      </c>
      <c r="D368">
        <v>780.97524999999996</v>
      </c>
      <c r="E368">
        <v>685.26970954356841</v>
      </c>
      <c r="F368">
        <v>654.25525000000005</v>
      </c>
      <c r="G368">
        <v>62.697250000000011</v>
      </c>
      <c r="H368">
        <v>40</v>
      </c>
      <c r="I368">
        <v>65</v>
      </c>
      <c r="J368">
        <v>10</v>
      </c>
      <c r="K368">
        <v>98</v>
      </c>
      <c r="L368">
        <v>55</v>
      </c>
      <c r="M368">
        <v>7</v>
      </c>
      <c r="N368">
        <v>1995</v>
      </c>
      <c r="O368">
        <v>0.27</v>
      </c>
      <c r="P368">
        <v>2.4700000000000002</v>
      </c>
      <c r="Q368">
        <v>1.4999999999999999E-2</v>
      </c>
      <c r="R368">
        <v>60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>
      <c r="A369">
        <v>322.89967652013428</v>
      </c>
      <c r="B369">
        <v>44.744</v>
      </c>
      <c r="C369">
        <v>5.0516219730934662</v>
      </c>
      <c r="D369">
        <v>467.06400000000002</v>
      </c>
      <c r="E369">
        <v>691.84022413951254</v>
      </c>
      <c r="F369">
        <v>354.99599999999998</v>
      </c>
      <c r="G369">
        <v>62.688240000000008</v>
      </c>
      <c r="H369">
        <v>304</v>
      </c>
      <c r="I369">
        <v>65</v>
      </c>
      <c r="J369">
        <v>4</v>
      </c>
      <c r="K369">
        <v>40</v>
      </c>
      <c r="L369">
        <v>53</v>
      </c>
      <c r="M369">
        <v>6</v>
      </c>
      <c r="N369">
        <v>1995</v>
      </c>
      <c r="O369">
        <v>0.27</v>
      </c>
      <c r="P369">
        <v>2.4700000000000002</v>
      </c>
      <c r="Q369">
        <v>1.4999999999999999E-2</v>
      </c>
      <c r="R369">
        <v>60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>
      <c r="A370">
        <v>403.64401263142088</v>
      </c>
      <c r="B370">
        <v>56.000000000000007</v>
      </c>
      <c r="C370">
        <v>5.0455501578927624</v>
      </c>
      <c r="D370">
        <v>500.916</v>
      </c>
      <c r="E370">
        <v>685.94921326030499</v>
      </c>
      <c r="F370">
        <v>188.12808000000001</v>
      </c>
      <c r="G370">
        <v>78.238079999999997</v>
      </c>
      <c r="H370">
        <v>9</v>
      </c>
      <c r="I370">
        <v>51</v>
      </c>
      <c r="J370">
        <v>4</v>
      </c>
      <c r="K370">
        <v>165</v>
      </c>
      <c r="L370">
        <v>62</v>
      </c>
      <c r="M370">
        <v>17</v>
      </c>
      <c r="N370">
        <v>1995</v>
      </c>
      <c r="O370">
        <v>0.27</v>
      </c>
      <c r="P370">
        <v>2.4700000000000002</v>
      </c>
      <c r="Q370">
        <v>1.4999999999999999E-2</v>
      </c>
      <c r="R370">
        <v>60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>
      <c r="A371">
        <v>403.61111194391009</v>
      </c>
      <c r="B371">
        <v>56.000000000000007</v>
      </c>
      <c r="C371">
        <v>5.0451388992988759</v>
      </c>
      <c r="D371">
        <v>467.06695000000008</v>
      </c>
      <c r="E371">
        <v>691.07883817427387</v>
      </c>
      <c r="F371">
        <v>189.13495</v>
      </c>
      <c r="G371">
        <v>78.341399999999993</v>
      </c>
      <c r="H371">
        <v>8</v>
      </c>
      <c r="I371">
        <v>53</v>
      </c>
      <c r="J371">
        <v>5</v>
      </c>
      <c r="K371">
        <v>62</v>
      </c>
      <c r="L371">
        <v>60</v>
      </c>
      <c r="M371">
        <v>25</v>
      </c>
      <c r="N371">
        <v>1995</v>
      </c>
      <c r="O371">
        <v>0.27</v>
      </c>
      <c r="P371">
        <v>2.4700000000000002</v>
      </c>
      <c r="Q371">
        <v>1.4999999999999999E-2</v>
      </c>
      <c r="R371">
        <v>60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>
      <c r="A372">
        <v>353.09127299701748</v>
      </c>
      <c r="B372">
        <v>49</v>
      </c>
      <c r="C372">
        <v>5.0441610428145358</v>
      </c>
      <c r="D372">
        <v>973.8</v>
      </c>
      <c r="E372">
        <v>682.39610937320595</v>
      </c>
      <c r="F372">
        <v>163.08000000000001</v>
      </c>
      <c r="G372">
        <v>68.373000000000005</v>
      </c>
      <c r="H372">
        <v>2</v>
      </c>
      <c r="I372">
        <v>51</v>
      </c>
      <c r="J372">
        <v>8</v>
      </c>
      <c r="K372">
        <v>319</v>
      </c>
      <c r="L372">
        <v>57</v>
      </c>
      <c r="M372">
        <v>25</v>
      </c>
      <c r="N372">
        <v>1995</v>
      </c>
      <c r="O372">
        <v>0.27</v>
      </c>
      <c r="P372">
        <v>2.4700000000000002</v>
      </c>
      <c r="Q372">
        <v>1.4999999999999999E-2</v>
      </c>
      <c r="R372">
        <v>60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>
      <c r="A373">
        <v>403.47156076908828</v>
      </c>
      <c r="B373">
        <v>56.000000000000007</v>
      </c>
      <c r="C373">
        <v>5.0433945096136039</v>
      </c>
      <c r="D373">
        <v>512.08536000000004</v>
      </c>
      <c r="E373">
        <v>689.03965224508329</v>
      </c>
      <c r="F373">
        <v>188.132184</v>
      </c>
      <c r="G373">
        <v>78.270719999999997</v>
      </c>
      <c r="H373">
        <v>9</v>
      </c>
      <c r="I373">
        <v>50</v>
      </c>
      <c r="J373">
        <v>4</v>
      </c>
      <c r="K373">
        <v>125</v>
      </c>
      <c r="L373">
        <v>63</v>
      </c>
      <c r="M373">
        <v>20</v>
      </c>
      <c r="N373">
        <v>1995</v>
      </c>
      <c r="O373">
        <v>0.27</v>
      </c>
      <c r="P373">
        <v>2.4700000000000002</v>
      </c>
      <c r="Q373">
        <v>1.4999999999999999E-2</v>
      </c>
      <c r="R373">
        <v>60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>
      <c r="A374">
        <v>403.00391539680908</v>
      </c>
      <c r="B374">
        <v>56</v>
      </c>
      <c r="C374">
        <v>5.0375489424601136</v>
      </c>
      <c r="D374">
        <v>509.88</v>
      </c>
      <c r="E374">
        <v>689.03965224508329</v>
      </c>
      <c r="F374">
        <v>188.46</v>
      </c>
      <c r="G374">
        <v>78.180000000000007</v>
      </c>
      <c r="H374">
        <v>9</v>
      </c>
      <c r="I374">
        <v>50</v>
      </c>
      <c r="J374">
        <v>4</v>
      </c>
      <c r="K374">
        <v>124</v>
      </c>
      <c r="L374">
        <v>63</v>
      </c>
      <c r="M374">
        <v>20</v>
      </c>
      <c r="N374">
        <v>1995</v>
      </c>
      <c r="O374">
        <v>0.27</v>
      </c>
      <c r="P374">
        <v>2.4700000000000002</v>
      </c>
      <c r="Q374">
        <v>1.4999999999999999E-2</v>
      </c>
      <c r="R374">
        <v>60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>
      <c r="A375">
        <v>402.34057250552598</v>
      </c>
      <c r="B375">
        <v>56.000000000000007</v>
      </c>
      <c r="C375">
        <v>5.0292571563190744</v>
      </c>
      <c r="D375">
        <v>451.85975999999999</v>
      </c>
      <c r="E375">
        <v>691.48381742738593</v>
      </c>
      <c r="F375">
        <v>184.41576000000001</v>
      </c>
      <c r="G375">
        <v>78.10342</v>
      </c>
      <c r="H375">
        <v>8</v>
      </c>
      <c r="I375">
        <v>51</v>
      </c>
      <c r="J375">
        <v>5</v>
      </c>
      <c r="K375">
        <v>155</v>
      </c>
      <c r="L375">
        <v>62</v>
      </c>
      <c r="M375">
        <v>37</v>
      </c>
      <c r="N375">
        <v>1995</v>
      </c>
      <c r="O375">
        <v>0.27</v>
      </c>
      <c r="P375">
        <v>2.4700000000000002</v>
      </c>
      <c r="Q375">
        <v>1.4999999999999999E-2</v>
      </c>
      <c r="R375">
        <v>60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>
      <c r="A376">
        <v>321.23548643343707</v>
      </c>
      <c r="B376">
        <v>44.744</v>
      </c>
      <c r="C376">
        <v>5.0255864585957006</v>
      </c>
      <c r="D376">
        <v>758.22119999999995</v>
      </c>
      <c r="E376">
        <v>685.14522821576759</v>
      </c>
      <c r="F376">
        <v>616.7106</v>
      </c>
      <c r="G376">
        <v>62.251199999999997</v>
      </c>
      <c r="H376">
        <v>40</v>
      </c>
      <c r="I376">
        <v>60</v>
      </c>
      <c r="J376">
        <v>10</v>
      </c>
      <c r="K376">
        <v>60</v>
      </c>
      <c r="L376">
        <v>60</v>
      </c>
      <c r="M376">
        <v>32</v>
      </c>
      <c r="N376">
        <v>1995</v>
      </c>
      <c r="O376">
        <v>0.27</v>
      </c>
      <c r="P376">
        <v>2.4700000000000002</v>
      </c>
      <c r="Q376">
        <v>1.4999999999999999E-2</v>
      </c>
      <c r="R376">
        <v>60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>
      <c r="A377">
        <v>321.19634999230823</v>
      </c>
      <c r="B377">
        <v>44.744000000000007</v>
      </c>
      <c r="C377">
        <v>5.0249741863627699</v>
      </c>
      <c r="D377">
        <v>450.4384</v>
      </c>
      <c r="E377">
        <v>689.82160338393726</v>
      </c>
      <c r="F377">
        <v>348.77120000000002</v>
      </c>
      <c r="G377">
        <v>62.323200000000007</v>
      </c>
      <c r="H377">
        <v>32</v>
      </c>
      <c r="I377">
        <v>48</v>
      </c>
      <c r="J377">
        <v>1</v>
      </c>
      <c r="K377">
        <v>40</v>
      </c>
      <c r="L377">
        <v>80</v>
      </c>
      <c r="M377">
        <v>4</v>
      </c>
      <c r="N377">
        <v>1995</v>
      </c>
      <c r="O377">
        <v>0.27</v>
      </c>
      <c r="P377">
        <v>2.4700000000000002</v>
      </c>
      <c r="Q377">
        <v>1.4999999999999999E-2</v>
      </c>
      <c r="R377">
        <v>60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>
      <c r="A378">
        <v>403.2607240222236</v>
      </c>
      <c r="B378">
        <v>56.190909090909088</v>
      </c>
      <c r="C378">
        <v>5.0236330285894217</v>
      </c>
      <c r="D378">
        <v>473.10631999999998</v>
      </c>
      <c r="E378">
        <v>691.71950207468876</v>
      </c>
      <c r="F378">
        <v>183.06435999999999</v>
      </c>
      <c r="G378">
        <v>78.287078000000008</v>
      </c>
      <c r="H378">
        <v>8</v>
      </c>
      <c r="I378">
        <v>53</v>
      </c>
      <c r="J378">
        <v>5</v>
      </c>
      <c r="K378">
        <v>113</v>
      </c>
      <c r="L378">
        <v>58</v>
      </c>
      <c r="M378">
        <v>23</v>
      </c>
      <c r="N378">
        <v>1995</v>
      </c>
      <c r="O378">
        <v>0.27</v>
      </c>
      <c r="P378">
        <v>2.4700000000000002</v>
      </c>
      <c r="Q378">
        <v>1.4999999999999999E-2</v>
      </c>
      <c r="R378">
        <v>60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>
      <c r="A379">
        <v>401.77862877348178</v>
      </c>
      <c r="B379">
        <v>56</v>
      </c>
      <c r="C379">
        <v>5.0222328596685228</v>
      </c>
      <c r="D379">
        <v>548.1114</v>
      </c>
      <c r="E379">
        <v>681.65975103734445</v>
      </c>
      <c r="F379">
        <v>187.32228000000001</v>
      </c>
      <c r="G379">
        <v>77.785200000000003</v>
      </c>
      <c r="H379">
        <v>9</v>
      </c>
      <c r="I379">
        <v>51</v>
      </c>
      <c r="J379">
        <v>4</v>
      </c>
      <c r="K379">
        <v>112</v>
      </c>
      <c r="L379">
        <v>60</v>
      </c>
      <c r="M379">
        <v>2</v>
      </c>
      <c r="N379">
        <v>1995</v>
      </c>
      <c r="O379">
        <v>0.27</v>
      </c>
      <c r="P379">
        <v>2.4700000000000002</v>
      </c>
      <c r="Q379">
        <v>1.4999999999999999E-2</v>
      </c>
      <c r="R379">
        <v>60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>
      <c r="A380">
        <v>320.72427220202371</v>
      </c>
      <c r="B380">
        <v>44.744</v>
      </c>
      <c r="C380">
        <v>5.0175887390804697</v>
      </c>
      <c r="D380">
        <v>770.08640000000003</v>
      </c>
      <c r="E380">
        <v>685.49045643153534</v>
      </c>
      <c r="F380">
        <v>626.6031999999999</v>
      </c>
      <c r="G380">
        <v>62.158000000000001</v>
      </c>
      <c r="H380">
        <v>40</v>
      </c>
      <c r="I380">
        <v>61</v>
      </c>
      <c r="J380">
        <v>10</v>
      </c>
      <c r="K380">
        <v>249</v>
      </c>
      <c r="L380">
        <v>59</v>
      </c>
      <c r="M380">
        <v>26</v>
      </c>
      <c r="N380">
        <v>1995</v>
      </c>
      <c r="O380">
        <v>0.27</v>
      </c>
      <c r="P380">
        <v>2.4700000000000002</v>
      </c>
      <c r="Q380">
        <v>1.4999999999999999E-2</v>
      </c>
      <c r="R380">
        <v>60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>
      <c r="A381">
        <v>401.33717353842019</v>
      </c>
      <c r="B381">
        <v>56.000000000000007</v>
      </c>
      <c r="C381">
        <v>5.016714669230252</v>
      </c>
      <c r="D381">
        <v>470.42784</v>
      </c>
      <c r="E381">
        <v>690.79170124481334</v>
      </c>
      <c r="F381">
        <v>181.72512</v>
      </c>
      <c r="G381">
        <v>77.893919999999994</v>
      </c>
      <c r="H381">
        <v>8</v>
      </c>
      <c r="I381">
        <v>54</v>
      </c>
      <c r="J381">
        <v>5</v>
      </c>
      <c r="K381">
        <v>278</v>
      </c>
      <c r="L381">
        <v>57</v>
      </c>
      <c r="M381">
        <v>8</v>
      </c>
      <c r="N381">
        <v>1995</v>
      </c>
      <c r="O381">
        <v>0.27</v>
      </c>
      <c r="P381">
        <v>2.4700000000000002</v>
      </c>
      <c r="Q381">
        <v>1.4999999999999999E-2</v>
      </c>
      <c r="R381">
        <v>60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>
      <c r="A382">
        <v>321.85046104689059</v>
      </c>
      <c r="B382">
        <v>44.934909090909088</v>
      </c>
      <c r="C382">
        <v>5.0138150335860718</v>
      </c>
      <c r="D382">
        <v>787.56479999999999</v>
      </c>
      <c r="E382">
        <v>684.13443983402499</v>
      </c>
      <c r="F382">
        <v>642.07439999999997</v>
      </c>
      <c r="G382">
        <v>62.353136999999997</v>
      </c>
      <c r="H382">
        <v>40</v>
      </c>
      <c r="I382">
        <v>57</v>
      </c>
      <c r="J382">
        <v>11</v>
      </c>
      <c r="K382">
        <v>113</v>
      </c>
      <c r="L382">
        <v>61</v>
      </c>
      <c r="M382">
        <v>21</v>
      </c>
      <c r="N382">
        <v>1995</v>
      </c>
      <c r="O382">
        <v>0.27</v>
      </c>
      <c r="P382">
        <v>2.4700000000000002</v>
      </c>
      <c r="Q382">
        <v>1.4999999999999999E-2</v>
      </c>
      <c r="R382">
        <v>60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>
      <c r="A383">
        <v>401.10320969399828</v>
      </c>
      <c r="B383">
        <v>56</v>
      </c>
      <c r="C383">
        <v>5.0137901211749796</v>
      </c>
      <c r="D383">
        <v>469.5204</v>
      </c>
      <c r="E383">
        <v>688.75374648729485</v>
      </c>
      <c r="F383">
        <v>181.2714</v>
      </c>
      <c r="G383">
        <v>77.805200000000013</v>
      </c>
      <c r="H383">
        <v>8</v>
      </c>
      <c r="I383">
        <v>54</v>
      </c>
      <c r="J383">
        <v>5</v>
      </c>
      <c r="K383">
        <v>47</v>
      </c>
      <c r="L383">
        <v>58</v>
      </c>
      <c r="M383">
        <v>2</v>
      </c>
      <c r="N383">
        <v>1995</v>
      </c>
      <c r="O383">
        <v>0.27</v>
      </c>
      <c r="P383">
        <v>2.4700000000000002</v>
      </c>
      <c r="Q383">
        <v>1.4999999999999999E-2</v>
      </c>
      <c r="R383">
        <v>60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>
      <c r="A384">
        <v>350.95041980336288</v>
      </c>
      <c r="B384">
        <v>49</v>
      </c>
      <c r="C384">
        <v>5.0135774257623282</v>
      </c>
      <c r="D384">
        <v>427.12799999999999</v>
      </c>
      <c r="E384">
        <v>692.9128630705394</v>
      </c>
      <c r="F384">
        <v>166.5</v>
      </c>
      <c r="G384">
        <v>68.153999999999996</v>
      </c>
      <c r="H384">
        <v>6</v>
      </c>
      <c r="I384">
        <v>53</v>
      </c>
      <c r="J384">
        <v>6</v>
      </c>
      <c r="K384">
        <v>56</v>
      </c>
      <c r="L384">
        <v>57</v>
      </c>
      <c r="M384">
        <v>4</v>
      </c>
      <c r="N384">
        <v>1995</v>
      </c>
      <c r="O384">
        <v>0.27</v>
      </c>
      <c r="P384">
        <v>2.4700000000000002</v>
      </c>
      <c r="Q384">
        <v>1.4999999999999999E-2</v>
      </c>
      <c r="R384">
        <v>60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>
      <c r="A385">
        <v>400.87894723029041</v>
      </c>
      <c r="B385">
        <v>56.000000000000007</v>
      </c>
      <c r="C385">
        <v>5.0109868403786306</v>
      </c>
      <c r="D385">
        <v>487.74720000000002</v>
      </c>
      <c r="E385">
        <v>687.09190143352055</v>
      </c>
      <c r="F385">
        <v>188.37360000000001</v>
      </c>
      <c r="G385">
        <v>77.726399999999998</v>
      </c>
      <c r="H385">
        <v>9</v>
      </c>
      <c r="I385">
        <v>50</v>
      </c>
      <c r="J385">
        <v>4</v>
      </c>
      <c r="K385">
        <v>333</v>
      </c>
      <c r="L385">
        <v>63</v>
      </c>
      <c r="M385">
        <v>20</v>
      </c>
      <c r="N385">
        <v>1995</v>
      </c>
      <c r="O385">
        <v>0.27</v>
      </c>
      <c r="P385">
        <v>2.4700000000000002</v>
      </c>
      <c r="Q385">
        <v>1.4999999999999999E-2</v>
      </c>
      <c r="R385">
        <v>60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>
      <c r="A386">
        <v>415.75633947630843</v>
      </c>
      <c r="B386">
        <v>58.100000000000023</v>
      </c>
      <c r="C386">
        <v>5.009112523810944</v>
      </c>
      <c r="D386">
        <v>509.64479999999998</v>
      </c>
      <c r="E386">
        <v>689.65145228215761</v>
      </c>
      <c r="F386">
        <v>196.08959999999999</v>
      </c>
      <c r="G386">
        <v>80.667360000000016</v>
      </c>
      <c r="H386">
        <v>8</v>
      </c>
      <c r="I386">
        <v>57</v>
      </c>
      <c r="J386">
        <v>5</v>
      </c>
      <c r="K386">
        <v>91</v>
      </c>
      <c r="L386">
        <v>56</v>
      </c>
      <c r="M386">
        <v>6</v>
      </c>
      <c r="N386">
        <v>1995</v>
      </c>
      <c r="O386">
        <v>0.27</v>
      </c>
      <c r="P386">
        <v>2.4700000000000002</v>
      </c>
      <c r="Q386">
        <v>1.4999999999999999E-2</v>
      </c>
      <c r="R386">
        <v>60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>
      <c r="A387">
        <v>399.84868654228109</v>
      </c>
      <c r="B387">
        <v>56.000000000000007</v>
      </c>
      <c r="C387">
        <v>4.9981085817785136</v>
      </c>
      <c r="D387">
        <v>448.01280000000003</v>
      </c>
      <c r="E387">
        <v>691.23041585499698</v>
      </c>
      <c r="F387">
        <v>181.61279999999999</v>
      </c>
      <c r="G387">
        <v>77.614320000000006</v>
      </c>
      <c r="H387">
        <v>9</v>
      </c>
      <c r="I387">
        <v>49</v>
      </c>
      <c r="J387">
        <v>4</v>
      </c>
      <c r="K387">
        <v>133</v>
      </c>
      <c r="L387">
        <v>64</v>
      </c>
      <c r="M387">
        <v>21</v>
      </c>
      <c r="N387">
        <v>1995</v>
      </c>
      <c r="O387">
        <v>0.27</v>
      </c>
      <c r="P387">
        <v>2.4700000000000002</v>
      </c>
      <c r="Q387">
        <v>1.4999999999999999E-2</v>
      </c>
      <c r="R387">
        <v>60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>
      <c r="A388">
        <v>399.59547955239708</v>
      </c>
      <c r="B388">
        <v>56</v>
      </c>
      <c r="C388">
        <v>4.9949434944049642</v>
      </c>
      <c r="D388">
        <v>448.7724</v>
      </c>
      <c r="E388">
        <v>688.020073185765</v>
      </c>
      <c r="F388">
        <v>181.32839999999999</v>
      </c>
      <c r="G388">
        <v>77.497200000000007</v>
      </c>
      <c r="H388">
        <v>8</v>
      </c>
      <c r="I388">
        <v>54</v>
      </c>
      <c r="J388">
        <v>5</v>
      </c>
      <c r="K388">
        <v>118</v>
      </c>
      <c r="L388">
        <v>57</v>
      </c>
      <c r="M388">
        <v>2</v>
      </c>
      <c r="N388">
        <v>1995</v>
      </c>
      <c r="O388">
        <v>0.27</v>
      </c>
      <c r="P388">
        <v>2.4700000000000002</v>
      </c>
      <c r="Q388">
        <v>1.4999999999999999E-2</v>
      </c>
      <c r="R388">
        <v>60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>
      <c r="A389">
        <v>399.41863420933407</v>
      </c>
      <c r="B389">
        <v>56.000000000000007</v>
      </c>
      <c r="C389">
        <v>4.9927329276166761</v>
      </c>
      <c r="D389">
        <v>487.27104000000003</v>
      </c>
      <c r="E389">
        <v>689.03965224508329</v>
      </c>
      <c r="F389">
        <v>188.13552000000001</v>
      </c>
      <c r="G389">
        <v>77.484479999999991</v>
      </c>
      <c r="H389">
        <v>9</v>
      </c>
      <c r="I389">
        <v>50</v>
      </c>
      <c r="J389">
        <v>4</v>
      </c>
      <c r="K389">
        <v>85</v>
      </c>
      <c r="L389">
        <v>63</v>
      </c>
      <c r="M389">
        <v>20</v>
      </c>
      <c r="N389">
        <v>1995</v>
      </c>
      <c r="O389">
        <v>0.27</v>
      </c>
      <c r="P389">
        <v>2.4700000000000002</v>
      </c>
      <c r="Q389">
        <v>1.4999999999999999E-2</v>
      </c>
      <c r="R389">
        <v>60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>
      <c r="A390">
        <v>318.77300467520479</v>
      </c>
      <c r="B390">
        <v>44.744</v>
      </c>
      <c r="C390">
        <v>4.9870620255820537</v>
      </c>
      <c r="D390">
        <v>769.28399999999999</v>
      </c>
      <c r="E390">
        <v>684.12666217241633</v>
      </c>
      <c r="F390">
        <v>626.202</v>
      </c>
      <c r="G390">
        <v>61.756800000000013</v>
      </c>
      <c r="H390">
        <v>40</v>
      </c>
      <c r="I390">
        <v>61</v>
      </c>
      <c r="J390">
        <v>10</v>
      </c>
      <c r="K390">
        <v>42</v>
      </c>
      <c r="L390">
        <v>59</v>
      </c>
      <c r="M390">
        <v>21</v>
      </c>
      <c r="N390">
        <v>1995</v>
      </c>
      <c r="O390">
        <v>0.27</v>
      </c>
      <c r="P390">
        <v>2.4700000000000002</v>
      </c>
      <c r="Q390">
        <v>1.4999999999999999E-2</v>
      </c>
      <c r="R390">
        <v>60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>
      <c r="A391">
        <v>398.91325641047467</v>
      </c>
      <c r="B391">
        <v>56</v>
      </c>
      <c r="C391">
        <v>4.9864157051309332</v>
      </c>
      <c r="D391">
        <v>469.5204</v>
      </c>
      <c r="E391">
        <v>691.5831592196522</v>
      </c>
      <c r="F391">
        <v>181.2714</v>
      </c>
      <c r="G391">
        <v>77.440200000000019</v>
      </c>
      <c r="H391">
        <v>8</v>
      </c>
      <c r="I391">
        <v>54</v>
      </c>
      <c r="J391">
        <v>5</v>
      </c>
      <c r="K391">
        <v>180</v>
      </c>
      <c r="L391">
        <v>57</v>
      </c>
      <c r="M391">
        <v>2</v>
      </c>
      <c r="N391">
        <v>1995</v>
      </c>
      <c r="O391">
        <v>0.27</v>
      </c>
      <c r="P391">
        <v>2.4700000000000002</v>
      </c>
      <c r="Q391">
        <v>1.4999999999999999E-2</v>
      </c>
      <c r="R391">
        <v>60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>
      <c r="A392">
        <v>398.65941686436838</v>
      </c>
      <c r="B392">
        <v>56.000000000000007</v>
      </c>
      <c r="C392">
        <v>4.983242710804606</v>
      </c>
      <c r="D392">
        <v>464.26715999999999</v>
      </c>
      <c r="E392">
        <v>690.64375760645294</v>
      </c>
      <c r="F392">
        <v>179.27405999999999</v>
      </c>
      <c r="G392">
        <v>77.371080000000006</v>
      </c>
      <c r="H392">
        <v>8</v>
      </c>
      <c r="I392">
        <v>67</v>
      </c>
      <c r="J392">
        <v>4</v>
      </c>
      <c r="K392">
        <v>179</v>
      </c>
      <c r="L392">
        <v>46</v>
      </c>
      <c r="M392">
        <v>3</v>
      </c>
      <c r="N392">
        <v>1995</v>
      </c>
      <c r="O392">
        <v>0.27</v>
      </c>
      <c r="P392">
        <v>2.4700000000000002</v>
      </c>
      <c r="Q392">
        <v>1.4999999999999999E-2</v>
      </c>
      <c r="R392">
        <v>60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>
      <c r="A393">
        <v>398.60880882107563</v>
      </c>
      <c r="B393">
        <v>56</v>
      </c>
      <c r="C393">
        <v>4.9826101102634448</v>
      </c>
      <c r="D393">
        <v>473.79039999999998</v>
      </c>
      <c r="E393">
        <v>689.94024896265569</v>
      </c>
      <c r="F393">
        <v>183.40639999999999</v>
      </c>
      <c r="G393">
        <v>77.346400000000003</v>
      </c>
      <c r="H393">
        <v>8</v>
      </c>
      <c r="I393">
        <v>51</v>
      </c>
      <c r="J393">
        <v>5</v>
      </c>
      <c r="K393">
        <v>249</v>
      </c>
      <c r="L393">
        <v>62</v>
      </c>
      <c r="M393">
        <v>26</v>
      </c>
      <c r="N393">
        <v>1995</v>
      </c>
      <c r="O393">
        <v>0.27</v>
      </c>
      <c r="P393">
        <v>2.4700000000000002</v>
      </c>
      <c r="Q393">
        <v>1.4999999999999999E-2</v>
      </c>
      <c r="R393">
        <v>60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>
      <c r="A394">
        <v>398.39435379277188</v>
      </c>
      <c r="B394">
        <v>56</v>
      </c>
      <c r="C394">
        <v>4.9799294224096498</v>
      </c>
      <c r="D394">
        <v>490.30703999999997</v>
      </c>
      <c r="E394">
        <v>689.13692946058097</v>
      </c>
      <c r="F394">
        <v>179.65071</v>
      </c>
      <c r="G394">
        <v>77.287830000000014</v>
      </c>
      <c r="H394">
        <v>8</v>
      </c>
      <c r="I394">
        <v>67</v>
      </c>
      <c r="J394">
        <v>4</v>
      </c>
      <c r="K394">
        <v>175</v>
      </c>
      <c r="L394">
        <v>45</v>
      </c>
      <c r="M394">
        <v>3</v>
      </c>
      <c r="N394">
        <v>1995</v>
      </c>
      <c r="O394">
        <v>0.27</v>
      </c>
      <c r="P394">
        <v>2.4700000000000002</v>
      </c>
      <c r="Q394">
        <v>1.4999999999999999E-2</v>
      </c>
      <c r="R394">
        <v>60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>
      <c r="A395">
        <v>398.32746167401569</v>
      </c>
      <c r="B395">
        <v>56.000000000000007</v>
      </c>
      <c r="C395">
        <v>4.9790932709251958</v>
      </c>
      <c r="D395">
        <v>491.55840000000001</v>
      </c>
      <c r="E395">
        <v>689.03965224508329</v>
      </c>
      <c r="F395">
        <v>181.61279999999999</v>
      </c>
      <c r="G395">
        <v>77.272800000000004</v>
      </c>
      <c r="H395">
        <v>9</v>
      </c>
      <c r="I395">
        <v>50</v>
      </c>
      <c r="J395">
        <v>4</v>
      </c>
      <c r="K395">
        <v>41</v>
      </c>
      <c r="L395">
        <v>60</v>
      </c>
      <c r="M395">
        <v>21</v>
      </c>
      <c r="N395">
        <v>1995</v>
      </c>
      <c r="O395">
        <v>0.27</v>
      </c>
      <c r="P395">
        <v>2.4700000000000002</v>
      </c>
      <c r="Q395">
        <v>1.4999999999999999E-2</v>
      </c>
      <c r="R395">
        <v>60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>
      <c r="A396">
        <v>317.98001161928892</v>
      </c>
      <c r="B396">
        <v>44.744</v>
      </c>
      <c r="C396">
        <v>4.9746560015533321</v>
      </c>
      <c r="D396">
        <v>420.12</v>
      </c>
      <c r="E396">
        <v>691.1203319502074</v>
      </c>
      <c r="F396">
        <v>356.76</v>
      </c>
      <c r="G396">
        <v>61.720999999999997</v>
      </c>
      <c r="H396">
        <v>192</v>
      </c>
      <c r="I396">
        <v>55</v>
      </c>
      <c r="J396">
        <v>2</v>
      </c>
      <c r="K396">
        <v>40</v>
      </c>
      <c r="L396">
        <v>65</v>
      </c>
      <c r="M396">
        <v>5</v>
      </c>
      <c r="N396">
        <v>1995</v>
      </c>
      <c r="O396">
        <v>0.27</v>
      </c>
      <c r="P396">
        <v>2.4700000000000002</v>
      </c>
      <c r="Q396">
        <v>1.4999999999999999E-2</v>
      </c>
      <c r="R396">
        <v>60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>
      <c r="A397">
        <v>397.75761617971472</v>
      </c>
      <c r="B397">
        <v>56</v>
      </c>
      <c r="C397">
        <v>4.9719702022464336</v>
      </c>
      <c r="D397">
        <v>460.47804000000002</v>
      </c>
      <c r="E397">
        <v>689.45228215767645</v>
      </c>
      <c r="F397">
        <v>185.75304</v>
      </c>
      <c r="G397">
        <v>77.170949999999991</v>
      </c>
      <c r="H397">
        <v>9</v>
      </c>
      <c r="I397">
        <v>67</v>
      </c>
      <c r="J397">
        <v>3</v>
      </c>
      <c r="K397">
        <v>131</v>
      </c>
      <c r="L397">
        <v>45</v>
      </c>
      <c r="M397">
        <v>2</v>
      </c>
      <c r="N397">
        <v>1995</v>
      </c>
      <c r="O397">
        <v>0.27</v>
      </c>
      <c r="P397">
        <v>2.4700000000000002</v>
      </c>
      <c r="Q397">
        <v>1.4999999999999999E-2</v>
      </c>
      <c r="R397">
        <v>60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>
      <c r="A398">
        <v>372.82415609089702</v>
      </c>
      <c r="B398">
        <v>52.5</v>
      </c>
      <c r="C398">
        <v>4.9709887478786259</v>
      </c>
      <c r="D398">
        <v>427.75200000000001</v>
      </c>
      <c r="E398">
        <v>691.93360995850617</v>
      </c>
      <c r="F398">
        <v>213.876</v>
      </c>
      <c r="G398">
        <v>72.382499999999993</v>
      </c>
      <c r="H398">
        <v>22</v>
      </c>
      <c r="I398">
        <v>61</v>
      </c>
      <c r="J398">
        <v>3</v>
      </c>
      <c r="K398">
        <v>137</v>
      </c>
      <c r="L398">
        <v>50</v>
      </c>
      <c r="M398">
        <v>2</v>
      </c>
      <c r="N398">
        <v>1995</v>
      </c>
      <c r="O398">
        <v>0.27</v>
      </c>
      <c r="P398">
        <v>2.4700000000000002</v>
      </c>
      <c r="Q398">
        <v>1.4999999999999999E-2</v>
      </c>
      <c r="R398">
        <v>60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>
      <c r="A399">
        <v>317.70788907431091</v>
      </c>
      <c r="B399">
        <v>44.744</v>
      </c>
      <c r="C399">
        <v>4.9703987652426624</v>
      </c>
      <c r="D399">
        <v>757.59516000000008</v>
      </c>
      <c r="E399">
        <v>686.19087136929454</v>
      </c>
      <c r="F399">
        <v>616.39757999999995</v>
      </c>
      <c r="G399">
        <v>61.5852</v>
      </c>
      <c r="H399">
        <v>40</v>
      </c>
      <c r="I399">
        <v>60</v>
      </c>
      <c r="J399">
        <v>10</v>
      </c>
      <c r="K399">
        <v>252</v>
      </c>
      <c r="L399">
        <v>60</v>
      </c>
      <c r="M399">
        <v>27</v>
      </c>
      <c r="N399">
        <v>1995</v>
      </c>
      <c r="O399">
        <v>0.27</v>
      </c>
      <c r="P399">
        <v>2.4700000000000002</v>
      </c>
      <c r="Q399">
        <v>1.4999999999999999E-2</v>
      </c>
      <c r="R399">
        <v>60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>
      <c r="A400">
        <v>397.57818067416122</v>
      </c>
      <c r="B400">
        <v>56</v>
      </c>
      <c r="C400">
        <v>4.9697272584270156</v>
      </c>
      <c r="D400">
        <v>449.4</v>
      </c>
      <c r="E400">
        <v>686.59751037344404</v>
      </c>
      <c r="F400">
        <v>181.95599999999999</v>
      </c>
      <c r="G400">
        <v>77.075999999999993</v>
      </c>
      <c r="H400">
        <v>8</v>
      </c>
      <c r="I400">
        <v>53</v>
      </c>
      <c r="J400">
        <v>5</v>
      </c>
      <c r="K400">
        <v>61</v>
      </c>
      <c r="L400">
        <v>60</v>
      </c>
      <c r="M400">
        <v>11</v>
      </c>
      <c r="N400">
        <v>1995</v>
      </c>
      <c r="O400">
        <v>0.27</v>
      </c>
      <c r="P400">
        <v>2.4700000000000002</v>
      </c>
      <c r="Q400">
        <v>1.4999999999999999E-2</v>
      </c>
      <c r="R400">
        <v>60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>
      <c r="A401">
        <v>317.62174526576649</v>
      </c>
      <c r="B401">
        <v>44.744</v>
      </c>
      <c r="C401">
        <v>4.9690510836321424</v>
      </c>
      <c r="D401">
        <v>810.17280000000005</v>
      </c>
      <c r="E401">
        <v>685.55020746887953</v>
      </c>
      <c r="F401">
        <v>662.09040000000005</v>
      </c>
      <c r="G401">
        <v>61.557720000000003</v>
      </c>
      <c r="H401">
        <v>40</v>
      </c>
      <c r="I401">
        <v>59</v>
      </c>
      <c r="J401">
        <v>11</v>
      </c>
      <c r="K401">
        <v>278</v>
      </c>
      <c r="L401">
        <v>60</v>
      </c>
      <c r="M401">
        <v>7</v>
      </c>
      <c r="N401">
        <v>1995</v>
      </c>
      <c r="O401">
        <v>0.27</v>
      </c>
      <c r="P401">
        <v>2.4700000000000002</v>
      </c>
      <c r="Q401">
        <v>1.4999999999999999E-2</v>
      </c>
      <c r="R401">
        <v>60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>
      <c r="A402">
        <v>397.42117466780729</v>
      </c>
      <c r="B402">
        <v>56.000000000000007</v>
      </c>
      <c r="C402">
        <v>4.9677646833475917</v>
      </c>
      <c r="D402">
        <v>470.09699999999998</v>
      </c>
      <c r="E402">
        <v>686.16239595286538</v>
      </c>
      <c r="F402">
        <v>183.55680000000001</v>
      </c>
      <c r="G402">
        <v>77.0364</v>
      </c>
      <c r="H402">
        <v>53</v>
      </c>
      <c r="I402">
        <v>54</v>
      </c>
      <c r="J402">
        <v>12</v>
      </c>
      <c r="K402">
        <v>148</v>
      </c>
      <c r="L402">
        <v>59</v>
      </c>
      <c r="M402">
        <v>27</v>
      </c>
      <c r="N402">
        <v>1995</v>
      </c>
      <c r="O402">
        <v>0.27</v>
      </c>
      <c r="P402">
        <v>2.4700000000000002</v>
      </c>
      <c r="Q402">
        <v>1.4999999999999999E-2</v>
      </c>
      <c r="R402">
        <v>60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>
      <c r="A403">
        <v>397.10751266131348</v>
      </c>
      <c r="B403">
        <v>56</v>
      </c>
      <c r="C403">
        <v>4.9638439082664192</v>
      </c>
      <c r="D403">
        <v>450.39159999999998</v>
      </c>
      <c r="E403">
        <v>691.792531120332</v>
      </c>
      <c r="F403">
        <v>182.94759999999999</v>
      </c>
      <c r="G403">
        <v>77.094059999999999</v>
      </c>
      <c r="H403">
        <v>8</v>
      </c>
      <c r="I403">
        <v>51</v>
      </c>
      <c r="J403">
        <v>5</v>
      </c>
      <c r="K403">
        <v>263</v>
      </c>
      <c r="L403">
        <v>62</v>
      </c>
      <c r="M403">
        <v>21</v>
      </c>
      <c r="N403">
        <v>1995</v>
      </c>
      <c r="O403">
        <v>0.27</v>
      </c>
      <c r="P403">
        <v>2.4700000000000002</v>
      </c>
      <c r="Q403">
        <v>1.4999999999999999E-2</v>
      </c>
      <c r="R403">
        <v>60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>
      <c r="A404">
        <v>397.04074248090359</v>
      </c>
      <c r="B404">
        <v>56</v>
      </c>
      <c r="C404">
        <v>4.9630092810112956</v>
      </c>
      <c r="D404">
        <v>459.68799999999999</v>
      </c>
      <c r="E404">
        <v>690.25726141078837</v>
      </c>
      <c r="F404">
        <v>177.67400000000001</v>
      </c>
      <c r="G404">
        <v>77.0488</v>
      </c>
      <c r="H404">
        <v>9</v>
      </c>
      <c r="I404">
        <v>50</v>
      </c>
      <c r="J404">
        <v>4</v>
      </c>
      <c r="K404">
        <v>178</v>
      </c>
      <c r="L404">
        <v>56</v>
      </c>
      <c r="M404">
        <v>2</v>
      </c>
      <c r="N404">
        <v>1995</v>
      </c>
      <c r="O404">
        <v>0.27</v>
      </c>
      <c r="P404">
        <v>2.4700000000000002</v>
      </c>
      <c r="Q404">
        <v>1.4999999999999999E-2</v>
      </c>
      <c r="R404">
        <v>60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>
      <c r="A405">
        <v>317.11982631268597</v>
      </c>
      <c r="B405">
        <v>44.744000000000007</v>
      </c>
      <c r="C405">
        <v>4.9611987846164904</v>
      </c>
      <c r="D405">
        <v>746.68464000000006</v>
      </c>
      <c r="E405">
        <v>685.49045643153534</v>
      </c>
      <c r="F405">
        <v>625.90463999999997</v>
      </c>
      <c r="G405">
        <v>61.459440000000001</v>
      </c>
      <c r="H405">
        <v>40</v>
      </c>
      <c r="I405">
        <v>61</v>
      </c>
      <c r="J405">
        <v>10</v>
      </c>
      <c r="K405">
        <v>203</v>
      </c>
      <c r="L405">
        <v>59</v>
      </c>
      <c r="M405">
        <v>24</v>
      </c>
      <c r="N405">
        <v>1995</v>
      </c>
      <c r="O405">
        <v>0.27</v>
      </c>
      <c r="P405">
        <v>2.4700000000000002</v>
      </c>
      <c r="Q405">
        <v>1.4999999999999999E-2</v>
      </c>
      <c r="R405">
        <v>60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>
      <c r="A406">
        <v>396.73279867028162</v>
      </c>
      <c r="B406">
        <v>56.000000000000007</v>
      </c>
      <c r="C406">
        <v>4.9591599833785196</v>
      </c>
      <c r="D406">
        <v>473.33159999999998</v>
      </c>
      <c r="E406">
        <v>688.7053941908714</v>
      </c>
      <c r="F406">
        <v>183.17699999999999</v>
      </c>
      <c r="G406">
        <v>76.956419999999994</v>
      </c>
      <c r="H406">
        <v>8</v>
      </c>
      <c r="I406">
        <v>51</v>
      </c>
      <c r="J406">
        <v>5</v>
      </c>
      <c r="K406">
        <v>60</v>
      </c>
      <c r="L406">
        <v>62</v>
      </c>
      <c r="M406">
        <v>31</v>
      </c>
      <c r="N406">
        <v>1995</v>
      </c>
      <c r="O406">
        <v>0.27</v>
      </c>
      <c r="P406">
        <v>2.4700000000000002</v>
      </c>
      <c r="Q406">
        <v>1.4999999999999999E-2</v>
      </c>
      <c r="R406">
        <v>60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>
      <c r="A407">
        <v>396.59126826514222</v>
      </c>
      <c r="B407">
        <v>56</v>
      </c>
      <c r="C407">
        <v>4.9573908533142772</v>
      </c>
      <c r="D407">
        <v>472.55040000000002</v>
      </c>
      <c r="E407">
        <v>688.50710923273402</v>
      </c>
      <c r="F407">
        <v>182.78639999999999</v>
      </c>
      <c r="G407">
        <v>76.924800000000005</v>
      </c>
      <c r="H407">
        <v>8</v>
      </c>
      <c r="I407">
        <v>51</v>
      </c>
      <c r="J407">
        <v>5</v>
      </c>
      <c r="K407">
        <v>42</v>
      </c>
      <c r="L407">
        <v>62</v>
      </c>
      <c r="M407">
        <v>21</v>
      </c>
      <c r="N407">
        <v>1995</v>
      </c>
      <c r="O407">
        <v>0.27</v>
      </c>
      <c r="P407">
        <v>2.4700000000000002</v>
      </c>
      <c r="Q407">
        <v>1.4999999999999999E-2</v>
      </c>
      <c r="R407">
        <v>60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>
      <c r="A408">
        <v>396.14981171010118</v>
      </c>
      <c r="B408">
        <v>56</v>
      </c>
      <c r="C408">
        <v>4.9518726463762661</v>
      </c>
      <c r="D408">
        <v>503.71199999999999</v>
      </c>
      <c r="E408">
        <v>690.64278152322231</v>
      </c>
      <c r="F408">
        <v>181.02959999999999</v>
      </c>
      <c r="G408">
        <v>76.884</v>
      </c>
      <c r="H408">
        <v>8</v>
      </c>
      <c r="I408">
        <v>53</v>
      </c>
      <c r="J408">
        <v>5</v>
      </c>
      <c r="K408">
        <v>129</v>
      </c>
      <c r="L408">
        <v>58</v>
      </c>
      <c r="M408">
        <v>2</v>
      </c>
      <c r="N408">
        <v>1995</v>
      </c>
      <c r="O408">
        <v>0.27</v>
      </c>
      <c r="P408">
        <v>2.4700000000000002</v>
      </c>
      <c r="Q408">
        <v>1.4999999999999999E-2</v>
      </c>
      <c r="R408">
        <v>60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>
      <c r="A409">
        <v>410.80048645909409</v>
      </c>
      <c r="B409">
        <v>58.074074074074083</v>
      </c>
      <c r="C409">
        <v>4.9516130064265802</v>
      </c>
      <c r="D409">
        <v>471.22127999999998</v>
      </c>
      <c r="E409">
        <v>689.73425125510812</v>
      </c>
      <c r="F409">
        <v>191.51316</v>
      </c>
      <c r="G409">
        <v>79.707599999999999</v>
      </c>
      <c r="H409">
        <v>8</v>
      </c>
      <c r="I409">
        <v>54</v>
      </c>
      <c r="J409">
        <v>5</v>
      </c>
      <c r="K409">
        <v>154</v>
      </c>
      <c r="L409">
        <v>58</v>
      </c>
      <c r="M409">
        <v>26</v>
      </c>
      <c r="N409">
        <v>1995</v>
      </c>
      <c r="O409">
        <v>0.27</v>
      </c>
      <c r="P409">
        <v>2.4700000000000002</v>
      </c>
      <c r="Q409">
        <v>1.4999999999999999E-2</v>
      </c>
      <c r="R409">
        <v>60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>
      <c r="A410">
        <v>395.73208204906558</v>
      </c>
      <c r="B410">
        <v>56.000000000000007</v>
      </c>
      <c r="C410">
        <v>4.9466510256133196</v>
      </c>
      <c r="D410">
        <v>551.88</v>
      </c>
      <c r="E410">
        <v>690.96099585062245</v>
      </c>
      <c r="F410">
        <v>188.69759999999999</v>
      </c>
      <c r="G410">
        <v>76.809600000000003</v>
      </c>
      <c r="H410">
        <v>6</v>
      </c>
      <c r="I410">
        <v>54</v>
      </c>
      <c r="J410">
        <v>7</v>
      </c>
      <c r="K410">
        <v>111</v>
      </c>
      <c r="L410">
        <v>56</v>
      </c>
      <c r="M410">
        <v>9</v>
      </c>
      <c r="N410">
        <v>1995</v>
      </c>
      <c r="O410">
        <v>0.27</v>
      </c>
      <c r="P410">
        <v>2.4700000000000002</v>
      </c>
      <c r="Q410">
        <v>1.4999999999999999E-2</v>
      </c>
      <c r="R410">
        <v>60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>
      <c r="A411">
        <v>316.18810952890112</v>
      </c>
      <c r="B411">
        <v>44.744000000000007</v>
      </c>
      <c r="C411">
        <v>4.946622489500955</v>
      </c>
      <c r="D411">
        <v>746.43600000000004</v>
      </c>
      <c r="E411">
        <v>681.42738589211626</v>
      </c>
      <c r="F411">
        <v>625.65599999999995</v>
      </c>
      <c r="G411">
        <v>61.210800000000013</v>
      </c>
      <c r="H411">
        <v>40</v>
      </c>
      <c r="I411">
        <v>61</v>
      </c>
      <c r="J411">
        <v>10</v>
      </c>
      <c r="K411">
        <v>263</v>
      </c>
      <c r="L411">
        <v>60</v>
      </c>
      <c r="M411">
        <v>20</v>
      </c>
      <c r="N411">
        <v>1995</v>
      </c>
      <c r="O411">
        <v>0.27</v>
      </c>
      <c r="P411">
        <v>2.4700000000000002</v>
      </c>
      <c r="Q411">
        <v>1.4999999999999999E-2</v>
      </c>
      <c r="R411">
        <v>60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>
      <c r="A412">
        <v>316.12210271361357</v>
      </c>
      <c r="B412">
        <v>44.744000000000007</v>
      </c>
      <c r="C412">
        <v>4.9455898422029652</v>
      </c>
      <c r="D412">
        <v>459.18</v>
      </c>
      <c r="E412">
        <v>678.85884354941436</v>
      </c>
      <c r="F412">
        <v>352.63080000000002</v>
      </c>
      <c r="G412">
        <v>61.155000000000008</v>
      </c>
      <c r="H412">
        <v>238</v>
      </c>
      <c r="I412">
        <v>59</v>
      </c>
      <c r="J412">
        <v>4</v>
      </c>
      <c r="K412">
        <v>40</v>
      </c>
      <c r="L412">
        <v>63</v>
      </c>
      <c r="M412">
        <v>5</v>
      </c>
      <c r="N412">
        <v>1995</v>
      </c>
      <c r="O412">
        <v>0.27</v>
      </c>
      <c r="P412">
        <v>2.4700000000000002</v>
      </c>
      <c r="Q412">
        <v>1.4999999999999999E-2</v>
      </c>
      <c r="R412">
        <v>60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>
      <c r="A413">
        <v>403.86390287737572</v>
      </c>
      <c r="B413">
        <v>57.235294117647058</v>
      </c>
      <c r="C413">
        <v>4.9393426970614289</v>
      </c>
      <c r="D413">
        <v>509.26740000000001</v>
      </c>
      <c r="E413">
        <v>688.88816051529511</v>
      </c>
      <c r="F413">
        <v>188.69091599999999</v>
      </c>
      <c r="G413">
        <v>78.343589999999992</v>
      </c>
      <c r="H413">
        <v>9</v>
      </c>
      <c r="I413">
        <v>50</v>
      </c>
      <c r="J413">
        <v>4</v>
      </c>
      <c r="K413">
        <v>312</v>
      </c>
      <c r="L413">
        <v>62</v>
      </c>
      <c r="M413">
        <v>29</v>
      </c>
      <c r="N413">
        <v>1995</v>
      </c>
      <c r="O413">
        <v>0.27</v>
      </c>
      <c r="P413">
        <v>2.4700000000000002</v>
      </c>
      <c r="Q413">
        <v>1.4999999999999999E-2</v>
      </c>
      <c r="R413">
        <v>60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>
      <c r="A414">
        <v>315.61968353196897</v>
      </c>
      <c r="B414">
        <v>44.744</v>
      </c>
      <c r="C414">
        <v>4.9377297173336823</v>
      </c>
      <c r="D414">
        <v>577.58399999999995</v>
      </c>
      <c r="E414">
        <v>687.01742738589223</v>
      </c>
      <c r="F414">
        <v>354.78</v>
      </c>
      <c r="G414">
        <v>61.194240000000008</v>
      </c>
      <c r="H414">
        <v>156</v>
      </c>
      <c r="I414">
        <v>61</v>
      </c>
      <c r="J414">
        <v>6</v>
      </c>
      <c r="K414">
        <v>40</v>
      </c>
      <c r="L414">
        <v>53</v>
      </c>
      <c r="M414">
        <v>6</v>
      </c>
      <c r="N414">
        <v>1995</v>
      </c>
      <c r="O414">
        <v>0.27</v>
      </c>
      <c r="P414">
        <v>2.4700000000000002</v>
      </c>
      <c r="Q414">
        <v>1.4999999999999999E-2</v>
      </c>
      <c r="R414">
        <v>60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>
      <c r="A415">
        <v>394.96283468684982</v>
      </c>
      <c r="B415">
        <v>56.000000000000007</v>
      </c>
      <c r="C415">
        <v>4.9370354335856232</v>
      </c>
      <c r="D415">
        <v>433.78559999999999</v>
      </c>
      <c r="E415">
        <v>690.13941908713707</v>
      </c>
      <c r="F415">
        <v>175.7106</v>
      </c>
      <c r="G415">
        <v>76.643100000000004</v>
      </c>
      <c r="H415">
        <v>9</v>
      </c>
      <c r="I415">
        <v>67</v>
      </c>
      <c r="J415">
        <v>3</v>
      </c>
      <c r="K415">
        <v>134</v>
      </c>
      <c r="L415">
        <v>46</v>
      </c>
      <c r="M415">
        <v>2</v>
      </c>
      <c r="N415">
        <v>1995</v>
      </c>
      <c r="O415">
        <v>0.27</v>
      </c>
      <c r="P415">
        <v>2.4700000000000002</v>
      </c>
      <c r="Q415">
        <v>1.4999999999999999E-2</v>
      </c>
      <c r="R415">
        <v>60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>
      <c r="A416">
        <v>394.82568828308843</v>
      </c>
      <c r="B416">
        <v>56.000000000000007</v>
      </c>
      <c r="C416">
        <v>4.9353211035386044</v>
      </c>
      <c r="D416">
        <v>450.07044000000002</v>
      </c>
      <c r="E416">
        <v>689.94024896265569</v>
      </c>
      <c r="F416">
        <v>182.62644</v>
      </c>
      <c r="G416">
        <v>76.612320000000011</v>
      </c>
      <c r="H416">
        <v>8</v>
      </c>
      <c r="I416">
        <v>51</v>
      </c>
      <c r="J416">
        <v>5</v>
      </c>
      <c r="K416">
        <v>203</v>
      </c>
      <c r="L416">
        <v>62</v>
      </c>
      <c r="M416">
        <v>24</v>
      </c>
      <c r="N416">
        <v>1995</v>
      </c>
      <c r="O416">
        <v>0.27</v>
      </c>
      <c r="P416">
        <v>2.4700000000000002</v>
      </c>
      <c r="Q416">
        <v>1.4999999999999999E-2</v>
      </c>
      <c r="R416">
        <v>60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>
      <c r="A417">
        <v>394.70643171569492</v>
      </c>
      <c r="B417">
        <v>56.000000000000007</v>
      </c>
      <c r="C417">
        <v>4.9338303964461856</v>
      </c>
      <c r="D417">
        <v>481.17</v>
      </c>
      <c r="E417">
        <v>691.35087160020748</v>
      </c>
      <c r="F417">
        <v>180.73115999999999</v>
      </c>
      <c r="G417">
        <v>76.618679999999998</v>
      </c>
      <c r="H417">
        <v>6</v>
      </c>
      <c r="I417">
        <v>51</v>
      </c>
      <c r="J417">
        <v>7</v>
      </c>
      <c r="K417">
        <v>165</v>
      </c>
      <c r="L417">
        <v>61</v>
      </c>
      <c r="M417">
        <v>19</v>
      </c>
      <c r="N417">
        <v>1995</v>
      </c>
      <c r="O417">
        <v>0.27</v>
      </c>
      <c r="P417">
        <v>2.4700000000000002</v>
      </c>
      <c r="Q417">
        <v>1.4999999999999999E-2</v>
      </c>
      <c r="R417">
        <v>60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>
      <c r="A418">
        <v>315.3138858412637</v>
      </c>
      <c r="B418">
        <v>44.744000000000007</v>
      </c>
      <c r="C418">
        <v>4.9329456483301577</v>
      </c>
      <c r="D418">
        <v>767.94335999999998</v>
      </c>
      <c r="E418">
        <v>684.11618257261409</v>
      </c>
      <c r="F418">
        <v>625.53168000000005</v>
      </c>
      <c r="G418">
        <v>61.086480000000002</v>
      </c>
      <c r="H418">
        <v>40</v>
      </c>
      <c r="I418">
        <v>61</v>
      </c>
      <c r="J418">
        <v>10</v>
      </c>
      <c r="K418">
        <v>242</v>
      </c>
      <c r="L418">
        <v>58</v>
      </c>
      <c r="M418">
        <v>18</v>
      </c>
      <c r="N418">
        <v>1995</v>
      </c>
      <c r="O418">
        <v>0.27</v>
      </c>
      <c r="P418">
        <v>2.4700000000000002</v>
      </c>
      <c r="Q418">
        <v>1.4999999999999999E-2</v>
      </c>
      <c r="R418">
        <v>60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>
      <c r="A419">
        <v>315.3138858412637</v>
      </c>
      <c r="B419">
        <v>44.744000000000007</v>
      </c>
      <c r="C419">
        <v>4.9329456483301577</v>
      </c>
      <c r="D419">
        <v>767.94335999999998</v>
      </c>
      <c r="E419">
        <v>684.11618257261409</v>
      </c>
      <c r="F419">
        <v>625.53168000000005</v>
      </c>
      <c r="G419">
        <v>61.086480000000002</v>
      </c>
      <c r="H419">
        <v>40</v>
      </c>
      <c r="I419">
        <v>61</v>
      </c>
      <c r="J419">
        <v>10</v>
      </c>
      <c r="K419">
        <v>243</v>
      </c>
      <c r="L419">
        <v>58</v>
      </c>
      <c r="M419">
        <v>18</v>
      </c>
      <c r="N419">
        <v>1995</v>
      </c>
      <c r="O419">
        <v>0.27</v>
      </c>
      <c r="P419">
        <v>2.4700000000000002</v>
      </c>
      <c r="Q419">
        <v>1.4999999999999999E-2</v>
      </c>
      <c r="R419">
        <v>60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>
      <c r="A420">
        <v>394.62609485623932</v>
      </c>
      <c r="B420">
        <v>56.000000000000007</v>
      </c>
      <c r="C420">
        <v>4.9328261857029911</v>
      </c>
      <c r="D420">
        <v>472.66559999999998</v>
      </c>
      <c r="E420">
        <v>691.792531120332</v>
      </c>
      <c r="F420">
        <v>182.84399999999999</v>
      </c>
      <c r="G420">
        <v>76.612320000000011</v>
      </c>
      <c r="H420">
        <v>8</v>
      </c>
      <c r="I420">
        <v>51</v>
      </c>
      <c r="J420">
        <v>5</v>
      </c>
      <c r="K420">
        <v>242</v>
      </c>
      <c r="L420">
        <v>62</v>
      </c>
      <c r="M420">
        <v>18</v>
      </c>
      <c r="N420">
        <v>1995</v>
      </c>
      <c r="O420">
        <v>0.27</v>
      </c>
      <c r="P420">
        <v>2.4700000000000002</v>
      </c>
      <c r="Q420">
        <v>1.4999999999999999E-2</v>
      </c>
      <c r="R420">
        <v>60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>
      <c r="A421">
        <v>394.62609485623932</v>
      </c>
      <c r="B421">
        <v>56.000000000000007</v>
      </c>
      <c r="C421">
        <v>4.9328261857029911</v>
      </c>
      <c r="D421">
        <v>472.66559999999998</v>
      </c>
      <c r="E421">
        <v>691.792531120332</v>
      </c>
      <c r="F421">
        <v>182.84399999999999</v>
      </c>
      <c r="G421">
        <v>76.612320000000011</v>
      </c>
      <c r="H421">
        <v>8</v>
      </c>
      <c r="I421">
        <v>51</v>
      </c>
      <c r="J421">
        <v>5</v>
      </c>
      <c r="K421">
        <v>243</v>
      </c>
      <c r="L421">
        <v>62</v>
      </c>
      <c r="M421">
        <v>18</v>
      </c>
      <c r="N421">
        <v>1995</v>
      </c>
      <c r="O421">
        <v>0.27</v>
      </c>
      <c r="P421">
        <v>2.4700000000000002</v>
      </c>
      <c r="Q421">
        <v>1.4999999999999999E-2</v>
      </c>
      <c r="R421">
        <v>60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>
      <c r="A422">
        <v>394.51914960722593</v>
      </c>
      <c r="B422">
        <v>56</v>
      </c>
      <c r="C422">
        <v>4.9314893700903237</v>
      </c>
      <c r="D422">
        <v>448.50240000000002</v>
      </c>
      <c r="E422">
        <v>689.93838472536436</v>
      </c>
      <c r="F422">
        <v>181.05840000000001</v>
      </c>
      <c r="G422">
        <v>76.552800000000005</v>
      </c>
      <c r="H422">
        <v>8</v>
      </c>
      <c r="I422">
        <v>53</v>
      </c>
      <c r="J422">
        <v>5</v>
      </c>
      <c r="K422">
        <v>231</v>
      </c>
      <c r="L422">
        <v>56</v>
      </c>
      <c r="M422">
        <v>2</v>
      </c>
      <c r="N422">
        <v>1995</v>
      </c>
      <c r="O422">
        <v>0.27</v>
      </c>
      <c r="P422">
        <v>2.4700000000000002</v>
      </c>
      <c r="Q422">
        <v>1.4999999999999999E-2</v>
      </c>
      <c r="R422">
        <v>60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>
      <c r="A423">
        <v>394.1619283353167</v>
      </c>
      <c r="B423">
        <v>56</v>
      </c>
      <c r="C423">
        <v>4.9270241041914593</v>
      </c>
      <c r="D423">
        <v>494.2704</v>
      </c>
      <c r="E423">
        <v>689.12033195020751</v>
      </c>
      <c r="F423">
        <v>178.2</v>
      </c>
      <c r="G423">
        <v>76.466399999999993</v>
      </c>
      <c r="H423">
        <v>8</v>
      </c>
      <c r="I423">
        <v>53</v>
      </c>
      <c r="J423">
        <v>5</v>
      </c>
      <c r="K423">
        <v>128</v>
      </c>
      <c r="L423">
        <v>58</v>
      </c>
      <c r="M423">
        <v>2</v>
      </c>
      <c r="N423">
        <v>1995</v>
      </c>
      <c r="O423">
        <v>0.27</v>
      </c>
      <c r="P423">
        <v>2.4700000000000002</v>
      </c>
      <c r="Q423">
        <v>1.4999999999999999E-2</v>
      </c>
      <c r="R423">
        <v>60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>
      <c r="A424">
        <v>314.88376760882272</v>
      </c>
      <c r="B424">
        <v>44.744</v>
      </c>
      <c r="C424">
        <v>4.9262166396874649</v>
      </c>
      <c r="D424">
        <v>745.83326999999997</v>
      </c>
      <c r="E424">
        <v>681.92531120331955</v>
      </c>
      <c r="F424">
        <v>625.05327</v>
      </c>
      <c r="G424">
        <v>60.966600000000007</v>
      </c>
      <c r="H424">
        <v>40</v>
      </c>
      <c r="I424">
        <v>61</v>
      </c>
      <c r="J424">
        <v>10</v>
      </c>
      <c r="K424">
        <v>267</v>
      </c>
      <c r="L424">
        <v>60</v>
      </c>
      <c r="M424">
        <v>19</v>
      </c>
      <c r="N424">
        <v>1995</v>
      </c>
      <c r="O424">
        <v>0.27</v>
      </c>
      <c r="P424">
        <v>2.4700000000000002</v>
      </c>
      <c r="Q424">
        <v>1.4999999999999999E-2</v>
      </c>
      <c r="R424">
        <v>60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>
      <c r="A425">
        <v>403.59251507308602</v>
      </c>
      <c r="B425">
        <v>57.35820895522388</v>
      </c>
      <c r="C425">
        <v>4.9254459945167151</v>
      </c>
      <c r="D425">
        <v>507.11844000000002</v>
      </c>
      <c r="E425">
        <v>688.26055192045828</v>
      </c>
      <c r="F425">
        <v>187.64467740000001</v>
      </c>
      <c r="G425">
        <v>78.277524</v>
      </c>
      <c r="H425">
        <v>9</v>
      </c>
      <c r="I425">
        <v>50</v>
      </c>
      <c r="J425">
        <v>4</v>
      </c>
      <c r="K425">
        <v>316</v>
      </c>
      <c r="L425">
        <v>63</v>
      </c>
      <c r="M425">
        <v>24</v>
      </c>
      <c r="N425">
        <v>1995</v>
      </c>
      <c r="O425">
        <v>0.27</v>
      </c>
      <c r="P425">
        <v>2.4700000000000002</v>
      </c>
      <c r="Q425">
        <v>1.4999999999999999E-2</v>
      </c>
      <c r="R425">
        <v>60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>
      <c r="A426">
        <v>393.8455267387605</v>
      </c>
      <c r="B426">
        <v>56</v>
      </c>
      <c r="C426">
        <v>4.9230690842345064</v>
      </c>
      <c r="D426">
        <v>448.58159999999998</v>
      </c>
      <c r="E426">
        <v>682.05584288199839</v>
      </c>
      <c r="F426">
        <v>181.13759999999999</v>
      </c>
      <c r="G426">
        <v>76.257600000000011</v>
      </c>
      <c r="H426">
        <v>8</v>
      </c>
      <c r="I426">
        <v>53</v>
      </c>
      <c r="J426">
        <v>5</v>
      </c>
      <c r="K426">
        <v>123</v>
      </c>
      <c r="L426">
        <v>58</v>
      </c>
      <c r="M426">
        <v>2</v>
      </c>
      <c r="N426">
        <v>1995</v>
      </c>
      <c r="O426">
        <v>0.27</v>
      </c>
      <c r="P426">
        <v>2.4700000000000002</v>
      </c>
      <c r="Q426">
        <v>1.4999999999999999E-2</v>
      </c>
      <c r="R426">
        <v>60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>
      <c r="A427">
        <v>393.78734471796469</v>
      </c>
      <c r="B427">
        <v>56</v>
      </c>
      <c r="C427">
        <v>4.9223418089745588</v>
      </c>
      <c r="D427">
        <v>449.42219999999998</v>
      </c>
      <c r="E427">
        <v>689.80082987551873</v>
      </c>
      <c r="F427">
        <v>181.97819999999999</v>
      </c>
      <c r="G427">
        <v>76.407930000000007</v>
      </c>
      <c r="H427">
        <v>8</v>
      </c>
      <c r="I427">
        <v>52</v>
      </c>
      <c r="J427">
        <v>5</v>
      </c>
      <c r="K427">
        <v>267</v>
      </c>
      <c r="L427">
        <v>61</v>
      </c>
      <c r="M427">
        <v>19</v>
      </c>
      <c r="N427">
        <v>1995</v>
      </c>
      <c r="O427">
        <v>0.27</v>
      </c>
      <c r="P427">
        <v>2.4700000000000002</v>
      </c>
      <c r="Q427">
        <v>1.4999999999999999E-2</v>
      </c>
      <c r="R427">
        <v>60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>
      <c r="A428">
        <v>402.07904980378692</v>
      </c>
      <c r="B428">
        <v>57.235294117647072</v>
      </c>
      <c r="C428">
        <v>4.9175135587513497</v>
      </c>
      <c r="D428">
        <v>508.12139999999988</v>
      </c>
      <c r="E428">
        <v>686.31280110889543</v>
      </c>
      <c r="F428">
        <v>188.301276</v>
      </c>
      <c r="G428">
        <v>77.942490000000006</v>
      </c>
      <c r="H428">
        <v>9</v>
      </c>
      <c r="I428">
        <v>50</v>
      </c>
      <c r="J428">
        <v>4</v>
      </c>
      <c r="K428">
        <v>77</v>
      </c>
      <c r="L428">
        <v>63</v>
      </c>
      <c r="M428">
        <v>28</v>
      </c>
      <c r="N428">
        <v>1995</v>
      </c>
      <c r="O428">
        <v>0.27</v>
      </c>
      <c r="P428">
        <v>2.4700000000000002</v>
      </c>
      <c r="Q428">
        <v>1.4999999999999999E-2</v>
      </c>
      <c r="R428">
        <v>60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>
      <c r="A429">
        <v>381.58926372937572</v>
      </c>
      <c r="B429">
        <v>54.32</v>
      </c>
      <c r="C429">
        <v>4.9173874191929849</v>
      </c>
      <c r="D429">
        <v>458.37959999999998</v>
      </c>
      <c r="E429">
        <v>691.28989057629178</v>
      </c>
      <c r="F429">
        <v>177.79859999999999</v>
      </c>
      <c r="G429">
        <v>74.071200000000005</v>
      </c>
      <c r="H429">
        <v>8</v>
      </c>
      <c r="I429">
        <v>49</v>
      </c>
      <c r="J429">
        <v>5</v>
      </c>
      <c r="K429">
        <v>236</v>
      </c>
      <c r="L429">
        <v>60</v>
      </c>
      <c r="M429">
        <v>21</v>
      </c>
      <c r="N429">
        <v>1995</v>
      </c>
      <c r="O429">
        <v>0.27</v>
      </c>
      <c r="P429">
        <v>2.4700000000000002</v>
      </c>
      <c r="Q429">
        <v>1.4999999999999999E-2</v>
      </c>
      <c r="R429">
        <v>60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>
      <c r="A430">
        <v>457.13767709439531</v>
      </c>
      <c r="B430">
        <v>65.100000000000023</v>
      </c>
      <c r="C430">
        <v>4.91545889348812</v>
      </c>
      <c r="D430">
        <v>445.536</v>
      </c>
      <c r="E430">
        <v>671.50207468879671</v>
      </c>
      <c r="F430">
        <v>155.024</v>
      </c>
      <c r="G430">
        <v>88.256799999999998</v>
      </c>
      <c r="H430">
        <v>39</v>
      </c>
      <c r="I430">
        <v>58</v>
      </c>
      <c r="J430">
        <v>10</v>
      </c>
      <c r="K430">
        <v>91</v>
      </c>
      <c r="L430">
        <v>55</v>
      </c>
      <c r="M430">
        <v>6</v>
      </c>
      <c r="N430">
        <v>1995</v>
      </c>
      <c r="O430">
        <v>0.27</v>
      </c>
      <c r="P430">
        <v>2.4700000000000002</v>
      </c>
      <c r="Q430">
        <v>1.4999999999999999E-2</v>
      </c>
      <c r="R430">
        <v>60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>
      <c r="A431">
        <v>368.40007474708341</v>
      </c>
      <c r="B431">
        <v>52.500000000000007</v>
      </c>
      <c r="C431">
        <v>4.9120009966277776</v>
      </c>
      <c r="D431">
        <v>449.23919999999998</v>
      </c>
      <c r="E431">
        <v>690.0954299118232</v>
      </c>
      <c r="F431">
        <v>213.0164</v>
      </c>
      <c r="G431">
        <v>71.487700000000004</v>
      </c>
      <c r="H431">
        <v>22</v>
      </c>
      <c r="I431">
        <v>57</v>
      </c>
      <c r="J431">
        <v>3</v>
      </c>
      <c r="K431">
        <v>327</v>
      </c>
      <c r="L431">
        <v>56</v>
      </c>
      <c r="M431">
        <v>29</v>
      </c>
      <c r="N431">
        <v>1995</v>
      </c>
      <c r="O431">
        <v>0.27</v>
      </c>
      <c r="P431">
        <v>2.4700000000000002</v>
      </c>
      <c r="Q431">
        <v>1.4999999999999999E-2</v>
      </c>
      <c r="R431">
        <v>60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>
      <c r="A432">
        <v>392.75991021667681</v>
      </c>
      <c r="B432">
        <v>56</v>
      </c>
      <c r="C432">
        <v>4.9094988777084598</v>
      </c>
      <c r="D432">
        <v>486.18</v>
      </c>
      <c r="E432">
        <v>690.34992421564959</v>
      </c>
      <c r="F432">
        <v>179.45</v>
      </c>
      <c r="G432">
        <v>76.22</v>
      </c>
      <c r="H432">
        <v>9</v>
      </c>
      <c r="I432">
        <v>47</v>
      </c>
      <c r="J432">
        <v>4</v>
      </c>
      <c r="K432">
        <v>327</v>
      </c>
      <c r="L432">
        <v>65</v>
      </c>
      <c r="M432">
        <v>25</v>
      </c>
      <c r="N432">
        <v>1995</v>
      </c>
      <c r="O432">
        <v>0.27</v>
      </c>
      <c r="P432">
        <v>2.4700000000000002</v>
      </c>
      <c r="Q432">
        <v>1.4999999999999999E-2</v>
      </c>
      <c r="R432">
        <v>60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>
      <c r="A433">
        <v>392.60465035271727</v>
      </c>
      <c r="B433">
        <v>56.000000000000007</v>
      </c>
      <c r="C433">
        <v>4.9075581294089652</v>
      </c>
      <c r="D433">
        <v>473.23984000000002</v>
      </c>
      <c r="E433">
        <v>688.60248962655601</v>
      </c>
      <c r="F433">
        <v>183.13112000000001</v>
      </c>
      <c r="G433">
        <v>76.15352</v>
      </c>
      <c r="H433">
        <v>8</v>
      </c>
      <c r="I433">
        <v>51</v>
      </c>
      <c r="J433">
        <v>5</v>
      </c>
      <c r="K433">
        <v>252</v>
      </c>
      <c r="L433">
        <v>62</v>
      </c>
      <c r="M433">
        <v>26</v>
      </c>
      <c r="N433">
        <v>1995</v>
      </c>
      <c r="O433">
        <v>0.27</v>
      </c>
      <c r="P433">
        <v>2.4700000000000002</v>
      </c>
      <c r="Q433">
        <v>1.4999999999999999E-2</v>
      </c>
      <c r="R433">
        <v>60</v>
      </c>
      <c r="S433">
        <v>700</v>
      </c>
      <c r="T433">
        <v>475</v>
      </c>
      <c r="U433">
        <v>275</v>
      </c>
      <c r="V433">
        <v>370</v>
      </c>
      <c r="W433">
        <v>155</v>
      </c>
    </row>
    <row r="434" spans="1:23">
      <c r="A434">
        <v>392.5884191932409</v>
      </c>
      <c r="B434">
        <v>55.999999999999993</v>
      </c>
      <c r="C434">
        <v>4.9073552399155123</v>
      </c>
      <c r="D434">
        <v>467.79027200000002</v>
      </c>
      <c r="E434">
        <v>690.35684647302901</v>
      </c>
      <c r="F434">
        <v>180.61513600000001</v>
      </c>
      <c r="G434">
        <v>76.186864</v>
      </c>
      <c r="H434">
        <v>9</v>
      </c>
      <c r="I434">
        <v>49</v>
      </c>
      <c r="J434">
        <v>4</v>
      </c>
      <c r="K434">
        <v>331</v>
      </c>
      <c r="L434">
        <v>64</v>
      </c>
      <c r="M434">
        <v>8</v>
      </c>
      <c r="N434">
        <v>1995</v>
      </c>
      <c r="O434">
        <v>0.27</v>
      </c>
      <c r="P434">
        <v>2.4700000000000002</v>
      </c>
      <c r="Q434">
        <v>1.4999999999999999E-2</v>
      </c>
      <c r="R434">
        <v>60</v>
      </c>
      <c r="S434">
        <v>700</v>
      </c>
      <c r="T434">
        <v>475</v>
      </c>
      <c r="U434">
        <v>275</v>
      </c>
      <c r="V434">
        <v>370</v>
      </c>
      <c r="W434">
        <v>155</v>
      </c>
    </row>
    <row r="435" spans="1:23">
      <c r="A435">
        <v>392.56584912166818</v>
      </c>
      <c r="B435">
        <v>56</v>
      </c>
      <c r="C435">
        <v>4.9070731140208537</v>
      </c>
      <c r="D435">
        <v>434.17439999999999</v>
      </c>
      <c r="E435">
        <v>691.17012448132789</v>
      </c>
      <c r="F435">
        <v>176.0994</v>
      </c>
      <c r="G435">
        <v>76.199399999999997</v>
      </c>
      <c r="H435">
        <v>9</v>
      </c>
      <c r="I435">
        <v>66</v>
      </c>
      <c r="J435">
        <v>3</v>
      </c>
      <c r="K435">
        <v>132</v>
      </c>
      <c r="L435">
        <v>45</v>
      </c>
      <c r="M435">
        <v>2</v>
      </c>
      <c r="N435">
        <v>1995</v>
      </c>
      <c r="O435">
        <v>0.27</v>
      </c>
      <c r="P435">
        <v>2.4700000000000002</v>
      </c>
      <c r="Q435">
        <v>1.4999999999999999E-2</v>
      </c>
      <c r="R435">
        <v>60</v>
      </c>
      <c r="S435">
        <v>700</v>
      </c>
      <c r="T435">
        <v>475</v>
      </c>
      <c r="U435">
        <v>275</v>
      </c>
      <c r="V435">
        <v>370</v>
      </c>
      <c r="W435">
        <v>155</v>
      </c>
    </row>
    <row r="436" spans="1:23">
      <c r="A436">
        <v>367.85014261097922</v>
      </c>
      <c r="B436">
        <v>52.5</v>
      </c>
      <c r="C436">
        <v>4.9046685681463904</v>
      </c>
      <c r="D436">
        <v>413.58240000000001</v>
      </c>
      <c r="E436">
        <v>692.34854771784228</v>
      </c>
      <c r="F436">
        <v>217.11240000000001</v>
      </c>
      <c r="G436">
        <v>71.424899999999994</v>
      </c>
      <c r="H436">
        <v>22</v>
      </c>
      <c r="I436">
        <v>61</v>
      </c>
      <c r="J436">
        <v>3</v>
      </c>
      <c r="K436">
        <v>130</v>
      </c>
      <c r="L436">
        <v>47</v>
      </c>
      <c r="M436">
        <v>2</v>
      </c>
      <c r="N436">
        <v>1995</v>
      </c>
      <c r="O436">
        <v>0.27</v>
      </c>
      <c r="P436">
        <v>2.4700000000000002</v>
      </c>
      <c r="Q436">
        <v>1.4999999999999999E-2</v>
      </c>
      <c r="R436">
        <v>60</v>
      </c>
      <c r="S436">
        <v>700</v>
      </c>
      <c r="T436">
        <v>475</v>
      </c>
      <c r="U436">
        <v>275</v>
      </c>
      <c r="V436">
        <v>370</v>
      </c>
      <c r="W436">
        <v>155</v>
      </c>
    </row>
    <row r="437" spans="1:23">
      <c r="A437">
        <v>367.75895626278623</v>
      </c>
      <c r="B437">
        <v>52.5</v>
      </c>
      <c r="C437">
        <v>4.9034527501704837</v>
      </c>
      <c r="D437">
        <v>434.11200000000002</v>
      </c>
      <c r="E437">
        <v>690.36273027543973</v>
      </c>
      <c r="F437">
        <v>217.05600000000001</v>
      </c>
      <c r="G437">
        <v>71.368499999999997</v>
      </c>
      <c r="H437">
        <v>22</v>
      </c>
      <c r="I437">
        <v>61</v>
      </c>
      <c r="J437">
        <v>3</v>
      </c>
      <c r="K437">
        <v>181</v>
      </c>
      <c r="L437">
        <v>47</v>
      </c>
      <c r="M437">
        <v>2</v>
      </c>
      <c r="N437">
        <v>1995</v>
      </c>
      <c r="O437">
        <v>0.27</v>
      </c>
      <c r="P437">
        <v>2.4700000000000002</v>
      </c>
      <c r="Q437">
        <v>1.4999999999999999E-2</v>
      </c>
      <c r="R437">
        <v>60</v>
      </c>
      <c r="S437">
        <v>700</v>
      </c>
      <c r="T437">
        <v>475</v>
      </c>
      <c r="U437">
        <v>275</v>
      </c>
      <c r="V437">
        <v>370</v>
      </c>
      <c r="W437">
        <v>155</v>
      </c>
    </row>
    <row r="438" spans="1:23">
      <c r="A438">
        <v>392.08020876807268</v>
      </c>
      <c r="B438">
        <v>56</v>
      </c>
      <c r="C438">
        <v>4.9010026096009076</v>
      </c>
      <c r="D438">
        <v>467.46143999999998</v>
      </c>
      <c r="E438">
        <v>691.43900414937764</v>
      </c>
      <c r="F438">
        <v>180.45071999999999</v>
      </c>
      <c r="G438">
        <v>76.110720000000001</v>
      </c>
      <c r="H438">
        <v>9</v>
      </c>
      <c r="I438">
        <v>50</v>
      </c>
      <c r="J438">
        <v>4</v>
      </c>
      <c r="K438">
        <v>1</v>
      </c>
      <c r="L438">
        <v>54</v>
      </c>
      <c r="M438">
        <v>4</v>
      </c>
      <c r="N438">
        <v>1995</v>
      </c>
      <c r="O438">
        <v>0.27</v>
      </c>
      <c r="P438">
        <v>2.4700000000000002</v>
      </c>
      <c r="Q438">
        <v>1.4999999999999999E-2</v>
      </c>
      <c r="R438">
        <v>60</v>
      </c>
      <c r="S438">
        <v>700</v>
      </c>
      <c r="T438">
        <v>475</v>
      </c>
      <c r="U438">
        <v>275</v>
      </c>
      <c r="V438">
        <v>370</v>
      </c>
      <c r="W438">
        <v>155</v>
      </c>
    </row>
    <row r="439" spans="1:23">
      <c r="A439">
        <v>391.79860420363309</v>
      </c>
      <c r="B439">
        <v>56.000000000000007</v>
      </c>
      <c r="C439">
        <v>4.8974825525454149</v>
      </c>
      <c r="D439">
        <v>486.97888</v>
      </c>
      <c r="E439">
        <v>691.27373512615873</v>
      </c>
      <c r="F439">
        <v>178.45987199999999</v>
      </c>
      <c r="G439">
        <v>76.052623999999994</v>
      </c>
      <c r="H439">
        <v>6</v>
      </c>
      <c r="I439">
        <v>50</v>
      </c>
      <c r="J439">
        <v>7</v>
      </c>
      <c r="K439">
        <v>125</v>
      </c>
      <c r="L439">
        <v>61</v>
      </c>
      <c r="M439">
        <v>22</v>
      </c>
      <c r="N439">
        <v>1995</v>
      </c>
      <c r="O439">
        <v>0.27</v>
      </c>
      <c r="P439">
        <v>2.4700000000000002</v>
      </c>
      <c r="Q439">
        <v>1.4999999999999999E-2</v>
      </c>
      <c r="R439">
        <v>60</v>
      </c>
      <c r="S439">
        <v>700</v>
      </c>
      <c r="T439">
        <v>475</v>
      </c>
      <c r="U439">
        <v>275</v>
      </c>
      <c r="V439">
        <v>370</v>
      </c>
      <c r="W439">
        <v>155</v>
      </c>
    </row>
    <row r="440" spans="1:23">
      <c r="A440">
        <v>327.65665287530902</v>
      </c>
      <c r="B440">
        <v>46.844000000000023</v>
      </c>
      <c r="C440">
        <v>4.8962440656800492</v>
      </c>
      <c r="D440">
        <v>847.15680000000009</v>
      </c>
      <c r="E440">
        <v>685.72946058091281</v>
      </c>
      <c r="F440">
        <v>693.65039999999999</v>
      </c>
      <c r="G440">
        <v>63.505680000000012</v>
      </c>
      <c r="H440">
        <v>40</v>
      </c>
      <c r="I440">
        <v>62</v>
      </c>
      <c r="J440">
        <v>11</v>
      </c>
      <c r="K440">
        <v>91</v>
      </c>
      <c r="L440">
        <v>52</v>
      </c>
      <c r="M440">
        <v>6</v>
      </c>
      <c r="N440">
        <v>1995</v>
      </c>
      <c r="O440">
        <v>0.27</v>
      </c>
      <c r="P440">
        <v>2.4700000000000002</v>
      </c>
      <c r="Q440">
        <v>1.4999999999999999E-2</v>
      </c>
      <c r="R440">
        <v>60</v>
      </c>
      <c r="S440">
        <v>700</v>
      </c>
      <c r="T440">
        <v>475</v>
      </c>
      <c r="U440">
        <v>275</v>
      </c>
      <c r="V440">
        <v>370</v>
      </c>
      <c r="W440">
        <v>155</v>
      </c>
    </row>
    <row r="441" spans="1:23">
      <c r="A441">
        <v>391.30082850121198</v>
      </c>
      <c r="B441">
        <v>56</v>
      </c>
      <c r="C441">
        <v>4.8912603562651507</v>
      </c>
      <c r="D441">
        <v>483.30399999999997</v>
      </c>
      <c r="E441">
        <v>691.27373512615873</v>
      </c>
      <c r="F441">
        <v>178.36799999999999</v>
      </c>
      <c r="G441">
        <v>75.956000000000003</v>
      </c>
      <c r="H441">
        <v>6</v>
      </c>
      <c r="I441">
        <v>50</v>
      </c>
      <c r="J441">
        <v>7</v>
      </c>
      <c r="K441">
        <v>124</v>
      </c>
      <c r="L441">
        <v>61</v>
      </c>
      <c r="M441">
        <v>22</v>
      </c>
      <c r="N441">
        <v>1995</v>
      </c>
      <c r="O441">
        <v>0.27</v>
      </c>
      <c r="P441">
        <v>2.4700000000000002</v>
      </c>
      <c r="Q441">
        <v>1.4999999999999999E-2</v>
      </c>
      <c r="R441">
        <v>60</v>
      </c>
      <c r="S441">
        <v>700</v>
      </c>
      <c r="T441">
        <v>475</v>
      </c>
      <c r="U441">
        <v>275</v>
      </c>
      <c r="V441">
        <v>370</v>
      </c>
      <c r="W441">
        <v>155</v>
      </c>
    </row>
    <row r="442" spans="1:23">
      <c r="A442">
        <v>390.78219251763983</v>
      </c>
      <c r="B442">
        <v>56</v>
      </c>
      <c r="C442">
        <v>4.8847774064704979</v>
      </c>
      <c r="D442">
        <v>459.41728000000001</v>
      </c>
      <c r="E442">
        <v>691.54580190618663</v>
      </c>
      <c r="F442">
        <v>177.90863999999999</v>
      </c>
      <c r="G442">
        <v>75.860960000000006</v>
      </c>
      <c r="H442">
        <v>6</v>
      </c>
      <c r="I442">
        <v>50</v>
      </c>
      <c r="J442">
        <v>7</v>
      </c>
      <c r="K442">
        <v>333</v>
      </c>
      <c r="L442">
        <v>62</v>
      </c>
      <c r="M442">
        <v>22</v>
      </c>
      <c r="N442">
        <v>1995</v>
      </c>
      <c r="O442">
        <v>0.27</v>
      </c>
      <c r="P442">
        <v>2.4700000000000002</v>
      </c>
      <c r="Q442">
        <v>1.4999999999999999E-2</v>
      </c>
      <c r="R442">
        <v>60</v>
      </c>
      <c r="S442">
        <v>700</v>
      </c>
      <c r="T442">
        <v>475</v>
      </c>
      <c r="U442">
        <v>275</v>
      </c>
      <c r="V442">
        <v>370</v>
      </c>
      <c r="W442">
        <v>155</v>
      </c>
    </row>
    <row r="443" spans="1:23">
      <c r="A443">
        <v>390.34807772355902</v>
      </c>
      <c r="B443">
        <v>56</v>
      </c>
      <c r="C443">
        <v>4.879350971544488</v>
      </c>
      <c r="D443">
        <v>491.28696000000002</v>
      </c>
      <c r="E443">
        <v>686.05477178423234</v>
      </c>
      <c r="F443">
        <v>181.59191999999999</v>
      </c>
      <c r="G443">
        <v>75.663120000000006</v>
      </c>
      <c r="H443">
        <v>8</v>
      </c>
      <c r="I443">
        <v>52</v>
      </c>
      <c r="J443">
        <v>5</v>
      </c>
      <c r="K443">
        <v>99</v>
      </c>
      <c r="L443">
        <v>61</v>
      </c>
      <c r="M443">
        <v>8</v>
      </c>
      <c r="N443">
        <v>1995</v>
      </c>
      <c r="O443">
        <v>0.27</v>
      </c>
      <c r="P443">
        <v>2.4700000000000002</v>
      </c>
      <c r="Q443">
        <v>1.4999999999999999E-2</v>
      </c>
      <c r="R443">
        <v>60</v>
      </c>
      <c r="S443">
        <v>700</v>
      </c>
      <c r="T443">
        <v>475</v>
      </c>
      <c r="U443">
        <v>275</v>
      </c>
      <c r="V443">
        <v>370</v>
      </c>
      <c r="W443">
        <v>155</v>
      </c>
    </row>
    <row r="444" spans="1:23">
      <c r="A444">
        <v>389.24652345776178</v>
      </c>
      <c r="B444">
        <v>56</v>
      </c>
      <c r="C444">
        <v>4.8655815432220244</v>
      </c>
      <c r="D444">
        <v>618.08500000000004</v>
      </c>
      <c r="E444">
        <v>687.5287772068383</v>
      </c>
      <c r="F444">
        <v>179.45</v>
      </c>
      <c r="G444">
        <v>75.48</v>
      </c>
      <c r="H444">
        <v>9</v>
      </c>
      <c r="I444">
        <v>47</v>
      </c>
      <c r="J444">
        <v>4</v>
      </c>
      <c r="K444">
        <v>148</v>
      </c>
      <c r="L444">
        <v>63</v>
      </c>
      <c r="M444">
        <v>25</v>
      </c>
      <c r="N444">
        <v>1995</v>
      </c>
      <c r="O444">
        <v>0.27</v>
      </c>
      <c r="P444">
        <v>2.4700000000000002</v>
      </c>
      <c r="Q444">
        <v>1.4999999999999999E-2</v>
      </c>
      <c r="R444">
        <v>60</v>
      </c>
      <c r="S444">
        <v>700</v>
      </c>
      <c r="T444">
        <v>475</v>
      </c>
      <c r="U444">
        <v>275</v>
      </c>
      <c r="V444">
        <v>370</v>
      </c>
      <c r="W444">
        <v>155</v>
      </c>
    </row>
    <row r="445" spans="1:23">
      <c r="A445">
        <v>389.17476386110337</v>
      </c>
      <c r="B445">
        <v>56</v>
      </c>
      <c r="C445">
        <v>4.864684548263793</v>
      </c>
      <c r="D445">
        <v>459.62880000000001</v>
      </c>
      <c r="E445">
        <v>690.35684647302912</v>
      </c>
      <c r="F445">
        <v>177.64439999999999</v>
      </c>
      <c r="G445">
        <v>75.5244</v>
      </c>
      <c r="H445">
        <v>9</v>
      </c>
      <c r="I445">
        <v>49</v>
      </c>
      <c r="J445">
        <v>4</v>
      </c>
      <c r="K445">
        <v>177</v>
      </c>
      <c r="L445">
        <v>56</v>
      </c>
      <c r="M445">
        <v>2</v>
      </c>
      <c r="N445">
        <v>1995</v>
      </c>
      <c r="O445">
        <v>0.27</v>
      </c>
      <c r="P445">
        <v>2.4700000000000002</v>
      </c>
      <c r="Q445">
        <v>1.4999999999999999E-2</v>
      </c>
      <c r="R445">
        <v>60</v>
      </c>
      <c r="S445">
        <v>700</v>
      </c>
      <c r="T445">
        <v>475</v>
      </c>
      <c r="U445">
        <v>275</v>
      </c>
      <c r="V445">
        <v>370</v>
      </c>
      <c r="W445">
        <v>155</v>
      </c>
    </row>
    <row r="446" spans="1:23">
      <c r="A446">
        <v>364.4735878622069</v>
      </c>
      <c r="B446">
        <v>52.5</v>
      </c>
      <c r="C446">
        <v>4.8596478381627586</v>
      </c>
      <c r="D446">
        <v>582.67600000000004</v>
      </c>
      <c r="E446">
        <v>686.63276180237824</v>
      </c>
      <c r="F446">
        <v>213.0164</v>
      </c>
      <c r="G446">
        <v>70.658899999999988</v>
      </c>
      <c r="H446">
        <v>22</v>
      </c>
      <c r="I446">
        <v>57</v>
      </c>
      <c r="J446">
        <v>3</v>
      </c>
      <c r="K446">
        <v>148</v>
      </c>
      <c r="L446">
        <v>56</v>
      </c>
      <c r="M446">
        <v>28</v>
      </c>
      <c r="N446">
        <v>1995</v>
      </c>
      <c r="O446">
        <v>0.27</v>
      </c>
      <c r="P446">
        <v>2.4700000000000002</v>
      </c>
      <c r="Q446">
        <v>1.4999999999999999E-2</v>
      </c>
      <c r="R446">
        <v>60</v>
      </c>
      <c r="S446">
        <v>700</v>
      </c>
      <c r="T446">
        <v>475</v>
      </c>
      <c r="U446">
        <v>275</v>
      </c>
      <c r="V446">
        <v>370</v>
      </c>
      <c r="W446">
        <v>155</v>
      </c>
    </row>
    <row r="447" spans="1:23">
      <c r="A447">
        <v>388.7525789440964</v>
      </c>
      <c r="B447">
        <v>56</v>
      </c>
      <c r="C447">
        <v>4.8594072368012053</v>
      </c>
      <c r="D447">
        <v>434.0016</v>
      </c>
      <c r="E447">
        <v>678.29875518672202</v>
      </c>
      <c r="F447">
        <v>175.92660000000001</v>
      </c>
      <c r="G447">
        <v>75.194100000000006</v>
      </c>
      <c r="H447">
        <v>9</v>
      </c>
      <c r="I447">
        <v>65</v>
      </c>
      <c r="J447">
        <v>3</v>
      </c>
      <c r="K447">
        <v>130</v>
      </c>
      <c r="L447">
        <v>48</v>
      </c>
      <c r="M447">
        <v>2</v>
      </c>
      <c r="N447">
        <v>1995</v>
      </c>
      <c r="O447">
        <v>0.27</v>
      </c>
      <c r="P447">
        <v>2.4700000000000002</v>
      </c>
      <c r="Q447">
        <v>1.4999999999999999E-2</v>
      </c>
      <c r="R447">
        <v>60</v>
      </c>
      <c r="S447">
        <v>700</v>
      </c>
      <c r="T447">
        <v>475</v>
      </c>
      <c r="U447">
        <v>275</v>
      </c>
      <c r="V447">
        <v>370</v>
      </c>
      <c r="W447">
        <v>155</v>
      </c>
    </row>
    <row r="448" spans="1:23">
      <c r="A448">
        <v>388.67071145875201</v>
      </c>
      <c r="B448">
        <v>56</v>
      </c>
      <c r="C448">
        <v>4.8583838932343992</v>
      </c>
      <c r="D448">
        <v>454.96800000000002</v>
      </c>
      <c r="E448">
        <v>676.2706863093747</v>
      </c>
      <c r="F448">
        <v>175.869</v>
      </c>
      <c r="G448">
        <v>75.136499999999998</v>
      </c>
      <c r="H448">
        <v>9</v>
      </c>
      <c r="I448">
        <v>65</v>
      </c>
      <c r="J448">
        <v>3</v>
      </c>
      <c r="K448">
        <v>181</v>
      </c>
      <c r="L448">
        <v>48</v>
      </c>
      <c r="M448">
        <v>2</v>
      </c>
      <c r="N448">
        <v>1995</v>
      </c>
      <c r="O448">
        <v>0.27</v>
      </c>
      <c r="P448">
        <v>2.4700000000000002</v>
      </c>
      <c r="Q448">
        <v>1.4999999999999999E-2</v>
      </c>
      <c r="R448">
        <v>60</v>
      </c>
      <c r="S448">
        <v>700</v>
      </c>
      <c r="T448">
        <v>475</v>
      </c>
      <c r="U448">
        <v>275</v>
      </c>
      <c r="V448">
        <v>370</v>
      </c>
      <c r="W448">
        <v>155</v>
      </c>
    </row>
    <row r="449" spans="1:23">
      <c r="A449">
        <v>388.58672177082673</v>
      </c>
      <c r="B449">
        <v>56</v>
      </c>
      <c r="C449">
        <v>4.8573340221353343</v>
      </c>
      <c r="D449">
        <v>447.27080000000001</v>
      </c>
      <c r="E449">
        <v>691.67634854771791</v>
      </c>
      <c r="F449">
        <v>180.8708</v>
      </c>
      <c r="G449">
        <v>75.437450000000013</v>
      </c>
      <c r="H449">
        <v>9</v>
      </c>
      <c r="I449">
        <v>48</v>
      </c>
      <c r="J449">
        <v>4</v>
      </c>
      <c r="K449">
        <v>98</v>
      </c>
      <c r="L449">
        <v>59</v>
      </c>
      <c r="M449">
        <v>7</v>
      </c>
      <c r="N449">
        <v>1995</v>
      </c>
      <c r="O449">
        <v>0.27</v>
      </c>
      <c r="P449">
        <v>2.4700000000000002</v>
      </c>
      <c r="Q449">
        <v>1.4999999999999999E-2</v>
      </c>
      <c r="R449">
        <v>60</v>
      </c>
      <c r="S449">
        <v>700</v>
      </c>
      <c r="T449">
        <v>475</v>
      </c>
      <c r="U449">
        <v>275</v>
      </c>
      <c r="V449">
        <v>370</v>
      </c>
      <c r="W449">
        <v>155</v>
      </c>
    </row>
    <row r="450" spans="1:23">
      <c r="A450">
        <v>364.27685016912278</v>
      </c>
      <c r="B450">
        <v>52.5</v>
      </c>
      <c r="C450">
        <v>4.8570246689216381</v>
      </c>
      <c r="D450">
        <v>427.75200000000001</v>
      </c>
      <c r="E450">
        <v>690.0129460580913</v>
      </c>
      <c r="F450">
        <v>213.876</v>
      </c>
      <c r="G450">
        <v>70.686000000000007</v>
      </c>
      <c r="H450">
        <v>22</v>
      </c>
      <c r="I450">
        <v>60</v>
      </c>
      <c r="J450">
        <v>3</v>
      </c>
      <c r="K450">
        <v>117</v>
      </c>
      <c r="L450">
        <v>48</v>
      </c>
      <c r="M450">
        <v>2</v>
      </c>
      <c r="N450">
        <v>1995</v>
      </c>
      <c r="O450">
        <v>0.27</v>
      </c>
      <c r="P450">
        <v>2.4700000000000002</v>
      </c>
      <c r="Q450">
        <v>1.4999999999999999E-2</v>
      </c>
      <c r="R450">
        <v>60</v>
      </c>
      <c r="S450">
        <v>700</v>
      </c>
      <c r="T450">
        <v>475</v>
      </c>
      <c r="U450">
        <v>275</v>
      </c>
      <c r="V450">
        <v>370</v>
      </c>
      <c r="W450">
        <v>155</v>
      </c>
    </row>
    <row r="451" spans="1:23">
      <c r="A451">
        <v>387.6892582257334</v>
      </c>
      <c r="B451">
        <v>56.000000000000007</v>
      </c>
      <c r="C451">
        <v>4.8461157278216671</v>
      </c>
      <c r="D451">
        <v>470.69720000000001</v>
      </c>
      <c r="E451">
        <v>690.77948517955735</v>
      </c>
      <c r="F451">
        <v>181.85980000000001</v>
      </c>
      <c r="G451">
        <v>75.244799999999998</v>
      </c>
      <c r="H451">
        <v>8</v>
      </c>
      <c r="I451">
        <v>51</v>
      </c>
      <c r="J451">
        <v>5</v>
      </c>
      <c r="K451">
        <v>212</v>
      </c>
      <c r="L451">
        <v>60</v>
      </c>
      <c r="M451">
        <v>14</v>
      </c>
      <c r="N451">
        <v>1995</v>
      </c>
      <c r="O451">
        <v>0.27</v>
      </c>
      <c r="P451">
        <v>2.4700000000000002</v>
      </c>
      <c r="Q451">
        <v>1.4999999999999999E-2</v>
      </c>
      <c r="R451">
        <v>60</v>
      </c>
      <c r="S451">
        <v>700</v>
      </c>
      <c r="T451">
        <v>475</v>
      </c>
      <c r="U451">
        <v>275</v>
      </c>
      <c r="V451">
        <v>370</v>
      </c>
      <c r="W451">
        <v>155</v>
      </c>
    </row>
    <row r="452" spans="1:23">
      <c r="A452">
        <v>387.59740672498282</v>
      </c>
      <c r="B452">
        <v>56</v>
      </c>
      <c r="C452">
        <v>4.8449675840622843</v>
      </c>
      <c r="D452">
        <v>457.30560000000003</v>
      </c>
      <c r="E452">
        <v>691.84232365145226</v>
      </c>
      <c r="F452">
        <v>177.26159999999999</v>
      </c>
      <c r="G452">
        <v>75.248800000000017</v>
      </c>
      <c r="H452">
        <v>8</v>
      </c>
      <c r="I452">
        <v>49</v>
      </c>
      <c r="J452">
        <v>5</v>
      </c>
      <c r="K452">
        <v>250</v>
      </c>
      <c r="L452">
        <v>62</v>
      </c>
      <c r="M452">
        <v>26</v>
      </c>
      <c r="N452">
        <v>1995</v>
      </c>
      <c r="O452">
        <v>0.27</v>
      </c>
      <c r="P452">
        <v>2.4700000000000002</v>
      </c>
      <c r="Q452">
        <v>1.4999999999999999E-2</v>
      </c>
      <c r="R452">
        <v>60</v>
      </c>
      <c r="S452">
        <v>700</v>
      </c>
      <c r="T452">
        <v>475</v>
      </c>
      <c r="U452">
        <v>275</v>
      </c>
      <c r="V452">
        <v>370</v>
      </c>
      <c r="W452">
        <v>155</v>
      </c>
    </row>
    <row r="453" spans="1:23">
      <c r="A453">
        <v>387.59740672498282</v>
      </c>
      <c r="B453">
        <v>56</v>
      </c>
      <c r="C453">
        <v>4.8449675840622843</v>
      </c>
      <c r="D453">
        <v>457.30560000000003</v>
      </c>
      <c r="E453">
        <v>691.84232365145226</v>
      </c>
      <c r="F453">
        <v>177.26159999999999</v>
      </c>
      <c r="G453">
        <v>75.248800000000017</v>
      </c>
      <c r="H453">
        <v>8</v>
      </c>
      <c r="I453">
        <v>49</v>
      </c>
      <c r="J453">
        <v>5</v>
      </c>
      <c r="K453">
        <v>251</v>
      </c>
      <c r="L453">
        <v>62</v>
      </c>
      <c r="M453">
        <v>26</v>
      </c>
      <c r="N453">
        <v>1995</v>
      </c>
      <c r="O453">
        <v>0.27</v>
      </c>
      <c r="P453">
        <v>2.4700000000000002</v>
      </c>
      <c r="Q453">
        <v>1.4999999999999999E-2</v>
      </c>
      <c r="R453">
        <v>60</v>
      </c>
      <c r="S453">
        <v>700</v>
      </c>
      <c r="T453">
        <v>475</v>
      </c>
      <c r="U453">
        <v>275</v>
      </c>
      <c r="V453">
        <v>370</v>
      </c>
      <c r="W453">
        <v>155</v>
      </c>
    </row>
    <row r="454" spans="1:23">
      <c r="A454">
        <v>387.48454811598322</v>
      </c>
      <c r="B454">
        <v>56</v>
      </c>
      <c r="C454">
        <v>4.8435568514497902</v>
      </c>
      <c r="D454">
        <v>458.92729600000001</v>
      </c>
      <c r="E454">
        <v>691.27373512615873</v>
      </c>
      <c r="F454">
        <v>177.66364799999999</v>
      </c>
      <c r="G454">
        <v>75.215215999999984</v>
      </c>
      <c r="H454">
        <v>6</v>
      </c>
      <c r="I454">
        <v>50</v>
      </c>
      <c r="J454">
        <v>7</v>
      </c>
      <c r="K454">
        <v>85</v>
      </c>
      <c r="L454">
        <v>61</v>
      </c>
      <c r="M454">
        <v>22</v>
      </c>
      <c r="N454">
        <v>1995</v>
      </c>
      <c r="O454">
        <v>0.27</v>
      </c>
      <c r="P454">
        <v>2.4700000000000002</v>
      </c>
      <c r="Q454">
        <v>1.4999999999999999E-2</v>
      </c>
      <c r="R454">
        <v>60</v>
      </c>
      <c r="S454">
        <v>700</v>
      </c>
      <c r="T454">
        <v>475</v>
      </c>
      <c r="U454">
        <v>275</v>
      </c>
      <c r="V454">
        <v>370</v>
      </c>
      <c r="W454">
        <v>155</v>
      </c>
    </row>
    <row r="455" spans="1:23">
      <c r="A455">
        <v>387.31654289565751</v>
      </c>
      <c r="B455">
        <v>56.000000000000007</v>
      </c>
      <c r="C455">
        <v>4.8414567861957183</v>
      </c>
      <c r="D455">
        <v>464.2752000000001</v>
      </c>
      <c r="E455">
        <v>691.66141078838177</v>
      </c>
      <c r="F455">
        <v>179.69759999999999</v>
      </c>
      <c r="G455">
        <v>75.190559999999991</v>
      </c>
      <c r="H455">
        <v>8</v>
      </c>
      <c r="I455">
        <v>50</v>
      </c>
      <c r="J455">
        <v>5</v>
      </c>
      <c r="K455">
        <v>244</v>
      </c>
      <c r="L455">
        <v>61</v>
      </c>
      <c r="M455">
        <v>18</v>
      </c>
      <c r="N455">
        <v>1995</v>
      </c>
      <c r="O455">
        <v>0.27</v>
      </c>
      <c r="P455">
        <v>2.4700000000000002</v>
      </c>
      <c r="Q455">
        <v>1.4999999999999999E-2</v>
      </c>
      <c r="R455">
        <v>60</v>
      </c>
      <c r="S455">
        <v>700</v>
      </c>
      <c r="T455">
        <v>475</v>
      </c>
      <c r="U455">
        <v>275</v>
      </c>
      <c r="V455">
        <v>370</v>
      </c>
      <c r="W455">
        <v>155</v>
      </c>
    </row>
    <row r="456" spans="1:23">
      <c r="A456">
        <v>387.14858482749452</v>
      </c>
      <c r="B456">
        <v>56</v>
      </c>
      <c r="C456">
        <v>4.839357310343682</v>
      </c>
      <c r="D456">
        <v>463.47600000000011</v>
      </c>
      <c r="E456">
        <v>691.30290456431544</v>
      </c>
      <c r="F456">
        <v>179.298</v>
      </c>
      <c r="G456">
        <v>75.150600000000011</v>
      </c>
      <c r="H456">
        <v>8</v>
      </c>
      <c r="I456">
        <v>50</v>
      </c>
      <c r="J456">
        <v>5</v>
      </c>
      <c r="K456">
        <v>248</v>
      </c>
      <c r="L456">
        <v>62</v>
      </c>
      <c r="M456">
        <v>18</v>
      </c>
      <c r="N456">
        <v>1995</v>
      </c>
      <c r="O456">
        <v>0.27</v>
      </c>
      <c r="P456">
        <v>2.4700000000000002</v>
      </c>
      <c r="Q456">
        <v>1.4999999999999999E-2</v>
      </c>
      <c r="R456">
        <v>60</v>
      </c>
      <c r="S456">
        <v>700</v>
      </c>
      <c r="T456">
        <v>475</v>
      </c>
      <c r="U456">
        <v>275</v>
      </c>
      <c r="V456">
        <v>370</v>
      </c>
      <c r="W456">
        <v>155</v>
      </c>
    </row>
    <row r="457" spans="1:23">
      <c r="A457">
        <v>387.14858482749452</v>
      </c>
      <c r="B457">
        <v>56</v>
      </c>
      <c r="C457">
        <v>4.839357310343682</v>
      </c>
      <c r="D457">
        <v>441.86430000000013</v>
      </c>
      <c r="E457">
        <v>691.30290456431544</v>
      </c>
      <c r="F457">
        <v>179.6643</v>
      </c>
      <c r="G457">
        <v>75.150600000000011</v>
      </c>
      <c r="H457">
        <v>8</v>
      </c>
      <c r="I457">
        <v>50</v>
      </c>
      <c r="J457">
        <v>5</v>
      </c>
      <c r="K457">
        <v>264</v>
      </c>
      <c r="L457">
        <v>62</v>
      </c>
      <c r="M457">
        <v>22</v>
      </c>
      <c r="N457">
        <v>1995</v>
      </c>
      <c r="O457">
        <v>0.27</v>
      </c>
      <c r="P457">
        <v>2.4700000000000002</v>
      </c>
      <c r="Q457">
        <v>1.4999999999999999E-2</v>
      </c>
      <c r="R457">
        <v>60</v>
      </c>
      <c r="S457">
        <v>700</v>
      </c>
      <c r="T457">
        <v>475</v>
      </c>
      <c r="U457">
        <v>275</v>
      </c>
      <c r="V457">
        <v>370</v>
      </c>
      <c r="W457">
        <v>155</v>
      </c>
    </row>
    <row r="458" spans="1:23">
      <c r="A458">
        <v>386.66720180705818</v>
      </c>
      <c r="B458">
        <v>56.000000000000007</v>
      </c>
      <c r="C458">
        <v>4.833340022588227</v>
      </c>
      <c r="D458">
        <v>456.90156000000007</v>
      </c>
      <c r="E458">
        <v>689.8572614107884</v>
      </c>
      <c r="F458">
        <v>177.05958000000001</v>
      </c>
      <c r="G458">
        <v>75.027540000000002</v>
      </c>
      <c r="H458">
        <v>8</v>
      </c>
      <c r="I458">
        <v>49</v>
      </c>
      <c r="J458">
        <v>5</v>
      </c>
      <c r="K458">
        <v>247</v>
      </c>
      <c r="L458">
        <v>63</v>
      </c>
      <c r="M458">
        <v>26</v>
      </c>
      <c r="N458">
        <v>1995</v>
      </c>
      <c r="O458">
        <v>0.27</v>
      </c>
      <c r="P458">
        <v>2.4700000000000002</v>
      </c>
      <c r="Q458">
        <v>1.4999999999999999E-2</v>
      </c>
      <c r="R458">
        <v>60</v>
      </c>
      <c r="S458">
        <v>700</v>
      </c>
      <c r="T458">
        <v>475</v>
      </c>
      <c r="U458">
        <v>275</v>
      </c>
      <c r="V458">
        <v>370</v>
      </c>
      <c r="W458">
        <v>155</v>
      </c>
    </row>
    <row r="459" spans="1:23">
      <c r="A459">
        <v>386.55735986084028</v>
      </c>
      <c r="B459">
        <v>56</v>
      </c>
      <c r="C459">
        <v>4.831966998260504</v>
      </c>
      <c r="D459">
        <v>441.72000000000008</v>
      </c>
      <c r="E459">
        <v>690.04149377593365</v>
      </c>
      <c r="F459">
        <v>179.52</v>
      </c>
      <c r="G459">
        <v>75.010000000000005</v>
      </c>
      <c r="H459">
        <v>8</v>
      </c>
      <c r="I459">
        <v>50</v>
      </c>
      <c r="J459">
        <v>5</v>
      </c>
      <c r="K459">
        <v>265</v>
      </c>
      <c r="L459">
        <v>61</v>
      </c>
      <c r="M459">
        <v>20</v>
      </c>
      <c r="N459">
        <v>1995</v>
      </c>
      <c r="O459">
        <v>0.27</v>
      </c>
      <c r="P459">
        <v>2.4700000000000002</v>
      </c>
      <c r="Q459">
        <v>1.4999999999999999E-2</v>
      </c>
      <c r="R459">
        <v>60</v>
      </c>
      <c r="S459">
        <v>700</v>
      </c>
      <c r="T459">
        <v>475</v>
      </c>
      <c r="U459">
        <v>275</v>
      </c>
      <c r="V459">
        <v>370</v>
      </c>
      <c r="W459">
        <v>155</v>
      </c>
    </row>
    <row r="460" spans="1:23">
      <c r="A460">
        <v>386.32307147700038</v>
      </c>
      <c r="B460">
        <v>56</v>
      </c>
      <c r="C460">
        <v>4.8290383934625059</v>
      </c>
      <c r="D460">
        <v>480.54784000000001</v>
      </c>
      <c r="E460">
        <v>691.27373512615873</v>
      </c>
      <c r="F460">
        <v>177.44927999999999</v>
      </c>
      <c r="G460">
        <v>74.989760000000004</v>
      </c>
      <c r="H460">
        <v>6</v>
      </c>
      <c r="I460">
        <v>50</v>
      </c>
      <c r="J460">
        <v>7</v>
      </c>
      <c r="K460">
        <v>41</v>
      </c>
      <c r="L460">
        <v>61</v>
      </c>
      <c r="M460">
        <v>22</v>
      </c>
      <c r="N460">
        <v>1995</v>
      </c>
      <c r="O460">
        <v>0.27</v>
      </c>
      <c r="P460">
        <v>2.4700000000000002</v>
      </c>
      <c r="Q460">
        <v>1.4999999999999999E-2</v>
      </c>
      <c r="R460">
        <v>60</v>
      </c>
      <c r="S460">
        <v>700</v>
      </c>
      <c r="T460">
        <v>475</v>
      </c>
      <c r="U460">
        <v>275</v>
      </c>
      <c r="V460">
        <v>370</v>
      </c>
      <c r="W460">
        <v>155</v>
      </c>
    </row>
    <row r="461" spans="1:23">
      <c r="A461">
        <v>386.31366707261708</v>
      </c>
      <c r="B461">
        <v>56.000000000000007</v>
      </c>
      <c r="C461">
        <v>4.828920838407714</v>
      </c>
      <c r="D461">
        <v>470.85408000000001</v>
      </c>
      <c r="E461">
        <v>689.94024896265569</v>
      </c>
      <c r="F461">
        <v>181.93824000000001</v>
      </c>
      <c r="G461">
        <v>74.960640000000012</v>
      </c>
      <c r="H461">
        <v>8</v>
      </c>
      <c r="I461">
        <v>51</v>
      </c>
      <c r="J461">
        <v>5</v>
      </c>
      <c r="K461">
        <v>255</v>
      </c>
      <c r="L461">
        <v>62</v>
      </c>
      <c r="M461">
        <v>18</v>
      </c>
      <c r="N461">
        <v>1995</v>
      </c>
      <c r="O461">
        <v>0.27</v>
      </c>
      <c r="P461">
        <v>2.4700000000000002</v>
      </c>
      <c r="Q461">
        <v>1.4999999999999999E-2</v>
      </c>
      <c r="R461">
        <v>60</v>
      </c>
      <c r="S461">
        <v>700</v>
      </c>
      <c r="T461">
        <v>475</v>
      </c>
      <c r="U461">
        <v>275</v>
      </c>
      <c r="V461">
        <v>370</v>
      </c>
      <c r="W461">
        <v>155</v>
      </c>
    </row>
    <row r="462" spans="1:23">
      <c r="A462">
        <v>362.16285370100888</v>
      </c>
      <c r="B462">
        <v>52.5</v>
      </c>
      <c r="C462">
        <v>4.8288380493467864</v>
      </c>
      <c r="D462">
        <v>434.4984</v>
      </c>
      <c r="E462">
        <v>670.25726141078837</v>
      </c>
      <c r="F462">
        <v>217.2492</v>
      </c>
      <c r="G462">
        <v>69.896699999999996</v>
      </c>
      <c r="H462">
        <v>22</v>
      </c>
      <c r="I462">
        <v>59</v>
      </c>
      <c r="J462">
        <v>3</v>
      </c>
      <c r="K462">
        <v>178</v>
      </c>
      <c r="L462">
        <v>54</v>
      </c>
      <c r="M462">
        <v>2</v>
      </c>
      <c r="N462">
        <v>1995</v>
      </c>
      <c r="O462">
        <v>0.27</v>
      </c>
      <c r="P462">
        <v>2.4700000000000002</v>
      </c>
      <c r="Q462">
        <v>1.4999999999999999E-2</v>
      </c>
      <c r="R462">
        <v>60</v>
      </c>
      <c r="S462">
        <v>700</v>
      </c>
      <c r="T462">
        <v>475</v>
      </c>
      <c r="U462">
        <v>275</v>
      </c>
      <c r="V462">
        <v>370</v>
      </c>
      <c r="W462">
        <v>155</v>
      </c>
    </row>
    <row r="463" spans="1:23">
      <c r="A463">
        <v>386.26385266874843</v>
      </c>
      <c r="B463">
        <v>56</v>
      </c>
      <c r="C463">
        <v>4.8282981583593552</v>
      </c>
      <c r="D463">
        <v>449.37040000000002</v>
      </c>
      <c r="E463">
        <v>689.83402489626565</v>
      </c>
      <c r="F463">
        <v>181.9264</v>
      </c>
      <c r="G463">
        <v>74.948800000000006</v>
      </c>
      <c r="H463">
        <v>8</v>
      </c>
      <c r="I463">
        <v>51</v>
      </c>
      <c r="J463">
        <v>5</v>
      </c>
      <c r="K463">
        <v>63</v>
      </c>
      <c r="L463">
        <v>58</v>
      </c>
      <c r="M463">
        <v>10</v>
      </c>
      <c r="N463">
        <v>1995</v>
      </c>
      <c r="O463">
        <v>0.27</v>
      </c>
      <c r="P463">
        <v>2.4700000000000002</v>
      </c>
      <c r="Q463">
        <v>1.4999999999999999E-2</v>
      </c>
      <c r="R463">
        <v>60</v>
      </c>
      <c r="S463">
        <v>700</v>
      </c>
      <c r="T463">
        <v>475</v>
      </c>
      <c r="U463">
        <v>275</v>
      </c>
      <c r="V463">
        <v>370</v>
      </c>
      <c r="W463">
        <v>155</v>
      </c>
    </row>
    <row r="464" spans="1:23">
      <c r="A464">
        <v>386.26385266874843</v>
      </c>
      <c r="B464">
        <v>56</v>
      </c>
      <c r="C464">
        <v>4.8282981583593552</v>
      </c>
      <c r="D464">
        <v>470.8304</v>
      </c>
      <c r="E464">
        <v>689.83402489626565</v>
      </c>
      <c r="F464">
        <v>181.9264</v>
      </c>
      <c r="G464">
        <v>74.948800000000006</v>
      </c>
      <c r="H464">
        <v>8</v>
      </c>
      <c r="I464">
        <v>51</v>
      </c>
      <c r="J464">
        <v>5</v>
      </c>
      <c r="K464">
        <v>259</v>
      </c>
      <c r="L464">
        <v>58</v>
      </c>
      <c r="M464">
        <v>10</v>
      </c>
      <c r="N464">
        <v>1995</v>
      </c>
      <c r="O464">
        <v>0.27</v>
      </c>
      <c r="P464">
        <v>2.4700000000000002</v>
      </c>
      <c r="Q464">
        <v>1.4999999999999999E-2</v>
      </c>
      <c r="R464">
        <v>60</v>
      </c>
      <c r="S464">
        <v>700</v>
      </c>
      <c r="T464">
        <v>475</v>
      </c>
      <c r="U464">
        <v>275</v>
      </c>
      <c r="V464">
        <v>370</v>
      </c>
      <c r="W464">
        <v>155</v>
      </c>
    </row>
    <row r="465" spans="1:23">
      <c r="A465">
        <v>385.74765488073541</v>
      </c>
      <c r="B465">
        <v>56.000000000000007</v>
      </c>
      <c r="C465">
        <v>4.8218456860091923</v>
      </c>
      <c r="D465">
        <v>463.56479999999999</v>
      </c>
      <c r="E465">
        <v>688.31535269709548</v>
      </c>
      <c r="F465">
        <v>179.3424</v>
      </c>
      <c r="G465">
        <v>74.817599999999999</v>
      </c>
      <c r="H465">
        <v>8</v>
      </c>
      <c r="I465">
        <v>50</v>
      </c>
      <c r="J465">
        <v>5</v>
      </c>
      <c r="K465">
        <v>253</v>
      </c>
      <c r="L465">
        <v>63</v>
      </c>
      <c r="M465">
        <v>20</v>
      </c>
      <c r="N465">
        <v>1995</v>
      </c>
      <c r="O465">
        <v>0.27</v>
      </c>
      <c r="P465">
        <v>2.4700000000000002</v>
      </c>
      <c r="Q465">
        <v>1.4999999999999999E-2</v>
      </c>
      <c r="R465">
        <v>60</v>
      </c>
      <c r="S465">
        <v>700</v>
      </c>
      <c r="T465">
        <v>475</v>
      </c>
      <c r="U465">
        <v>275</v>
      </c>
      <c r="V465">
        <v>370</v>
      </c>
      <c r="W465">
        <v>155</v>
      </c>
    </row>
    <row r="466" spans="1:23">
      <c r="A466">
        <v>385.71216357498042</v>
      </c>
      <c r="B466">
        <v>56.000000000000007</v>
      </c>
      <c r="C466">
        <v>4.8214020446872556</v>
      </c>
      <c r="D466">
        <v>463.56479999999999</v>
      </c>
      <c r="E466">
        <v>689.23153526970964</v>
      </c>
      <c r="F466">
        <v>179.3424</v>
      </c>
      <c r="G466">
        <v>74.829440000000005</v>
      </c>
      <c r="H466">
        <v>8</v>
      </c>
      <c r="I466">
        <v>50</v>
      </c>
      <c r="J466">
        <v>5</v>
      </c>
      <c r="K466">
        <v>246</v>
      </c>
      <c r="L466">
        <v>61</v>
      </c>
      <c r="M466">
        <v>16</v>
      </c>
      <c r="N466">
        <v>1995</v>
      </c>
      <c r="O466">
        <v>0.27</v>
      </c>
      <c r="P466">
        <v>2.4700000000000002</v>
      </c>
      <c r="Q466">
        <v>1.4999999999999999E-2</v>
      </c>
      <c r="R466">
        <v>60</v>
      </c>
      <c r="S466">
        <v>700</v>
      </c>
      <c r="T466">
        <v>475</v>
      </c>
      <c r="U466">
        <v>275</v>
      </c>
      <c r="V466">
        <v>370</v>
      </c>
      <c r="W466">
        <v>155</v>
      </c>
    </row>
    <row r="467" spans="1:23">
      <c r="A467">
        <v>385.6896469433571</v>
      </c>
      <c r="B467">
        <v>56</v>
      </c>
      <c r="C467">
        <v>4.821120586791964</v>
      </c>
      <c r="D467">
        <v>461.71159999999998</v>
      </c>
      <c r="E467">
        <v>690.92116182572613</v>
      </c>
      <c r="F467">
        <v>178.4083</v>
      </c>
      <c r="G467">
        <v>74.8596</v>
      </c>
      <c r="H467">
        <v>9</v>
      </c>
      <c r="I467">
        <v>64</v>
      </c>
      <c r="J467">
        <v>3</v>
      </c>
      <c r="K467">
        <v>65</v>
      </c>
      <c r="L467">
        <v>42</v>
      </c>
      <c r="M467">
        <v>2</v>
      </c>
      <c r="N467">
        <v>1995</v>
      </c>
      <c r="O467">
        <v>0.27</v>
      </c>
      <c r="P467">
        <v>2.4700000000000002</v>
      </c>
      <c r="Q467">
        <v>1.4999999999999999E-2</v>
      </c>
      <c r="R467">
        <v>60</v>
      </c>
      <c r="S467">
        <v>700</v>
      </c>
      <c r="T467">
        <v>475</v>
      </c>
      <c r="U467">
        <v>275</v>
      </c>
      <c r="V467">
        <v>370</v>
      </c>
      <c r="W467">
        <v>155</v>
      </c>
    </row>
    <row r="468" spans="1:23">
      <c r="A468">
        <v>385.62694909100333</v>
      </c>
      <c r="B468">
        <v>56.000000000000007</v>
      </c>
      <c r="C468">
        <v>4.8203368636375412</v>
      </c>
      <c r="D468">
        <v>469.95839999999998</v>
      </c>
      <c r="E468">
        <v>691.69294605809137</v>
      </c>
      <c r="F468">
        <v>181.49039999999999</v>
      </c>
      <c r="G468">
        <v>74.863199999999992</v>
      </c>
      <c r="H468">
        <v>8</v>
      </c>
      <c r="I468">
        <v>51</v>
      </c>
      <c r="J468">
        <v>5</v>
      </c>
      <c r="K468">
        <v>58</v>
      </c>
      <c r="L468">
        <v>61</v>
      </c>
      <c r="M468">
        <v>8</v>
      </c>
      <c r="N468">
        <v>1995</v>
      </c>
      <c r="O468">
        <v>0.27</v>
      </c>
      <c r="P468">
        <v>2.4700000000000002</v>
      </c>
      <c r="Q468">
        <v>1.4999999999999999E-2</v>
      </c>
      <c r="R468">
        <v>60</v>
      </c>
      <c r="S468">
        <v>700</v>
      </c>
      <c r="T468">
        <v>475</v>
      </c>
      <c r="U468">
        <v>275</v>
      </c>
      <c r="V468">
        <v>370</v>
      </c>
      <c r="W468">
        <v>155</v>
      </c>
    </row>
    <row r="469" spans="1:23">
      <c r="A469">
        <v>385.09852747085313</v>
      </c>
      <c r="B469">
        <v>56.000000000000007</v>
      </c>
      <c r="C469">
        <v>4.8137315933856639</v>
      </c>
      <c r="D469">
        <v>441.43140000000011</v>
      </c>
      <c r="E469">
        <v>689.53526970954363</v>
      </c>
      <c r="F469">
        <v>179.23140000000001</v>
      </c>
      <c r="G469">
        <v>74.716590000000011</v>
      </c>
      <c r="H469">
        <v>8</v>
      </c>
      <c r="I469">
        <v>50</v>
      </c>
      <c r="J469">
        <v>5</v>
      </c>
      <c r="K469">
        <v>268</v>
      </c>
      <c r="L469">
        <v>61</v>
      </c>
      <c r="M469">
        <v>21</v>
      </c>
      <c r="N469">
        <v>1995</v>
      </c>
      <c r="O469">
        <v>0.27</v>
      </c>
      <c r="P469">
        <v>2.4700000000000002</v>
      </c>
      <c r="Q469">
        <v>1.4999999999999999E-2</v>
      </c>
      <c r="R469">
        <v>60</v>
      </c>
      <c r="S469">
        <v>700</v>
      </c>
      <c r="T469">
        <v>475</v>
      </c>
      <c r="U469">
        <v>275</v>
      </c>
      <c r="V469">
        <v>370</v>
      </c>
      <c r="W469">
        <v>155</v>
      </c>
    </row>
    <row r="470" spans="1:23">
      <c r="A470">
        <v>360.78618849873351</v>
      </c>
      <c r="B470">
        <v>52.5</v>
      </c>
      <c r="C470">
        <v>4.8104825133164457</v>
      </c>
      <c r="D470">
        <v>390.57126</v>
      </c>
      <c r="E470">
        <v>692.63402489626549</v>
      </c>
      <c r="F470">
        <v>207.42125999999999</v>
      </c>
      <c r="G470">
        <v>70.058760000000007</v>
      </c>
      <c r="H470">
        <v>22</v>
      </c>
      <c r="I470">
        <v>55</v>
      </c>
      <c r="J470">
        <v>3</v>
      </c>
      <c r="K470">
        <v>155</v>
      </c>
      <c r="L470">
        <v>58</v>
      </c>
      <c r="M470">
        <v>39</v>
      </c>
      <c r="N470">
        <v>1995</v>
      </c>
      <c r="O470">
        <v>0.27</v>
      </c>
      <c r="P470">
        <v>2.4700000000000002</v>
      </c>
      <c r="Q470">
        <v>1.4999999999999999E-2</v>
      </c>
      <c r="R470">
        <v>60</v>
      </c>
      <c r="S470">
        <v>700</v>
      </c>
      <c r="T470">
        <v>475</v>
      </c>
      <c r="U470">
        <v>275</v>
      </c>
      <c r="V470">
        <v>370</v>
      </c>
      <c r="W470">
        <v>155</v>
      </c>
    </row>
    <row r="471" spans="1:23">
      <c r="A471">
        <v>336.65637117104092</v>
      </c>
      <c r="B471">
        <v>49</v>
      </c>
      <c r="C471">
        <v>4.8093767310148703</v>
      </c>
      <c r="D471">
        <v>396.93599999999998</v>
      </c>
      <c r="E471">
        <v>690.88796680497933</v>
      </c>
      <c r="F471">
        <v>155.06700000000001</v>
      </c>
      <c r="G471">
        <v>65.342000000000013</v>
      </c>
      <c r="H471">
        <v>7</v>
      </c>
      <c r="I471">
        <v>52</v>
      </c>
      <c r="J471">
        <v>5</v>
      </c>
      <c r="K471">
        <v>56</v>
      </c>
      <c r="L471">
        <v>57</v>
      </c>
      <c r="M471">
        <v>4</v>
      </c>
      <c r="N471">
        <v>1995</v>
      </c>
      <c r="O471">
        <v>0.27</v>
      </c>
      <c r="P471">
        <v>2.4700000000000002</v>
      </c>
      <c r="Q471">
        <v>1.4999999999999999E-2</v>
      </c>
      <c r="R471">
        <v>60</v>
      </c>
      <c r="S471">
        <v>700</v>
      </c>
      <c r="T471">
        <v>475</v>
      </c>
      <c r="U471">
        <v>275</v>
      </c>
      <c r="V471">
        <v>370</v>
      </c>
      <c r="W471">
        <v>155</v>
      </c>
    </row>
    <row r="472" spans="1:23">
      <c r="A472">
        <v>360.68640252762418</v>
      </c>
      <c r="B472">
        <v>52.5</v>
      </c>
      <c r="C472">
        <v>4.8091520337016567</v>
      </c>
      <c r="D472">
        <v>434.16144000000003</v>
      </c>
      <c r="E472">
        <v>676.35186721991704</v>
      </c>
      <c r="F472">
        <v>217.08072000000001</v>
      </c>
      <c r="G472">
        <v>69.728220000000007</v>
      </c>
      <c r="H472">
        <v>22</v>
      </c>
      <c r="I472">
        <v>59</v>
      </c>
      <c r="J472">
        <v>3</v>
      </c>
      <c r="K472">
        <v>1</v>
      </c>
      <c r="L472">
        <v>54</v>
      </c>
      <c r="M472">
        <v>4</v>
      </c>
      <c r="N472">
        <v>1995</v>
      </c>
      <c r="O472">
        <v>0.27</v>
      </c>
      <c r="P472">
        <v>2.4700000000000002</v>
      </c>
      <c r="Q472">
        <v>1.4999999999999999E-2</v>
      </c>
      <c r="R472">
        <v>60</v>
      </c>
      <c r="S472">
        <v>700</v>
      </c>
      <c r="T472">
        <v>475</v>
      </c>
      <c r="U472">
        <v>275</v>
      </c>
      <c r="V472">
        <v>370</v>
      </c>
      <c r="W472">
        <v>155</v>
      </c>
    </row>
    <row r="473" spans="1:23">
      <c r="A473">
        <v>392.33020372962869</v>
      </c>
      <c r="B473">
        <v>57.235294117647072</v>
      </c>
      <c r="C473">
        <v>4.7982830671968983</v>
      </c>
      <c r="D473">
        <v>482.77435000000003</v>
      </c>
      <c r="E473">
        <v>691.0356766936344</v>
      </c>
      <c r="F473">
        <v>178.647279</v>
      </c>
      <c r="G473">
        <v>76.150864999999996</v>
      </c>
      <c r="H473">
        <v>6</v>
      </c>
      <c r="I473">
        <v>50</v>
      </c>
      <c r="J473">
        <v>7</v>
      </c>
      <c r="K473">
        <v>77</v>
      </c>
      <c r="L473">
        <v>58</v>
      </c>
      <c r="M473">
        <v>33</v>
      </c>
      <c r="N473">
        <v>1995</v>
      </c>
      <c r="O473">
        <v>0.27</v>
      </c>
      <c r="P473">
        <v>2.4700000000000002</v>
      </c>
      <c r="Q473">
        <v>1.4999999999999999E-2</v>
      </c>
      <c r="R473">
        <v>60</v>
      </c>
      <c r="S473">
        <v>700</v>
      </c>
      <c r="T473">
        <v>475</v>
      </c>
      <c r="U473">
        <v>275</v>
      </c>
      <c r="V473">
        <v>370</v>
      </c>
      <c r="W473">
        <v>155</v>
      </c>
    </row>
    <row r="474" spans="1:23">
      <c r="A474">
        <v>383.81410189407302</v>
      </c>
      <c r="B474">
        <v>56</v>
      </c>
      <c r="C474">
        <v>4.7976762736759122</v>
      </c>
      <c r="D474">
        <v>434.21760000000012</v>
      </c>
      <c r="E474">
        <v>690.11618257261409</v>
      </c>
      <c r="F474">
        <v>177.26159999999999</v>
      </c>
      <c r="G474">
        <v>74.479200000000006</v>
      </c>
      <c r="H474">
        <v>8</v>
      </c>
      <c r="I474">
        <v>49</v>
      </c>
      <c r="J474">
        <v>5</v>
      </c>
      <c r="K474">
        <v>202</v>
      </c>
      <c r="L474">
        <v>60</v>
      </c>
      <c r="M474">
        <v>26</v>
      </c>
      <c r="N474">
        <v>1995</v>
      </c>
      <c r="O474">
        <v>0.27</v>
      </c>
      <c r="P474">
        <v>2.4700000000000002</v>
      </c>
      <c r="Q474">
        <v>1.4999999999999999E-2</v>
      </c>
      <c r="R474">
        <v>60</v>
      </c>
      <c r="S474">
        <v>700</v>
      </c>
      <c r="T474">
        <v>475</v>
      </c>
      <c r="U474">
        <v>275</v>
      </c>
      <c r="V474">
        <v>370</v>
      </c>
      <c r="W474">
        <v>155</v>
      </c>
    </row>
    <row r="475" spans="1:23">
      <c r="A475">
        <v>383.81200661061661</v>
      </c>
      <c r="B475">
        <v>56</v>
      </c>
      <c r="C475">
        <v>4.7976500826327078</v>
      </c>
      <c r="D475">
        <v>489.51360000000011</v>
      </c>
      <c r="E475">
        <v>667.71286307053947</v>
      </c>
      <c r="F475">
        <v>181.0008</v>
      </c>
      <c r="G475">
        <v>74.023200000000017</v>
      </c>
      <c r="H475">
        <v>8</v>
      </c>
      <c r="I475">
        <v>51</v>
      </c>
      <c r="J475">
        <v>5</v>
      </c>
      <c r="K475">
        <v>176</v>
      </c>
      <c r="L475">
        <v>62</v>
      </c>
      <c r="M475">
        <v>3</v>
      </c>
      <c r="N475">
        <v>1995</v>
      </c>
      <c r="O475">
        <v>0.27</v>
      </c>
      <c r="P475">
        <v>2.4700000000000002</v>
      </c>
      <c r="Q475">
        <v>1.4999999999999999E-2</v>
      </c>
      <c r="R475">
        <v>60</v>
      </c>
      <c r="S475">
        <v>700</v>
      </c>
      <c r="T475">
        <v>475</v>
      </c>
      <c r="U475">
        <v>275</v>
      </c>
      <c r="V475">
        <v>370</v>
      </c>
      <c r="W475">
        <v>155</v>
      </c>
    </row>
    <row r="476" spans="1:23">
      <c r="A476">
        <v>383.80066742385912</v>
      </c>
      <c r="B476">
        <v>55.999999999999993</v>
      </c>
      <c r="C476">
        <v>4.7975083427982401</v>
      </c>
      <c r="D476">
        <v>490.53660000000002</v>
      </c>
      <c r="E476">
        <v>684.58921161825731</v>
      </c>
      <c r="F476">
        <v>181.34180000000001</v>
      </c>
      <c r="G476">
        <v>74.364200000000011</v>
      </c>
      <c r="H476">
        <v>8</v>
      </c>
      <c r="I476">
        <v>51</v>
      </c>
      <c r="J476">
        <v>5</v>
      </c>
      <c r="K476">
        <v>101</v>
      </c>
      <c r="L476">
        <v>62</v>
      </c>
      <c r="M476">
        <v>7</v>
      </c>
      <c r="N476">
        <v>1995</v>
      </c>
      <c r="O476">
        <v>0.27</v>
      </c>
      <c r="P476">
        <v>2.4700000000000002</v>
      </c>
      <c r="Q476">
        <v>1.4999999999999999E-2</v>
      </c>
      <c r="R476">
        <v>60</v>
      </c>
      <c r="S476">
        <v>700</v>
      </c>
      <c r="T476">
        <v>475</v>
      </c>
      <c r="U476">
        <v>275</v>
      </c>
      <c r="V476">
        <v>370</v>
      </c>
      <c r="W476">
        <v>155</v>
      </c>
    </row>
    <row r="477" spans="1:23">
      <c r="A477">
        <v>383.77692052024798</v>
      </c>
      <c r="B477">
        <v>56</v>
      </c>
      <c r="C477">
        <v>4.7972115065030989</v>
      </c>
      <c r="D477">
        <v>490.84740000000011</v>
      </c>
      <c r="E477">
        <v>689.91037344398342</v>
      </c>
      <c r="F477">
        <v>181.44540000000001</v>
      </c>
      <c r="G477">
        <v>74.467799999999997</v>
      </c>
      <c r="H477">
        <v>8</v>
      </c>
      <c r="I477">
        <v>51</v>
      </c>
      <c r="J477">
        <v>5</v>
      </c>
      <c r="K477">
        <v>71</v>
      </c>
      <c r="L477">
        <v>54</v>
      </c>
      <c r="M477">
        <v>7</v>
      </c>
      <c r="N477">
        <v>1995</v>
      </c>
      <c r="O477">
        <v>0.27</v>
      </c>
      <c r="P477">
        <v>2.4700000000000002</v>
      </c>
      <c r="Q477">
        <v>1.4999999999999999E-2</v>
      </c>
      <c r="R477">
        <v>60</v>
      </c>
      <c r="S477">
        <v>700</v>
      </c>
      <c r="T477">
        <v>475</v>
      </c>
      <c r="U477">
        <v>275</v>
      </c>
      <c r="V477">
        <v>370</v>
      </c>
      <c r="W477">
        <v>155</v>
      </c>
    </row>
    <row r="478" spans="1:23">
      <c r="A478">
        <v>392.15763707298049</v>
      </c>
      <c r="B478">
        <v>57.235294117647072</v>
      </c>
      <c r="C478">
        <v>4.7961725397414883</v>
      </c>
      <c r="D478">
        <v>482.68029999999999</v>
      </c>
      <c r="E478">
        <v>691.0356766936344</v>
      </c>
      <c r="F478">
        <v>178.61530200000001</v>
      </c>
      <c r="G478">
        <v>76.117369999999994</v>
      </c>
      <c r="H478">
        <v>6</v>
      </c>
      <c r="I478">
        <v>50</v>
      </c>
      <c r="J478">
        <v>7</v>
      </c>
      <c r="K478">
        <v>312</v>
      </c>
      <c r="L478">
        <v>58</v>
      </c>
      <c r="M478">
        <v>33</v>
      </c>
      <c r="N478">
        <v>1995</v>
      </c>
      <c r="O478">
        <v>0.27</v>
      </c>
      <c r="P478">
        <v>2.4700000000000002</v>
      </c>
      <c r="Q478">
        <v>1.4999999999999999E-2</v>
      </c>
      <c r="R478">
        <v>60</v>
      </c>
      <c r="S478">
        <v>700</v>
      </c>
      <c r="T478">
        <v>475</v>
      </c>
      <c r="U478">
        <v>275</v>
      </c>
      <c r="V478">
        <v>370</v>
      </c>
      <c r="W478">
        <v>155</v>
      </c>
    </row>
    <row r="479" spans="1:23">
      <c r="A479">
        <v>383.61244006987693</v>
      </c>
      <c r="B479">
        <v>56.000000000000007</v>
      </c>
      <c r="C479">
        <v>4.7951555008734612</v>
      </c>
      <c r="D479">
        <v>520.97760000000005</v>
      </c>
      <c r="E479">
        <v>689.97510373443993</v>
      </c>
      <c r="F479">
        <v>177.10919999999999</v>
      </c>
      <c r="G479">
        <v>74.437200000000018</v>
      </c>
      <c r="H479">
        <v>7</v>
      </c>
      <c r="I479">
        <v>51</v>
      </c>
      <c r="J479">
        <v>6</v>
      </c>
      <c r="K479">
        <v>111</v>
      </c>
      <c r="L479">
        <v>60</v>
      </c>
      <c r="M479">
        <v>9</v>
      </c>
      <c r="N479">
        <v>1995</v>
      </c>
      <c r="O479">
        <v>0.27</v>
      </c>
      <c r="P479">
        <v>2.4700000000000002</v>
      </c>
      <c r="Q479">
        <v>1.4999999999999999E-2</v>
      </c>
      <c r="R479">
        <v>60</v>
      </c>
      <c r="S479">
        <v>700</v>
      </c>
      <c r="T479">
        <v>475</v>
      </c>
      <c r="U479">
        <v>275</v>
      </c>
      <c r="V479">
        <v>370</v>
      </c>
      <c r="W479">
        <v>155</v>
      </c>
    </row>
    <row r="480" spans="1:23">
      <c r="A480">
        <v>383.58566020026268</v>
      </c>
      <c r="B480">
        <v>56</v>
      </c>
      <c r="C480">
        <v>4.7948207525032833</v>
      </c>
      <c r="D480">
        <v>459.7</v>
      </c>
      <c r="E480">
        <v>690.12253735224795</v>
      </c>
      <c r="F480">
        <v>177.68</v>
      </c>
      <c r="G480">
        <v>74.435000000000002</v>
      </c>
      <c r="H480">
        <v>9</v>
      </c>
      <c r="I480">
        <v>47</v>
      </c>
      <c r="J480">
        <v>4</v>
      </c>
      <c r="K480">
        <v>47</v>
      </c>
      <c r="L480">
        <v>61</v>
      </c>
      <c r="M480">
        <v>2</v>
      </c>
      <c r="N480">
        <v>1995</v>
      </c>
      <c r="O480">
        <v>0.27</v>
      </c>
      <c r="P480">
        <v>2.4700000000000002</v>
      </c>
      <c r="Q480">
        <v>1.4999999999999999E-2</v>
      </c>
      <c r="R480">
        <v>60</v>
      </c>
      <c r="S480">
        <v>700</v>
      </c>
      <c r="T480">
        <v>475</v>
      </c>
      <c r="U480">
        <v>275</v>
      </c>
      <c r="V480">
        <v>370</v>
      </c>
      <c r="W480">
        <v>155</v>
      </c>
    </row>
    <row r="481" spans="1:23">
      <c r="A481">
        <v>383.52797492273538</v>
      </c>
      <c r="B481">
        <v>56.000000000000007</v>
      </c>
      <c r="C481">
        <v>4.7940996865341923</v>
      </c>
      <c r="D481">
        <v>448.86720000000003</v>
      </c>
      <c r="E481">
        <v>691.19502074688808</v>
      </c>
      <c r="F481">
        <v>181.42320000000001</v>
      </c>
      <c r="G481">
        <v>74.445599999999999</v>
      </c>
      <c r="H481">
        <v>8</v>
      </c>
      <c r="I481">
        <v>51</v>
      </c>
      <c r="J481">
        <v>5</v>
      </c>
      <c r="K481">
        <v>190</v>
      </c>
      <c r="L481">
        <v>59</v>
      </c>
      <c r="M481">
        <v>6</v>
      </c>
      <c r="N481">
        <v>1995</v>
      </c>
      <c r="O481">
        <v>0.27</v>
      </c>
      <c r="P481">
        <v>2.4700000000000002</v>
      </c>
      <c r="Q481">
        <v>1.4999999999999999E-2</v>
      </c>
      <c r="R481">
        <v>60</v>
      </c>
      <c r="S481">
        <v>700</v>
      </c>
      <c r="T481">
        <v>475</v>
      </c>
      <c r="U481">
        <v>275</v>
      </c>
      <c r="V481">
        <v>370</v>
      </c>
      <c r="W481">
        <v>155</v>
      </c>
    </row>
    <row r="482" spans="1:23">
      <c r="A482">
        <v>383.49958855308978</v>
      </c>
      <c r="B482">
        <v>56</v>
      </c>
      <c r="C482">
        <v>4.7937448569136221</v>
      </c>
      <c r="D482">
        <v>441.49799999999999</v>
      </c>
      <c r="E482">
        <v>690.10788381742748</v>
      </c>
      <c r="F482">
        <v>179.298</v>
      </c>
      <c r="G482">
        <v>74.418000000000006</v>
      </c>
      <c r="H482">
        <v>8</v>
      </c>
      <c r="I482">
        <v>50</v>
      </c>
      <c r="J482">
        <v>5</v>
      </c>
      <c r="K482">
        <v>209</v>
      </c>
      <c r="L482">
        <v>60</v>
      </c>
      <c r="M482">
        <v>18</v>
      </c>
      <c r="N482">
        <v>1995</v>
      </c>
      <c r="O482">
        <v>0.27</v>
      </c>
      <c r="P482">
        <v>2.4700000000000002</v>
      </c>
      <c r="Q482">
        <v>1.4999999999999999E-2</v>
      </c>
      <c r="R482">
        <v>60</v>
      </c>
      <c r="S482">
        <v>700</v>
      </c>
      <c r="T482">
        <v>475</v>
      </c>
      <c r="U482">
        <v>275</v>
      </c>
      <c r="V482">
        <v>370</v>
      </c>
      <c r="W482">
        <v>155</v>
      </c>
    </row>
    <row r="483" spans="1:23">
      <c r="A483">
        <v>383.49052468973872</v>
      </c>
      <c r="B483">
        <v>56</v>
      </c>
      <c r="C483">
        <v>4.7936315586217342</v>
      </c>
      <c r="D483">
        <v>462.81000000000012</v>
      </c>
      <c r="E483">
        <v>691.56016597510381</v>
      </c>
      <c r="F483">
        <v>178.965</v>
      </c>
      <c r="G483">
        <v>74.445750000000004</v>
      </c>
      <c r="H483">
        <v>8</v>
      </c>
      <c r="I483">
        <v>50</v>
      </c>
      <c r="J483">
        <v>5</v>
      </c>
      <c r="K483">
        <v>189</v>
      </c>
      <c r="L483">
        <v>61</v>
      </c>
      <c r="M483">
        <v>13</v>
      </c>
      <c r="N483">
        <v>1995</v>
      </c>
      <c r="O483">
        <v>0.27</v>
      </c>
      <c r="P483">
        <v>2.4700000000000002</v>
      </c>
      <c r="Q483">
        <v>1.4999999999999999E-2</v>
      </c>
      <c r="R483">
        <v>60</v>
      </c>
      <c r="S483">
        <v>700</v>
      </c>
      <c r="T483">
        <v>475</v>
      </c>
      <c r="U483">
        <v>275</v>
      </c>
      <c r="V483">
        <v>370</v>
      </c>
      <c r="W483">
        <v>155</v>
      </c>
    </row>
    <row r="484" spans="1:23">
      <c r="A484">
        <v>383.4902814814867</v>
      </c>
      <c r="B484">
        <v>56.000000000000007</v>
      </c>
      <c r="C484">
        <v>4.7936285185185836</v>
      </c>
      <c r="D484">
        <v>436.65663999999998</v>
      </c>
      <c r="E484">
        <v>691.97245208395748</v>
      </c>
      <c r="F484">
        <v>177.65664000000001</v>
      </c>
      <c r="G484">
        <v>74.454080000000005</v>
      </c>
      <c r="H484">
        <v>6</v>
      </c>
      <c r="I484">
        <v>50</v>
      </c>
      <c r="J484">
        <v>7</v>
      </c>
      <c r="K484">
        <v>133</v>
      </c>
      <c r="L484">
        <v>57</v>
      </c>
      <c r="M484">
        <v>23</v>
      </c>
      <c r="N484">
        <v>1995</v>
      </c>
      <c r="O484">
        <v>0.27</v>
      </c>
      <c r="P484">
        <v>2.4700000000000002</v>
      </c>
      <c r="Q484">
        <v>1.4999999999999999E-2</v>
      </c>
      <c r="R484">
        <v>60</v>
      </c>
      <c r="S484">
        <v>700</v>
      </c>
      <c r="T484">
        <v>475</v>
      </c>
      <c r="U484">
        <v>275</v>
      </c>
      <c r="V484">
        <v>370</v>
      </c>
      <c r="W484">
        <v>155</v>
      </c>
    </row>
    <row r="485" spans="1:23">
      <c r="A485">
        <v>383.44801969704781</v>
      </c>
      <c r="B485">
        <v>56.000000000000007</v>
      </c>
      <c r="C485">
        <v>4.793100246213096</v>
      </c>
      <c r="D485">
        <v>423.65665999999999</v>
      </c>
      <c r="E485">
        <v>690.42323651452284</v>
      </c>
      <c r="F485">
        <v>173.90665999999999</v>
      </c>
      <c r="G485">
        <v>74.414400000000001</v>
      </c>
      <c r="H485">
        <v>9</v>
      </c>
      <c r="I485">
        <v>45</v>
      </c>
      <c r="J485">
        <v>4</v>
      </c>
      <c r="K485">
        <v>155</v>
      </c>
      <c r="L485">
        <v>60</v>
      </c>
      <c r="M485">
        <v>38</v>
      </c>
      <c r="N485">
        <v>1995</v>
      </c>
      <c r="O485">
        <v>0.27</v>
      </c>
      <c r="P485">
        <v>2.4700000000000002</v>
      </c>
      <c r="Q485">
        <v>1.4999999999999999E-2</v>
      </c>
      <c r="R485">
        <v>60</v>
      </c>
      <c r="S485">
        <v>700</v>
      </c>
      <c r="T485">
        <v>475</v>
      </c>
      <c r="U485">
        <v>275</v>
      </c>
      <c r="V485">
        <v>370</v>
      </c>
      <c r="W485">
        <v>155</v>
      </c>
    </row>
    <row r="486" spans="1:23">
      <c r="A486">
        <v>383.34837190798459</v>
      </c>
      <c r="B486">
        <v>55.999999999999993</v>
      </c>
      <c r="C486">
        <v>4.7918546488498093</v>
      </c>
      <c r="D486">
        <v>439.56887999999998</v>
      </c>
      <c r="E486">
        <v>689.62655601659742</v>
      </c>
      <c r="F486">
        <v>178.71888000000001</v>
      </c>
      <c r="G486">
        <v>74.378880000000009</v>
      </c>
      <c r="H486">
        <v>9</v>
      </c>
      <c r="I486">
        <v>47</v>
      </c>
      <c r="J486">
        <v>4</v>
      </c>
      <c r="K486">
        <v>62</v>
      </c>
      <c r="L486">
        <v>61</v>
      </c>
      <c r="M486">
        <v>24</v>
      </c>
      <c r="N486">
        <v>1995</v>
      </c>
      <c r="O486">
        <v>0.27</v>
      </c>
      <c r="P486">
        <v>2.4700000000000002</v>
      </c>
      <c r="Q486">
        <v>1.4999999999999999E-2</v>
      </c>
      <c r="R486">
        <v>60</v>
      </c>
      <c r="S486">
        <v>700</v>
      </c>
      <c r="T486">
        <v>475</v>
      </c>
      <c r="U486">
        <v>275</v>
      </c>
      <c r="V486">
        <v>370</v>
      </c>
      <c r="W486">
        <v>155</v>
      </c>
    </row>
    <row r="487" spans="1:23">
      <c r="A487">
        <v>359.14714797678539</v>
      </c>
      <c r="B487">
        <v>52.5</v>
      </c>
      <c r="C487">
        <v>4.7886286396904731</v>
      </c>
      <c r="D487">
        <v>423.47519999999997</v>
      </c>
      <c r="E487">
        <v>690.40663900414938</v>
      </c>
      <c r="F487">
        <v>201.0984</v>
      </c>
      <c r="G487">
        <v>69.698100000000011</v>
      </c>
      <c r="H487">
        <v>22</v>
      </c>
      <c r="I487">
        <v>57</v>
      </c>
      <c r="J487">
        <v>3</v>
      </c>
      <c r="K487">
        <v>75</v>
      </c>
      <c r="L487">
        <v>46</v>
      </c>
      <c r="M487">
        <v>2</v>
      </c>
      <c r="N487">
        <v>1995</v>
      </c>
      <c r="O487">
        <v>0.27</v>
      </c>
      <c r="P487">
        <v>2.4700000000000002</v>
      </c>
      <c r="Q487">
        <v>1.4999999999999999E-2</v>
      </c>
      <c r="R487">
        <v>60</v>
      </c>
      <c r="S487">
        <v>700</v>
      </c>
      <c r="T487">
        <v>475</v>
      </c>
      <c r="U487">
        <v>275</v>
      </c>
      <c r="V487">
        <v>370</v>
      </c>
      <c r="W487">
        <v>155</v>
      </c>
    </row>
    <row r="488" spans="1:23">
      <c r="A488">
        <v>383.04614509922618</v>
      </c>
      <c r="B488">
        <v>55.999999999999993</v>
      </c>
      <c r="C488">
        <v>4.7880768137403287</v>
      </c>
      <c r="D488">
        <v>490.53660000000002</v>
      </c>
      <c r="E488">
        <v>691.792531120332</v>
      </c>
      <c r="F488">
        <v>181.34180000000001</v>
      </c>
      <c r="G488">
        <v>74.364200000000011</v>
      </c>
      <c r="H488">
        <v>8</v>
      </c>
      <c r="I488">
        <v>51</v>
      </c>
      <c r="J488">
        <v>5</v>
      </c>
      <c r="K488">
        <v>70</v>
      </c>
      <c r="L488">
        <v>62</v>
      </c>
      <c r="M488">
        <v>7</v>
      </c>
      <c r="N488">
        <v>1995</v>
      </c>
      <c r="O488">
        <v>0.27</v>
      </c>
      <c r="P488">
        <v>2.4700000000000002</v>
      </c>
      <c r="Q488">
        <v>1.4999999999999999E-2</v>
      </c>
      <c r="R488">
        <v>60</v>
      </c>
      <c r="S488">
        <v>700</v>
      </c>
      <c r="T488">
        <v>475</v>
      </c>
      <c r="U488">
        <v>275</v>
      </c>
      <c r="V488">
        <v>370</v>
      </c>
      <c r="W488">
        <v>155</v>
      </c>
    </row>
    <row r="489" spans="1:23">
      <c r="A489">
        <v>397.35258899306842</v>
      </c>
      <c r="B489">
        <v>58.100000000000023</v>
      </c>
      <c r="C489">
        <v>4.7873805902779321</v>
      </c>
      <c r="D489">
        <v>466.0224</v>
      </c>
      <c r="E489">
        <v>691.31950207468878</v>
      </c>
      <c r="F489">
        <v>179.7312</v>
      </c>
      <c r="G489">
        <v>77.131679999999989</v>
      </c>
      <c r="H489">
        <v>9</v>
      </c>
      <c r="I489">
        <v>50</v>
      </c>
      <c r="J489">
        <v>4</v>
      </c>
      <c r="K489">
        <v>91</v>
      </c>
      <c r="L489">
        <v>58</v>
      </c>
      <c r="M489">
        <v>6</v>
      </c>
      <c r="N489">
        <v>1995</v>
      </c>
      <c r="O489">
        <v>0.27</v>
      </c>
      <c r="P489">
        <v>2.4700000000000002</v>
      </c>
      <c r="Q489">
        <v>1.4999999999999999E-2</v>
      </c>
      <c r="R489">
        <v>60</v>
      </c>
      <c r="S489">
        <v>700</v>
      </c>
      <c r="T489">
        <v>475</v>
      </c>
      <c r="U489">
        <v>275</v>
      </c>
      <c r="V489">
        <v>370</v>
      </c>
      <c r="W489">
        <v>155</v>
      </c>
    </row>
    <row r="490" spans="1:23">
      <c r="A490">
        <v>392.03355463829519</v>
      </c>
      <c r="B490">
        <v>57.358208955223887</v>
      </c>
      <c r="C490">
        <v>4.7843803571522363</v>
      </c>
      <c r="D490">
        <v>480.08848</v>
      </c>
      <c r="E490">
        <v>690.58738484017942</v>
      </c>
      <c r="F490">
        <v>177.40564079999999</v>
      </c>
      <c r="G490">
        <v>76.083973999999998</v>
      </c>
      <c r="H490">
        <v>6</v>
      </c>
      <c r="I490">
        <v>50</v>
      </c>
      <c r="J490">
        <v>7</v>
      </c>
      <c r="K490">
        <v>316</v>
      </c>
      <c r="L490">
        <v>62</v>
      </c>
      <c r="M490">
        <v>26</v>
      </c>
      <c r="N490">
        <v>1995</v>
      </c>
      <c r="O490">
        <v>0.27</v>
      </c>
      <c r="P490">
        <v>2.4700000000000002</v>
      </c>
      <c r="Q490">
        <v>1.4999999999999999E-2</v>
      </c>
      <c r="R490">
        <v>60</v>
      </c>
      <c r="S490">
        <v>700</v>
      </c>
      <c r="T490">
        <v>475</v>
      </c>
      <c r="U490">
        <v>275</v>
      </c>
      <c r="V490">
        <v>370</v>
      </c>
      <c r="W490">
        <v>155</v>
      </c>
    </row>
    <row r="491" spans="1:23">
      <c r="A491">
        <v>382.47798858940428</v>
      </c>
      <c r="B491">
        <v>56</v>
      </c>
      <c r="C491">
        <v>4.7809748573675526</v>
      </c>
      <c r="D491">
        <v>476.7552</v>
      </c>
      <c r="E491">
        <v>689.60165975103746</v>
      </c>
      <c r="F491">
        <v>176.1234</v>
      </c>
      <c r="G491">
        <v>74.209500000000006</v>
      </c>
      <c r="H491">
        <v>9</v>
      </c>
      <c r="I491">
        <v>63</v>
      </c>
      <c r="J491">
        <v>3</v>
      </c>
      <c r="K491">
        <v>75</v>
      </c>
      <c r="L491">
        <v>45</v>
      </c>
      <c r="M491">
        <v>2</v>
      </c>
      <c r="N491">
        <v>1995</v>
      </c>
      <c r="O491">
        <v>0.27</v>
      </c>
      <c r="P491">
        <v>2.4700000000000002</v>
      </c>
      <c r="Q491">
        <v>1.4999999999999999E-2</v>
      </c>
      <c r="R491">
        <v>60</v>
      </c>
      <c r="S491">
        <v>700</v>
      </c>
      <c r="T491">
        <v>475</v>
      </c>
      <c r="U491">
        <v>275</v>
      </c>
      <c r="V491">
        <v>370</v>
      </c>
      <c r="W491">
        <v>155</v>
      </c>
    </row>
    <row r="492" spans="1:23">
      <c r="A492">
        <v>382.3054235579919</v>
      </c>
      <c r="B492">
        <v>56.000000000000007</v>
      </c>
      <c r="C492">
        <v>4.7788177944748993</v>
      </c>
      <c r="D492">
        <v>459.87743999999998</v>
      </c>
      <c r="E492">
        <v>689.53360995850619</v>
      </c>
      <c r="F492">
        <v>177.76872</v>
      </c>
      <c r="G492">
        <v>74.174639999999997</v>
      </c>
      <c r="H492">
        <v>9</v>
      </c>
      <c r="I492">
        <v>47</v>
      </c>
      <c r="J492">
        <v>4</v>
      </c>
      <c r="K492">
        <v>278</v>
      </c>
      <c r="L492">
        <v>59</v>
      </c>
      <c r="M492">
        <v>8</v>
      </c>
      <c r="N492">
        <v>1995</v>
      </c>
      <c r="O492">
        <v>0.27</v>
      </c>
      <c r="P492">
        <v>2.4700000000000002</v>
      </c>
      <c r="Q492">
        <v>1.4999999999999999E-2</v>
      </c>
      <c r="R492">
        <v>60</v>
      </c>
      <c r="S492">
        <v>700</v>
      </c>
      <c r="T492">
        <v>475</v>
      </c>
      <c r="U492">
        <v>275</v>
      </c>
      <c r="V492">
        <v>370</v>
      </c>
      <c r="W492">
        <v>155</v>
      </c>
    </row>
    <row r="493" spans="1:23">
      <c r="A493">
        <v>382.1454112163949</v>
      </c>
      <c r="B493">
        <v>56</v>
      </c>
      <c r="C493">
        <v>4.7768176402049356</v>
      </c>
      <c r="D493">
        <v>425.8272</v>
      </c>
      <c r="E493">
        <v>692.31938597678425</v>
      </c>
      <c r="F493">
        <v>174.11519999999999</v>
      </c>
      <c r="G493">
        <v>74.200000000000017</v>
      </c>
      <c r="H493">
        <v>8</v>
      </c>
      <c r="I493">
        <v>48</v>
      </c>
      <c r="J493">
        <v>5</v>
      </c>
      <c r="K493">
        <v>292</v>
      </c>
      <c r="L493">
        <v>62</v>
      </c>
      <c r="M493">
        <v>26</v>
      </c>
      <c r="N493">
        <v>1995</v>
      </c>
      <c r="O493">
        <v>0.27</v>
      </c>
      <c r="P493">
        <v>2.4700000000000002</v>
      </c>
      <c r="Q493">
        <v>1.4999999999999999E-2</v>
      </c>
      <c r="R493">
        <v>60</v>
      </c>
      <c r="S493">
        <v>700</v>
      </c>
      <c r="T493">
        <v>475</v>
      </c>
      <c r="U493">
        <v>275</v>
      </c>
      <c r="V493">
        <v>370</v>
      </c>
      <c r="W493">
        <v>155</v>
      </c>
    </row>
    <row r="494" spans="1:23">
      <c r="A494">
        <v>382.07911796147607</v>
      </c>
      <c r="B494">
        <v>56</v>
      </c>
      <c r="C494">
        <v>4.7759889745184507</v>
      </c>
      <c r="D494">
        <v>438.58800000000002</v>
      </c>
      <c r="E494">
        <v>689.49743453928522</v>
      </c>
      <c r="F494">
        <v>177.738</v>
      </c>
      <c r="G494">
        <v>74.13</v>
      </c>
      <c r="H494">
        <v>9</v>
      </c>
      <c r="I494">
        <v>47</v>
      </c>
      <c r="J494">
        <v>4</v>
      </c>
      <c r="K494">
        <v>118</v>
      </c>
      <c r="L494">
        <v>60</v>
      </c>
      <c r="M494">
        <v>2</v>
      </c>
      <c r="N494">
        <v>1995</v>
      </c>
      <c r="O494">
        <v>0.27</v>
      </c>
      <c r="P494">
        <v>2.4700000000000002</v>
      </c>
      <c r="Q494">
        <v>1.4999999999999999E-2</v>
      </c>
      <c r="R494">
        <v>60</v>
      </c>
      <c r="S494">
        <v>700</v>
      </c>
      <c r="T494">
        <v>475</v>
      </c>
      <c r="U494">
        <v>275</v>
      </c>
      <c r="V494">
        <v>370</v>
      </c>
      <c r="W494">
        <v>155</v>
      </c>
    </row>
    <row r="495" spans="1:23">
      <c r="A495">
        <v>357.0836681460479</v>
      </c>
      <c r="B495">
        <v>52.5</v>
      </c>
      <c r="C495">
        <v>4.7611155752806393</v>
      </c>
      <c r="D495">
        <v>394.44959999999998</v>
      </c>
      <c r="E495">
        <v>692.2655601659751</v>
      </c>
      <c r="F495">
        <v>207.96960000000001</v>
      </c>
      <c r="G495">
        <v>69.332820000000012</v>
      </c>
      <c r="H495">
        <v>22</v>
      </c>
      <c r="I495">
        <v>57</v>
      </c>
      <c r="J495">
        <v>3</v>
      </c>
      <c r="K495">
        <v>61</v>
      </c>
      <c r="L495">
        <v>56</v>
      </c>
      <c r="M495">
        <v>12</v>
      </c>
      <c r="N495">
        <v>1995</v>
      </c>
      <c r="O495">
        <v>0.27</v>
      </c>
      <c r="P495">
        <v>2.4700000000000002</v>
      </c>
      <c r="Q495">
        <v>1.4999999999999999E-2</v>
      </c>
      <c r="R495">
        <v>60</v>
      </c>
      <c r="S495">
        <v>700</v>
      </c>
      <c r="T495">
        <v>475</v>
      </c>
      <c r="U495">
        <v>275</v>
      </c>
      <c r="V495">
        <v>370</v>
      </c>
      <c r="W495">
        <v>155</v>
      </c>
    </row>
    <row r="496" spans="1:23">
      <c r="A496">
        <v>380.86922379487009</v>
      </c>
      <c r="B496">
        <v>56.000000000000007</v>
      </c>
      <c r="C496">
        <v>4.7608652974358758</v>
      </c>
      <c r="D496">
        <v>445.95359999999999</v>
      </c>
      <c r="E496">
        <v>691.02074688796688</v>
      </c>
      <c r="F496">
        <v>173.02680000000001</v>
      </c>
      <c r="G496">
        <v>73.926000000000002</v>
      </c>
      <c r="H496">
        <v>9</v>
      </c>
      <c r="I496">
        <v>45</v>
      </c>
      <c r="J496">
        <v>4</v>
      </c>
      <c r="K496">
        <v>249</v>
      </c>
      <c r="L496">
        <v>60</v>
      </c>
      <c r="M496">
        <v>27</v>
      </c>
      <c r="N496">
        <v>1995</v>
      </c>
      <c r="O496">
        <v>0.27</v>
      </c>
      <c r="P496">
        <v>2.4700000000000002</v>
      </c>
      <c r="Q496">
        <v>1.4999999999999999E-2</v>
      </c>
      <c r="R496">
        <v>60</v>
      </c>
      <c r="S496">
        <v>700</v>
      </c>
      <c r="T496">
        <v>475</v>
      </c>
      <c r="U496">
        <v>275</v>
      </c>
      <c r="V496">
        <v>370</v>
      </c>
      <c r="W496">
        <v>155</v>
      </c>
    </row>
    <row r="497" spans="1:23">
      <c r="A497">
        <v>342.70451811984259</v>
      </c>
      <c r="B497">
        <v>50.4</v>
      </c>
      <c r="C497">
        <v>4.7597849738867044</v>
      </c>
      <c r="D497">
        <v>411.87650000000002</v>
      </c>
      <c r="E497">
        <v>692.7884369052789</v>
      </c>
      <c r="F497">
        <v>235.35319999999999</v>
      </c>
      <c r="G497">
        <v>66.55040000000001</v>
      </c>
      <c r="H497">
        <v>57</v>
      </c>
      <c r="I497">
        <v>56</v>
      </c>
      <c r="J497">
        <v>13</v>
      </c>
      <c r="K497">
        <v>148</v>
      </c>
      <c r="L497">
        <v>58</v>
      </c>
      <c r="M497">
        <v>28</v>
      </c>
      <c r="N497">
        <v>1995</v>
      </c>
      <c r="O497">
        <v>0.27</v>
      </c>
      <c r="P497">
        <v>2.4700000000000002</v>
      </c>
      <c r="Q497">
        <v>1.4999999999999999E-2</v>
      </c>
      <c r="R497">
        <v>60</v>
      </c>
      <c r="S497">
        <v>700</v>
      </c>
      <c r="T497">
        <v>475</v>
      </c>
      <c r="U497">
        <v>275</v>
      </c>
      <c r="V497">
        <v>370</v>
      </c>
      <c r="W497">
        <v>155</v>
      </c>
    </row>
    <row r="498" spans="1:23">
      <c r="A498">
        <v>356.91762163033587</v>
      </c>
      <c r="B498">
        <v>52.5</v>
      </c>
      <c r="C498">
        <v>4.7589016217378113</v>
      </c>
      <c r="D498">
        <v>431.6</v>
      </c>
      <c r="E498">
        <v>691.17731882905525</v>
      </c>
      <c r="F498">
        <v>215.8</v>
      </c>
      <c r="G498">
        <v>69.28</v>
      </c>
      <c r="H498">
        <v>22</v>
      </c>
      <c r="I498">
        <v>44</v>
      </c>
      <c r="J498">
        <v>4</v>
      </c>
      <c r="K498">
        <v>47</v>
      </c>
      <c r="L498">
        <v>56</v>
      </c>
      <c r="M498">
        <v>2</v>
      </c>
      <c r="N498">
        <v>1995</v>
      </c>
      <c r="O498">
        <v>0.27</v>
      </c>
      <c r="P498">
        <v>2.4700000000000002</v>
      </c>
      <c r="Q498">
        <v>1.4999999999999999E-2</v>
      </c>
      <c r="R498">
        <v>60</v>
      </c>
      <c r="S498">
        <v>700</v>
      </c>
      <c r="T498">
        <v>475</v>
      </c>
      <c r="U498">
        <v>275</v>
      </c>
      <c r="V498">
        <v>370</v>
      </c>
      <c r="W498">
        <v>155</v>
      </c>
    </row>
    <row r="499" spans="1:23">
      <c r="A499">
        <v>380.21312494896438</v>
      </c>
      <c r="B499">
        <v>56.000000000000007</v>
      </c>
      <c r="C499">
        <v>4.7526640618620544</v>
      </c>
      <c r="D499">
        <v>483.54480000000012</v>
      </c>
      <c r="E499">
        <v>690.1742738589212</v>
      </c>
      <c r="F499">
        <v>178.66159999999999</v>
      </c>
      <c r="G499">
        <v>73.781600000000012</v>
      </c>
      <c r="H499">
        <v>8</v>
      </c>
      <c r="I499">
        <v>50</v>
      </c>
      <c r="J499">
        <v>5</v>
      </c>
      <c r="K499">
        <v>97</v>
      </c>
      <c r="L499">
        <v>56</v>
      </c>
      <c r="M499">
        <v>10</v>
      </c>
      <c r="N499">
        <v>1995</v>
      </c>
      <c r="O499">
        <v>0.27</v>
      </c>
      <c r="P499">
        <v>2.4700000000000002</v>
      </c>
      <c r="Q499">
        <v>1.4999999999999999E-2</v>
      </c>
      <c r="R499">
        <v>60</v>
      </c>
      <c r="S499">
        <v>700</v>
      </c>
      <c r="T499">
        <v>475</v>
      </c>
      <c r="U499">
        <v>275</v>
      </c>
      <c r="V499">
        <v>370</v>
      </c>
      <c r="W499">
        <v>155</v>
      </c>
    </row>
    <row r="500" spans="1:23">
      <c r="A500">
        <v>380.10713243396049</v>
      </c>
      <c r="B500">
        <v>56.000000000000007</v>
      </c>
      <c r="C500">
        <v>4.7513391554245068</v>
      </c>
      <c r="D500">
        <v>445.02120000000002</v>
      </c>
      <c r="E500">
        <v>691.91701244813282</v>
      </c>
      <c r="F500">
        <v>172.56059999999999</v>
      </c>
      <c r="G500">
        <v>73.796130000000005</v>
      </c>
      <c r="H500">
        <v>9</v>
      </c>
      <c r="I500">
        <v>45</v>
      </c>
      <c r="J500">
        <v>4</v>
      </c>
      <c r="K500">
        <v>60</v>
      </c>
      <c r="L500">
        <v>63</v>
      </c>
      <c r="M500">
        <v>31</v>
      </c>
      <c r="N500">
        <v>1995</v>
      </c>
      <c r="O500">
        <v>0.27</v>
      </c>
      <c r="P500">
        <v>2.4700000000000002</v>
      </c>
      <c r="Q500">
        <v>1.4999999999999999E-2</v>
      </c>
      <c r="R500">
        <v>60</v>
      </c>
      <c r="S500">
        <v>700</v>
      </c>
      <c r="T500">
        <v>475</v>
      </c>
      <c r="U500">
        <v>275</v>
      </c>
      <c r="V500">
        <v>370</v>
      </c>
      <c r="W500">
        <v>155</v>
      </c>
    </row>
    <row r="501" spans="1:23">
      <c r="A501">
        <v>356.2288142964216</v>
      </c>
      <c r="B501">
        <v>52.500000000000007</v>
      </c>
      <c r="C501">
        <v>4.7497175239522873</v>
      </c>
      <c r="D501">
        <v>413.03987999999998</v>
      </c>
      <c r="E501">
        <v>691.7676348547717</v>
      </c>
      <c r="F501">
        <v>206.51993999999999</v>
      </c>
      <c r="G501">
        <v>69.157440000000008</v>
      </c>
      <c r="H501">
        <v>22</v>
      </c>
      <c r="I501">
        <v>55</v>
      </c>
      <c r="J501">
        <v>3</v>
      </c>
      <c r="K501">
        <v>60</v>
      </c>
      <c r="L501">
        <v>58</v>
      </c>
      <c r="M501">
        <v>33</v>
      </c>
      <c r="N501">
        <v>1995</v>
      </c>
      <c r="O501">
        <v>0.27</v>
      </c>
      <c r="P501">
        <v>2.4700000000000002</v>
      </c>
      <c r="Q501">
        <v>1.4999999999999999E-2</v>
      </c>
      <c r="R501">
        <v>60</v>
      </c>
      <c r="S501">
        <v>700</v>
      </c>
      <c r="T501">
        <v>475</v>
      </c>
      <c r="U501">
        <v>275</v>
      </c>
      <c r="V501">
        <v>370</v>
      </c>
      <c r="W501">
        <v>155</v>
      </c>
    </row>
    <row r="502" spans="1:23">
      <c r="A502">
        <v>379.8229839647023</v>
      </c>
      <c r="B502">
        <v>56.000000000000007</v>
      </c>
      <c r="C502">
        <v>4.7477872995587784</v>
      </c>
      <c r="D502">
        <v>454.26567999999997</v>
      </c>
      <c r="E502">
        <v>689.40248962655596</v>
      </c>
      <c r="F502">
        <v>175.74163999999999</v>
      </c>
      <c r="G502">
        <v>73.690360000000013</v>
      </c>
      <c r="H502">
        <v>8</v>
      </c>
      <c r="I502">
        <v>49</v>
      </c>
      <c r="J502">
        <v>5</v>
      </c>
      <c r="K502">
        <v>245</v>
      </c>
      <c r="L502">
        <v>61</v>
      </c>
      <c r="M502">
        <v>19</v>
      </c>
      <c r="N502">
        <v>1995</v>
      </c>
      <c r="O502">
        <v>0.27</v>
      </c>
      <c r="P502">
        <v>2.4700000000000002</v>
      </c>
      <c r="Q502">
        <v>1.4999999999999999E-2</v>
      </c>
      <c r="R502">
        <v>60</v>
      </c>
      <c r="S502">
        <v>700</v>
      </c>
      <c r="T502">
        <v>475</v>
      </c>
      <c r="U502">
        <v>275</v>
      </c>
      <c r="V502">
        <v>370</v>
      </c>
      <c r="W502">
        <v>155</v>
      </c>
    </row>
    <row r="503" spans="1:23">
      <c r="A503">
        <v>379.79987076720431</v>
      </c>
      <c r="B503">
        <v>56</v>
      </c>
      <c r="C503">
        <v>4.7474983845900534</v>
      </c>
      <c r="D503">
        <v>459.7</v>
      </c>
      <c r="E503">
        <v>690.35283838860255</v>
      </c>
      <c r="F503">
        <v>177.68</v>
      </c>
      <c r="G503">
        <v>73.704999999999998</v>
      </c>
      <c r="H503">
        <v>9</v>
      </c>
      <c r="I503">
        <v>47</v>
      </c>
      <c r="J503">
        <v>4</v>
      </c>
      <c r="K503">
        <v>180</v>
      </c>
      <c r="L503">
        <v>59</v>
      </c>
      <c r="M503">
        <v>2</v>
      </c>
      <c r="N503">
        <v>1995</v>
      </c>
      <c r="O503">
        <v>0.27</v>
      </c>
      <c r="P503">
        <v>2.4700000000000002</v>
      </c>
      <c r="Q503">
        <v>1.4999999999999999E-2</v>
      </c>
      <c r="R503">
        <v>60</v>
      </c>
      <c r="S503">
        <v>700</v>
      </c>
      <c r="T503">
        <v>475</v>
      </c>
      <c r="U503">
        <v>275</v>
      </c>
      <c r="V503">
        <v>370</v>
      </c>
      <c r="W503">
        <v>155</v>
      </c>
    </row>
    <row r="504" spans="1:23">
      <c r="A504">
        <v>379.70501236333001</v>
      </c>
      <c r="B504">
        <v>56</v>
      </c>
      <c r="C504">
        <v>4.746312654541625</v>
      </c>
      <c r="D504">
        <v>482.16000000000008</v>
      </c>
      <c r="E504">
        <v>690.02520158380639</v>
      </c>
      <c r="F504">
        <v>178.2</v>
      </c>
      <c r="G504">
        <v>73.680000000000007</v>
      </c>
      <c r="H504">
        <v>8</v>
      </c>
      <c r="I504">
        <v>50</v>
      </c>
      <c r="J504">
        <v>5</v>
      </c>
      <c r="K504">
        <v>301</v>
      </c>
      <c r="L504">
        <v>59</v>
      </c>
      <c r="M504">
        <v>2</v>
      </c>
      <c r="N504">
        <v>1995</v>
      </c>
      <c r="O504">
        <v>0.27</v>
      </c>
      <c r="P504">
        <v>2.4700000000000002</v>
      </c>
      <c r="Q504">
        <v>1.4999999999999999E-2</v>
      </c>
      <c r="R504">
        <v>60</v>
      </c>
      <c r="S504">
        <v>700</v>
      </c>
      <c r="T504">
        <v>475</v>
      </c>
      <c r="U504">
        <v>275</v>
      </c>
      <c r="V504">
        <v>370</v>
      </c>
      <c r="W504">
        <v>155</v>
      </c>
    </row>
    <row r="505" spans="1:23">
      <c r="A505">
        <v>379.67218166352581</v>
      </c>
      <c r="B505">
        <v>56</v>
      </c>
      <c r="C505">
        <v>4.7459022707940717</v>
      </c>
      <c r="D505">
        <v>438.49144000000001</v>
      </c>
      <c r="E505">
        <v>689.32780082987551</v>
      </c>
      <c r="F505">
        <v>177.64143999999999</v>
      </c>
      <c r="G505">
        <v>73.659600000000012</v>
      </c>
      <c r="H505">
        <v>9</v>
      </c>
      <c r="I505">
        <v>47</v>
      </c>
      <c r="J505">
        <v>4</v>
      </c>
      <c r="K505">
        <v>61</v>
      </c>
      <c r="L505">
        <v>60</v>
      </c>
      <c r="M505">
        <v>11</v>
      </c>
      <c r="N505">
        <v>1995</v>
      </c>
      <c r="O505">
        <v>0.27</v>
      </c>
      <c r="P505">
        <v>2.4700000000000002</v>
      </c>
      <c r="Q505">
        <v>1.4999999999999999E-2</v>
      </c>
      <c r="R505">
        <v>60</v>
      </c>
      <c r="S505">
        <v>700</v>
      </c>
      <c r="T505">
        <v>475</v>
      </c>
      <c r="U505">
        <v>275</v>
      </c>
      <c r="V505">
        <v>370</v>
      </c>
      <c r="W505">
        <v>155</v>
      </c>
    </row>
    <row r="506" spans="1:23">
      <c r="A506">
        <v>379.28057923072299</v>
      </c>
      <c r="B506">
        <v>56.000000000000007</v>
      </c>
      <c r="C506">
        <v>4.7410072403840386</v>
      </c>
      <c r="D506">
        <v>461.89080000000001</v>
      </c>
      <c r="E506">
        <v>690.28691113342381</v>
      </c>
      <c r="F506">
        <v>178.49789999999999</v>
      </c>
      <c r="G506">
        <v>73.602899999999991</v>
      </c>
      <c r="H506">
        <v>9</v>
      </c>
      <c r="I506">
        <v>63</v>
      </c>
      <c r="J506">
        <v>3</v>
      </c>
      <c r="K506">
        <v>179</v>
      </c>
      <c r="L506">
        <v>46</v>
      </c>
      <c r="M506">
        <v>3</v>
      </c>
      <c r="N506">
        <v>1995</v>
      </c>
      <c r="O506">
        <v>0.27</v>
      </c>
      <c r="P506">
        <v>2.4700000000000002</v>
      </c>
      <c r="Q506">
        <v>1.4999999999999999E-2</v>
      </c>
      <c r="R506">
        <v>60</v>
      </c>
      <c r="S506">
        <v>700</v>
      </c>
      <c r="T506">
        <v>475</v>
      </c>
      <c r="U506">
        <v>275</v>
      </c>
      <c r="V506">
        <v>370</v>
      </c>
      <c r="W506">
        <v>155</v>
      </c>
    </row>
    <row r="507" spans="1:23">
      <c r="A507">
        <v>355.57026008902483</v>
      </c>
      <c r="B507">
        <v>52.500000000000007</v>
      </c>
      <c r="C507">
        <v>4.7409368011869972</v>
      </c>
      <c r="D507">
        <v>412.65359999999998</v>
      </c>
      <c r="E507">
        <v>688.30207468879667</v>
      </c>
      <c r="F507">
        <v>206.32679999999999</v>
      </c>
      <c r="G507">
        <v>68.964300000000009</v>
      </c>
      <c r="H507">
        <v>22</v>
      </c>
      <c r="I507">
        <v>55</v>
      </c>
      <c r="J507">
        <v>3</v>
      </c>
      <c r="K507">
        <v>249</v>
      </c>
      <c r="L507">
        <v>58</v>
      </c>
      <c r="M507">
        <v>27</v>
      </c>
      <c r="N507">
        <v>1995</v>
      </c>
      <c r="O507">
        <v>0.27</v>
      </c>
      <c r="P507">
        <v>2.4700000000000002</v>
      </c>
      <c r="Q507">
        <v>1.4999999999999999E-2</v>
      </c>
      <c r="R507">
        <v>60</v>
      </c>
      <c r="S507">
        <v>700</v>
      </c>
      <c r="T507">
        <v>475</v>
      </c>
      <c r="U507">
        <v>275</v>
      </c>
      <c r="V507">
        <v>370</v>
      </c>
      <c r="W507">
        <v>155</v>
      </c>
    </row>
    <row r="508" spans="1:23">
      <c r="A508">
        <v>379.24857648466133</v>
      </c>
      <c r="B508">
        <v>56</v>
      </c>
      <c r="C508">
        <v>4.7406072060582662</v>
      </c>
      <c r="D508">
        <v>448.0292</v>
      </c>
      <c r="E508">
        <v>690.82987551867222</v>
      </c>
      <c r="F508">
        <v>180.58519999999999</v>
      </c>
      <c r="G508">
        <v>73.607600000000005</v>
      </c>
      <c r="H508">
        <v>8</v>
      </c>
      <c r="I508">
        <v>51</v>
      </c>
      <c r="J508">
        <v>5</v>
      </c>
      <c r="K508">
        <v>38</v>
      </c>
      <c r="L508">
        <v>53</v>
      </c>
      <c r="M508">
        <v>4</v>
      </c>
      <c r="N508">
        <v>1995</v>
      </c>
      <c r="O508">
        <v>0.27</v>
      </c>
      <c r="P508">
        <v>2.4700000000000002</v>
      </c>
      <c r="Q508">
        <v>1.4999999999999999E-2</v>
      </c>
      <c r="R508">
        <v>60</v>
      </c>
      <c r="S508">
        <v>700</v>
      </c>
      <c r="T508">
        <v>475</v>
      </c>
      <c r="U508">
        <v>275</v>
      </c>
      <c r="V508">
        <v>370</v>
      </c>
      <c r="W508">
        <v>155</v>
      </c>
    </row>
    <row r="509" spans="1:23">
      <c r="A509">
        <v>379.00815393327542</v>
      </c>
      <c r="B509">
        <v>56</v>
      </c>
      <c r="C509">
        <v>4.7376019241659426</v>
      </c>
      <c r="D509">
        <v>438.74400000000003</v>
      </c>
      <c r="E509">
        <v>690.48443898080518</v>
      </c>
      <c r="F509">
        <v>177.89400000000001</v>
      </c>
      <c r="G509">
        <v>73.554000000000002</v>
      </c>
      <c r="H509">
        <v>9</v>
      </c>
      <c r="I509">
        <v>47</v>
      </c>
      <c r="J509">
        <v>4</v>
      </c>
      <c r="K509">
        <v>123</v>
      </c>
      <c r="L509">
        <v>60</v>
      </c>
      <c r="M509">
        <v>2</v>
      </c>
      <c r="N509">
        <v>1995</v>
      </c>
      <c r="O509">
        <v>0.27</v>
      </c>
      <c r="P509">
        <v>2.4700000000000002</v>
      </c>
      <c r="Q509">
        <v>1.4999999999999999E-2</v>
      </c>
      <c r="R509">
        <v>60</v>
      </c>
      <c r="S509">
        <v>700</v>
      </c>
      <c r="T509">
        <v>475</v>
      </c>
      <c r="U509">
        <v>275</v>
      </c>
      <c r="V509">
        <v>370</v>
      </c>
      <c r="W509">
        <v>155</v>
      </c>
    </row>
    <row r="510" spans="1:23">
      <c r="A510">
        <v>379.00751437483649</v>
      </c>
      <c r="B510">
        <v>56</v>
      </c>
      <c r="C510">
        <v>4.737593929685457</v>
      </c>
      <c r="D510">
        <v>480.35088000000002</v>
      </c>
      <c r="E510">
        <v>688.78008298755185</v>
      </c>
      <c r="F510">
        <v>175.91714999999999</v>
      </c>
      <c r="G510">
        <v>73.519649999999999</v>
      </c>
      <c r="H510">
        <v>9</v>
      </c>
      <c r="I510">
        <v>63</v>
      </c>
      <c r="J510">
        <v>3</v>
      </c>
      <c r="K510">
        <v>175</v>
      </c>
      <c r="L510">
        <v>45</v>
      </c>
      <c r="M510">
        <v>3</v>
      </c>
      <c r="N510">
        <v>1995</v>
      </c>
      <c r="O510">
        <v>0.27</v>
      </c>
      <c r="P510">
        <v>2.4700000000000002</v>
      </c>
      <c r="Q510">
        <v>1.4999999999999999E-2</v>
      </c>
      <c r="R510">
        <v>60</v>
      </c>
      <c r="S510">
        <v>700</v>
      </c>
      <c r="T510">
        <v>475</v>
      </c>
      <c r="U510">
        <v>275</v>
      </c>
      <c r="V510">
        <v>370</v>
      </c>
      <c r="W510">
        <v>155</v>
      </c>
    </row>
    <row r="511" spans="1:23">
      <c r="A511">
        <v>355.0128731930086</v>
      </c>
      <c r="B511">
        <v>52.5</v>
      </c>
      <c r="C511">
        <v>4.733504975906782</v>
      </c>
      <c r="D511">
        <v>389.43387999999999</v>
      </c>
      <c r="E511">
        <v>691.7676348547717</v>
      </c>
      <c r="F511">
        <v>206.28388000000001</v>
      </c>
      <c r="G511">
        <v>68.921379999999999</v>
      </c>
      <c r="H511">
        <v>22</v>
      </c>
      <c r="I511">
        <v>55</v>
      </c>
      <c r="J511">
        <v>3</v>
      </c>
      <c r="K511">
        <v>263</v>
      </c>
      <c r="L511">
        <v>58</v>
      </c>
      <c r="M511">
        <v>22</v>
      </c>
      <c r="N511">
        <v>1995</v>
      </c>
      <c r="O511">
        <v>0.27</v>
      </c>
      <c r="P511">
        <v>2.4700000000000002</v>
      </c>
      <c r="Q511">
        <v>1.4999999999999999E-2</v>
      </c>
      <c r="R511">
        <v>60</v>
      </c>
      <c r="S511">
        <v>700</v>
      </c>
      <c r="T511">
        <v>475</v>
      </c>
      <c r="U511">
        <v>275</v>
      </c>
      <c r="V511">
        <v>370</v>
      </c>
      <c r="W511">
        <v>155</v>
      </c>
    </row>
    <row r="512" spans="1:23">
      <c r="A512">
        <v>396.37801149067423</v>
      </c>
      <c r="B512">
        <v>58.625</v>
      </c>
      <c r="C512">
        <v>4.7328717789931263</v>
      </c>
      <c r="D512">
        <v>471.58816000000002</v>
      </c>
      <c r="E512">
        <v>688.7053941908714</v>
      </c>
      <c r="F512">
        <v>181.02063999999999</v>
      </c>
      <c r="G512">
        <v>76.887600000000006</v>
      </c>
      <c r="H512">
        <v>8</v>
      </c>
      <c r="I512">
        <v>51</v>
      </c>
      <c r="J512">
        <v>5</v>
      </c>
      <c r="K512">
        <v>254</v>
      </c>
      <c r="L512">
        <v>62</v>
      </c>
      <c r="M512">
        <v>15</v>
      </c>
      <c r="N512">
        <v>1995</v>
      </c>
      <c r="O512">
        <v>0.27</v>
      </c>
      <c r="P512">
        <v>2.4700000000000002</v>
      </c>
      <c r="Q512">
        <v>1.4999999999999999E-2</v>
      </c>
      <c r="R512">
        <v>60</v>
      </c>
      <c r="S512">
        <v>700</v>
      </c>
      <c r="T512">
        <v>475</v>
      </c>
      <c r="U512">
        <v>275</v>
      </c>
      <c r="V512">
        <v>370</v>
      </c>
      <c r="W512">
        <v>155</v>
      </c>
    </row>
    <row r="513" spans="1:23">
      <c r="A513">
        <v>378.55466113670172</v>
      </c>
      <c r="B513">
        <v>56</v>
      </c>
      <c r="C513">
        <v>4.731933264208771</v>
      </c>
      <c r="D513">
        <v>422.73388</v>
      </c>
      <c r="E513">
        <v>691.31950207468878</v>
      </c>
      <c r="F513">
        <v>172.98388</v>
      </c>
      <c r="G513">
        <v>73.482740000000007</v>
      </c>
      <c r="H513">
        <v>9</v>
      </c>
      <c r="I513">
        <v>45</v>
      </c>
      <c r="J513">
        <v>4</v>
      </c>
      <c r="K513">
        <v>263</v>
      </c>
      <c r="L513">
        <v>59</v>
      </c>
      <c r="M513">
        <v>22</v>
      </c>
      <c r="N513">
        <v>1995</v>
      </c>
      <c r="O513">
        <v>0.27</v>
      </c>
      <c r="P513">
        <v>2.4700000000000002</v>
      </c>
      <c r="Q513">
        <v>1.4999999999999999E-2</v>
      </c>
      <c r="R513">
        <v>60</v>
      </c>
      <c r="S513">
        <v>700</v>
      </c>
      <c r="T513">
        <v>475</v>
      </c>
      <c r="U513">
        <v>275</v>
      </c>
      <c r="V513">
        <v>370</v>
      </c>
      <c r="W513">
        <v>155</v>
      </c>
    </row>
    <row r="514" spans="1:23">
      <c r="A514">
        <v>378.33547928001639</v>
      </c>
      <c r="B514">
        <v>56.000000000000007</v>
      </c>
      <c r="C514">
        <v>4.7291934910002054</v>
      </c>
      <c r="D514">
        <v>458.79239999999999</v>
      </c>
      <c r="E514">
        <v>690.89079677158031</v>
      </c>
      <c r="F514">
        <v>172.33956000000001</v>
      </c>
      <c r="G514">
        <v>73.431600000000003</v>
      </c>
      <c r="H514">
        <v>7</v>
      </c>
      <c r="I514">
        <v>49</v>
      </c>
      <c r="J514">
        <v>6</v>
      </c>
      <c r="K514">
        <v>165</v>
      </c>
      <c r="L514">
        <v>60</v>
      </c>
      <c r="M514">
        <v>19</v>
      </c>
      <c r="N514">
        <v>1995</v>
      </c>
      <c r="O514">
        <v>0.27</v>
      </c>
      <c r="P514">
        <v>2.4700000000000002</v>
      </c>
      <c r="Q514">
        <v>1.4999999999999999E-2</v>
      </c>
      <c r="R514">
        <v>60</v>
      </c>
      <c r="S514">
        <v>700</v>
      </c>
      <c r="T514">
        <v>475</v>
      </c>
      <c r="U514">
        <v>275</v>
      </c>
      <c r="V514">
        <v>370</v>
      </c>
      <c r="W514">
        <v>155</v>
      </c>
    </row>
    <row r="515" spans="1:23">
      <c r="A515">
        <v>368.81564087578198</v>
      </c>
      <c r="B515">
        <v>54.600000000000023</v>
      </c>
      <c r="C515">
        <v>4.7284056522536133</v>
      </c>
      <c r="D515">
        <v>438.67200000000003</v>
      </c>
      <c r="E515">
        <v>690.32365145228209</v>
      </c>
      <c r="F515">
        <v>219.33600000000001</v>
      </c>
      <c r="G515">
        <v>71.572800000000001</v>
      </c>
      <c r="H515">
        <v>22</v>
      </c>
      <c r="I515">
        <v>46</v>
      </c>
      <c r="J515">
        <v>4</v>
      </c>
      <c r="K515">
        <v>91</v>
      </c>
      <c r="L515">
        <v>55</v>
      </c>
      <c r="M515">
        <v>6</v>
      </c>
      <c r="N515">
        <v>1995</v>
      </c>
      <c r="O515">
        <v>0.27</v>
      </c>
      <c r="P515">
        <v>2.4700000000000002</v>
      </c>
      <c r="Q515">
        <v>1.4999999999999999E-2</v>
      </c>
      <c r="R515">
        <v>60</v>
      </c>
      <c r="S515">
        <v>700</v>
      </c>
      <c r="T515">
        <v>475</v>
      </c>
      <c r="U515">
        <v>275</v>
      </c>
      <c r="V515">
        <v>370</v>
      </c>
      <c r="W515">
        <v>155</v>
      </c>
    </row>
    <row r="516" spans="1:23">
      <c r="A516">
        <v>378.235489503076</v>
      </c>
      <c r="B516">
        <v>56.000000000000007</v>
      </c>
      <c r="C516">
        <v>4.7279436187884496</v>
      </c>
      <c r="D516">
        <v>455.98100000000011</v>
      </c>
      <c r="E516">
        <v>690.73946026661474</v>
      </c>
      <c r="F516">
        <v>176.19156000000001</v>
      </c>
      <c r="G516">
        <v>73.409160000000014</v>
      </c>
      <c r="H516">
        <v>8</v>
      </c>
      <c r="I516">
        <v>49</v>
      </c>
      <c r="J516">
        <v>5</v>
      </c>
      <c r="K516">
        <v>187</v>
      </c>
      <c r="L516">
        <v>58</v>
      </c>
      <c r="M516">
        <v>19</v>
      </c>
      <c r="N516">
        <v>1995</v>
      </c>
      <c r="O516">
        <v>0.27</v>
      </c>
      <c r="P516">
        <v>2.4700000000000002</v>
      </c>
      <c r="Q516">
        <v>1.4999999999999999E-2</v>
      </c>
      <c r="R516">
        <v>60</v>
      </c>
      <c r="S516">
        <v>700</v>
      </c>
      <c r="T516">
        <v>475</v>
      </c>
      <c r="U516">
        <v>275</v>
      </c>
      <c r="V516">
        <v>370</v>
      </c>
      <c r="W516">
        <v>155</v>
      </c>
    </row>
    <row r="517" spans="1:23">
      <c r="A517">
        <v>378.15326001705301</v>
      </c>
      <c r="B517">
        <v>56</v>
      </c>
      <c r="C517">
        <v>4.7269157502131618</v>
      </c>
      <c r="D517">
        <v>455.25599999999997</v>
      </c>
      <c r="E517">
        <v>660.28448132780079</v>
      </c>
      <c r="F517">
        <v>176.01300000000001</v>
      </c>
      <c r="G517">
        <v>72.783000000000001</v>
      </c>
      <c r="H517">
        <v>9</v>
      </c>
      <c r="I517">
        <v>62</v>
      </c>
      <c r="J517">
        <v>3</v>
      </c>
      <c r="K517">
        <v>117</v>
      </c>
      <c r="L517">
        <v>49</v>
      </c>
      <c r="M517">
        <v>2</v>
      </c>
      <c r="N517">
        <v>1995</v>
      </c>
      <c r="O517">
        <v>0.27</v>
      </c>
      <c r="P517">
        <v>2.4700000000000002</v>
      </c>
      <c r="Q517">
        <v>1.4999999999999999E-2</v>
      </c>
      <c r="R517">
        <v>60</v>
      </c>
      <c r="S517">
        <v>700</v>
      </c>
      <c r="T517">
        <v>475</v>
      </c>
      <c r="U517">
        <v>275</v>
      </c>
      <c r="V517">
        <v>370</v>
      </c>
      <c r="W517">
        <v>155</v>
      </c>
    </row>
    <row r="518" spans="1:23">
      <c r="A518">
        <v>378.10204039164682</v>
      </c>
      <c r="B518">
        <v>56</v>
      </c>
      <c r="C518">
        <v>4.7262755048955851</v>
      </c>
      <c r="D518">
        <v>425.40096</v>
      </c>
      <c r="E518">
        <v>691.3195020746889</v>
      </c>
      <c r="F518">
        <v>173.68896000000001</v>
      </c>
      <c r="G518">
        <v>73.394880000000001</v>
      </c>
      <c r="H518">
        <v>8</v>
      </c>
      <c r="I518">
        <v>48</v>
      </c>
      <c r="J518">
        <v>5</v>
      </c>
      <c r="K518">
        <v>205</v>
      </c>
      <c r="L518">
        <v>59</v>
      </c>
      <c r="M518">
        <v>24</v>
      </c>
      <c r="N518">
        <v>1995</v>
      </c>
      <c r="O518">
        <v>0.27</v>
      </c>
      <c r="P518">
        <v>2.4700000000000002</v>
      </c>
      <c r="Q518">
        <v>1.4999999999999999E-2</v>
      </c>
      <c r="R518">
        <v>60</v>
      </c>
      <c r="S518">
        <v>700</v>
      </c>
      <c r="T518">
        <v>475</v>
      </c>
      <c r="U518">
        <v>275</v>
      </c>
      <c r="V518">
        <v>370</v>
      </c>
      <c r="W518">
        <v>155</v>
      </c>
    </row>
    <row r="519" spans="1:23">
      <c r="A519">
        <v>354.46992006997613</v>
      </c>
      <c r="B519">
        <v>52.5</v>
      </c>
      <c r="C519">
        <v>4.7262656009330151</v>
      </c>
      <c r="D519">
        <v>412.23599999999999</v>
      </c>
      <c r="E519">
        <v>688.54782047030551</v>
      </c>
      <c r="F519">
        <v>206.11799999999999</v>
      </c>
      <c r="G519">
        <v>68.755499999999998</v>
      </c>
      <c r="H519">
        <v>22</v>
      </c>
      <c r="I519">
        <v>55</v>
      </c>
      <c r="J519">
        <v>3</v>
      </c>
      <c r="K519">
        <v>42</v>
      </c>
      <c r="L519">
        <v>58</v>
      </c>
      <c r="M519">
        <v>22</v>
      </c>
      <c r="N519">
        <v>1995</v>
      </c>
      <c r="O519">
        <v>0.27</v>
      </c>
      <c r="P519">
        <v>2.4700000000000002</v>
      </c>
      <c r="Q519">
        <v>1.4999999999999999E-2</v>
      </c>
      <c r="R519">
        <v>60</v>
      </c>
      <c r="S519">
        <v>700</v>
      </c>
      <c r="T519">
        <v>475</v>
      </c>
      <c r="U519">
        <v>275</v>
      </c>
      <c r="V519">
        <v>370</v>
      </c>
      <c r="W519">
        <v>155</v>
      </c>
    </row>
    <row r="520" spans="1:23">
      <c r="A520">
        <v>377.79633267086479</v>
      </c>
      <c r="B520">
        <v>56</v>
      </c>
      <c r="C520">
        <v>4.7224541583858102</v>
      </c>
      <c r="D520">
        <v>467.44319999999999</v>
      </c>
      <c r="E520">
        <v>691.98203753746725</v>
      </c>
      <c r="F520">
        <v>172.3904</v>
      </c>
      <c r="G520">
        <v>73.348799999999997</v>
      </c>
      <c r="H520">
        <v>6</v>
      </c>
      <c r="I520">
        <v>56</v>
      </c>
      <c r="J520">
        <v>6</v>
      </c>
      <c r="K520">
        <v>327</v>
      </c>
      <c r="L520">
        <v>57</v>
      </c>
      <c r="M520">
        <v>28</v>
      </c>
      <c r="N520">
        <v>1995</v>
      </c>
      <c r="O520">
        <v>0.27</v>
      </c>
      <c r="P520">
        <v>2.4700000000000002</v>
      </c>
      <c r="Q520">
        <v>1.4999999999999999E-2</v>
      </c>
      <c r="R520">
        <v>60</v>
      </c>
      <c r="S520">
        <v>700</v>
      </c>
      <c r="T520">
        <v>475</v>
      </c>
      <c r="U520">
        <v>275</v>
      </c>
      <c r="V520">
        <v>370</v>
      </c>
      <c r="W520">
        <v>155</v>
      </c>
    </row>
    <row r="521" spans="1:23">
      <c r="A521">
        <v>391.73130337329201</v>
      </c>
      <c r="B521">
        <v>58.074074074074083</v>
      </c>
      <c r="C521">
        <v>4.7217612460173584</v>
      </c>
      <c r="D521">
        <v>444.15935999999999</v>
      </c>
      <c r="E521">
        <v>691.60327870745198</v>
      </c>
      <c r="F521">
        <v>181.18512000000001</v>
      </c>
      <c r="G521">
        <v>76.046399999999991</v>
      </c>
      <c r="H521">
        <v>9</v>
      </c>
      <c r="I521">
        <v>48</v>
      </c>
      <c r="J521">
        <v>4</v>
      </c>
      <c r="K521">
        <v>154</v>
      </c>
      <c r="L521">
        <v>62</v>
      </c>
      <c r="M521">
        <v>24</v>
      </c>
      <c r="N521">
        <v>1995</v>
      </c>
      <c r="O521">
        <v>0.27</v>
      </c>
      <c r="P521">
        <v>2.4700000000000002</v>
      </c>
      <c r="Q521">
        <v>1.4999999999999999E-2</v>
      </c>
      <c r="R521">
        <v>60</v>
      </c>
      <c r="S521">
        <v>700</v>
      </c>
      <c r="T521">
        <v>475</v>
      </c>
      <c r="U521">
        <v>275</v>
      </c>
      <c r="V521">
        <v>370</v>
      </c>
      <c r="W521">
        <v>155</v>
      </c>
    </row>
    <row r="522" spans="1:23">
      <c r="A522">
        <v>377.11680276341451</v>
      </c>
      <c r="B522">
        <v>56</v>
      </c>
      <c r="C522">
        <v>4.7139600345426818</v>
      </c>
      <c r="D522">
        <v>454.96800000000002</v>
      </c>
      <c r="E522">
        <v>689.36608786523777</v>
      </c>
      <c r="F522">
        <v>175.869</v>
      </c>
      <c r="G522">
        <v>73.164600000000007</v>
      </c>
      <c r="H522">
        <v>9</v>
      </c>
      <c r="I522">
        <v>62</v>
      </c>
      <c r="J522">
        <v>3</v>
      </c>
      <c r="K522">
        <v>182</v>
      </c>
      <c r="L522">
        <v>41</v>
      </c>
      <c r="M522">
        <v>2</v>
      </c>
      <c r="N522">
        <v>1995</v>
      </c>
      <c r="O522">
        <v>0.27</v>
      </c>
      <c r="P522">
        <v>2.4700000000000002</v>
      </c>
      <c r="Q522">
        <v>1.4999999999999999E-2</v>
      </c>
      <c r="R522">
        <v>60</v>
      </c>
      <c r="S522">
        <v>700</v>
      </c>
      <c r="T522">
        <v>475</v>
      </c>
      <c r="U522">
        <v>275</v>
      </c>
      <c r="V522">
        <v>370</v>
      </c>
      <c r="W522">
        <v>155</v>
      </c>
    </row>
    <row r="523" spans="1:23">
      <c r="A523">
        <v>341.84090714489992</v>
      </c>
      <c r="B523">
        <v>50.82</v>
      </c>
      <c r="C523">
        <v>4.7085524400123946</v>
      </c>
      <c r="D523">
        <v>393.57</v>
      </c>
      <c r="E523">
        <v>690.87293785353154</v>
      </c>
      <c r="F523">
        <v>196.785</v>
      </c>
      <c r="G523">
        <v>66.347999999999999</v>
      </c>
      <c r="H523">
        <v>22</v>
      </c>
      <c r="I523">
        <v>52</v>
      </c>
      <c r="J523">
        <v>3</v>
      </c>
      <c r="K523">
        <v>236</v>
      </c>
      <c r="L523">
        <v>61</v>
      </c>
      <c r="M523">
        <v>21</v>
      </c>
      <c r="N523">
        <v>1995</v>
      </c>
      <c r="O523">
        <v>0.27</v>
      </c>
      <c r="P523">
        <v>2.4700000000000002</v>
      </c>
      <c r="Q523">
        <v>1.4999999999999999E-2</v>
      </c>
      <c r="R523">
        <v>60</v>
      </c>
      <c r="S523">
        <v>700</v>
      </c>
      <c r="T523">
        <v>475</v>
      </c>
      <c r="U523">
        <v>275</v>
      </c>
      <c r="V523">
        <v>370</v>
      </c>
      <c r="W523">
        <v>155</v>
      </c>
    </row>
    <row r="524" spans="1:23">
      <c r="A524">
        <v>376.50134618531808</v>
      </c>
      <c r="B524">
        <v>56.000000000000007</v>
      </c>
      <c r="C524">
        <v>4.7062668273164761</v>
      </c>
      <c r="D524">
        <v>425.44387999999998</v>
      </c>
      <c r="E524">
        <v>689.46058091286318</v>
      </c>
      <c r="F524">
        <v>173.73187999999999</v>
      </c>
      <c r="G524">
        <v>73.047080000000022</v>
      </c>
      <c r="H524">
        <v>8</v>
      </c>
      <c r="I524">
        <v>48</v>
      </c>
      <c r="J524">
        <v>5</v>
      </c>
      <c r="K524">
        <v>266</v>
      </c>
      <c r="L524">
        <v>58</v>
      </c>
      <c r="M524">
        <v>23</v>
      </c>
      <c r="N524">
        <v>1995</v>
      </c>
      <c r="O524">
        <v>0.27</v>
      </c>
      <c r="P524">
        <v>2.4700000000000002</v>
      </c>
      <c r="Q524">
        <v>1.4999999999999999E-2</v>
      </c>
      <c r="R524">
        <v>60</v>
      </c>
      <c r="S524">
        <v>700</v>
      </c>
      <c r="T524">
        <v>475</v>
      </c>
      <c r="U524">
        <v>275</v>
      </c>
      <c r="V524">
        <v>370</v>
      </c>
      <c r="W524">
        <v>155</v>
      </c>
    </row>
    <row r="525" spans="1:23">
      <c r="A525">
        <v>352.35232402993518</v>
      </c>
      <c r="B525">
        <v>52.5</v>
      </c>
      <c r="C525">
        <v>4.6980309870658026</v>
      </c>
      <c r="D525">
        <v>387.26639999999998</v>
      </c>
      <c r="E525">
        <v>692.51929758843482</v>
      </c>
      <c r="F525">
        <v>204.1164</v>
      </c>
      <c r="G525">
        <v>68.418899999999994</v>
      </c>
      <c r="H525">
        <v>22</v>
      </c>
      <c r="I525">
        <v>57</v>
      </c>
      <c r="J525">
        <v>3</v>
      </c>
      <c r="K525">
        <v>231</v>
      </c>
      <c r="L525">
        <v>56</v>
      </c>
      <c r="M525">
        <v>2</v>
      </c>
      <c r="N525">
        <v>1995</v>
      </c>
      <c r="O525">
        <v>0.27</v>
      </c>
      <c r="P525">
        <v>2.4700000000000002</v>
      </c>
      <c r="Q525">
        <v>1.4999999999999999E-2</v>
      </c>
      <c r="R525">
        <v>60</v>
      </c>
      <c r="S525">
        <v>700</v>
      </c>
      <c r="T525">
        <v>475</v>
      </c>
      <c r="U525">
        <v>275</v>
      </c>
      <c r="V525">
        <v>370</v>
      </c>
      <c r="W525">
        <v>155</v>
      </c>
    </row>
    <row r="526" spans="1:23">
      <c r="A526">
        <v>375.75764738221079</v>
      </c>
      <c r="B526">
        <v>56</v>
      </c>
      <c r="C526">
        <v>4.6969705922776352</v>
      </c>
      <c r="D526">
        <v>593.51700000000005</v>
      </c>
      <c r="E526">
        <v>688.07474395922077</v>
      </c>
      <c r="F526">
        <v>169.6968</v>
      </c>
      <c r="G526">
        <v>72.875200000000007</v>
      </c>
      <c r="H526">
        <v>6</v>
      </c>
      <c r="I526">
        <v>55</v>
      </c>
      <c r="J526">
        <v>6</v>
      </c>
      <c r="K526">
        <v>148</v>
      </c>
      <c r="L526">
        <v>58</v>
      </c>
      <c r="M526">
        <v>28</v>
      </c>
      <c r="N526">
        <v>1995</v>
      </c>
      <c r="O526">
        <v>0.27</v>
      </c>
      <c r="P526">
        <v>2.4700000000000002</v>
      </c>
      <c r="Q526">
        <v>1.4999999999999999E-2</v>
      </c>
      <c r="R526">
        <v>60</v>
      </c>
      <c r="S526">
        <v>700</v>
      </c>
      <c r="T526">
        <v>475</v>
      </c>
      <c r="U526">
        <v>275</v>
      </c>
      <c r="V526">
        <v>370</v>
      </c>
      <c r="W526">
        <v>155</v>
      </c>
    </row>
    <row r="527" spans="1:23">
      <c r="A527">
        <v>352.19534590296001</v>
      </c>
      <c r="B527">
        <v>52.5</v>
      </c>
      <c r="C527">
        <v>4.6959379453728003</v>
      </c>
      <c r="D527">
        <v>388.83300000000003</v>
      </c>
      <c r="E527">
        <v>688.87966804979249</v>
      </c>
      <c r="F527">
        <v>205.68299999999999</v>
      </c>
      <c r="G527">
        <v>68.320499999999996</v>
      </c>
      <c r="H527">
        <v>22</v>
      </c>
      <c r="I527">
        <v>55</v>
      </c>
      <c r="J527">
        <v>3</v>
      </c>
      <c r="K527">
        <v>203</v>
      </c>
      <c r="L527">
        <v>58</v>
      </c>
      <c r="M527">
        <v>25</v>
      </c>
      <c r="N527">
        <v>1995</v>
      </c>
      <c r="O527">
        <v>0.27</v>
      </c>
      <c r="P527">
        <v>2.4700000000000002</v>
      </c>
      <c r="Q527">
        <v>1.4999999999999999E-2</v>
      </c>
      <c r="R527">
        <v>60</v>
      </c>
      <c r="S527">
        <v>700</v>
      </c>
      <c r="T527">
        <v>475</v>
      </c>
      <c r="U527">
        <v>275</v>
      </c>
      <c r="V527">
        <v>370</v>
      </c>
      <c r="W527">
        <v>155</v>
      </c>
    </row>
    <row r="528" spans="1:23">
      <c r="A528">
        <v>375.24205614717448</v>
      </c>
      <c r="B528">
        <v>56</v>
      </c>
      <c r="C528">
        <v>4.6905257018396824</v>
      </c>
      <c r="D528">
        <v>476.5104</v>
      </c>
      <c r="E528">
        <v>689.9153526970955</v>
      </c>
      <c r="F528">
        <v>176.04179999999999</v>
      </c>
      <c r="G528">
        <v>72.811800000000005</v>
      </c>
      <c r="H528">
        <v>9</v>
      </c>
      <c r="I528">
        <v>62</v>
      </c>
      <c r="J528">
        <v>3</v>
      </c>
      <c r="K528">
        <v>176</v>
      </c>
      <c r="L528">
        <v>48</v>
      </c>
      <c r="M528">
        <v>4</v>
      </c>
      <c r="N528">
        <v>1995</v>
      </c>
      <c r="O528">
        <v>0.27</v>
      </c>
      <c r="P528">
        <v>2.4700000000000002</v>
      </c>
      <c r="Q528">
        <v>1.4999999999999999E-2</v>
      </c>
      <c r="R528">
        <v>60</v>
      </c>
      <c r="S528">
        <v>700</v>
      </c>
      <c r="T528">
        <v>475</v>
      </c>
      <c r="U528">
        <v>275</v>
      </c>
      <c r="V528">
        <v>370</v>
      </c>
      <c r="W528">
        <v>155</v>
      </c>
    </row>
    <row r="529" spans="1:23">
      <c r="A529">
        <v>351.78240231877459</v>
      </c>
      <c r="B529">
        <v>52.5</v>
      </c>
      <c r="C529">
        <v>4.6904320309169956</v>
      </c>
      <c r="D529">
        <v>429.8904</v>
      </c>
      <c r="E529">
        <v>689.84564315352702</v>
      </c>
      <c r="F529">
        <v>204.3468</v>
      </c>
      <c r="G529">
        <v>68.258399999999995</v>
      </c>
      <c r="H529">
        <v>22</v>
      </c>
      <c r="I529">
        <v>56</v>
      </c>
      <c r="J529">
        <v>3</v>
      </c>
      <c r="K529">
        <v>176</v>
      </c>
      <c r="L529">
        <v>49</v>
      </c>
      <c r="M529">
        <v>4</v>
      </c>
      <c r="N529">
        <v>1995</v>
      </c>
      <c r="O529">
        <v>0.27</v>
      </c>
      <c r="P529">
        <v>2.4700000000000002</v>
      </c>
      <c r="Q529">
        <v>1.4999999999999999E-2</v>
      </c>
      <c r="R529">
        <v>60</v>
      </c>
      <c r="S529">
        <v>700</v>
      </c>
      <c r="T529">
        <v>475</v>
      </c>
      <c r="U529">
        <v>275</v>
      </c>
      <c r="V529">
        <v>370</v>
      </c>
      <c r="W529">
        <v>155</v>
      </c>
    </row>
    <row r="530" spans="1:23">
      <c r="A530">
        <v>363.94460578441817</v>
      </c>
      <c r="B530">
        <v>54.32</v>
      </c>
      <c r="C530">
        <v>4.6900078065002342</v>
      </c>
      <c r="D530">
        <v>427.92</v>
      </c>
      <c r="E530">
        <v>690.78927864718958</v>
      </c>
      <c r="F530">
        <v>166.50749999999999</v>
      </c>
      <c r="G530">
        <v>70.636499999999998</v>
      </c>
      <c r="H530">
        <v>9</v>
      </c>
      <c r="I530">
        <v>57</v>
      </c>
      <c r="J530">
        <v>3</v>
      </c>
      <c r="K530">
        <v>236</v>
      </c>
      <c r="L530">
        <v>56</v>
      </c>
      <c r="M530">
        <v>23</v>
      </c>
      <c r="N530">
        <v>1995</v>
      </c>
      <c r="O530">
        <v>0.27</v>
      </c>
      <c r="P530">
        <v>2.4700000000000002</v>
      </c>
      <c r="Q530">
        <v>1.4999999999999999E-2</v>
      </c>
      <c r="R530">
        <v>60</v>
      </c>
      <c r="S530">
        <v>700</v>
      </c>
      <c r="T530">
        <v>475</v>
      </c>
      <c r="U530">
        <v>275</v>
      </c>
      <c r="V530">
        <v>370</v>
      </c>
      <c r="W530">
        <v>155</v>
      </c>
    </row>
    <row r="531" spans="1:23">
      <c r="A531">
        <v>351.61665766694631</v>
      </c>
      <c r="B531">
        <v>52.500000000000007</v>
      </c>
      <c r="C531">
        <v>4.6882221022259492</v>
      </c>
      <c r="D531">
        <v>411.17952000000002</v>
      </c>
      <c r="E531">
        <v>689.90041493775925</v>
      </c>
      <c r="F531">
        <v>205.58976000000001</v>
      </c>
      <c r="G531">
        <v>68.227260000000001</v>
      </c>
      <c r="H531">
        <v>22</v>
      </c>
      <c r="I531">
        <v>55</v>
      </c>
      <c r="J531">
        <v>3</v>
      </c>
      <c r="K531">
        <v>242</v>
      </c>
      <c r="L531">
        <v>57</v>
      </c>
      <c r="M531">
        <v>19</v>
      </c>
      <c r="N531">
        <v>1995</v>
      </c>
      <c r="O531">
        <v>0.27</v>
      </c>
      <c r="P531">
        <v>2.4700000000000002</v>
      </c>
      <c r="Q531">
        <v>1.4999999999999999E-2</v>
      </c>
      <c r="R531">
        <v>60</v>
      </c>
      <c r="S531">
        <v>700</v>
      </c>
      <c r="T531">
        <v>475</v>
      </c>
      <c r="U531">
        <v>275</v>
      </c>
      <c r="V531">
        <v>370</v>
      </c>
      <c r="W531">
        <v>155</v>
      </c>
    </row>
    <row r="532" spans="1:23">
      <c r="A532">
        <v>351.61665766694631</v>
      </c>
      <c r="B532">
        <v>52.500000000000007</v>
      </c>
      <c r="C532">
        <v>4.6882221022259492</v>
      </c>
      <c r="D532">
        <v>411.17952000000002</v>
      </c>
      <c r="E532">
        <v>689.90041493775925</v>
      </c>
      <c r="F532">
        <v>205.58976000000001</v>
      </c>
      <c r="G532">
        <v>68.227260000000001</v>
      </c>
      <c r="H532">
        <v>22</v>
      </c>
      <c r="I532">
        <v>55</v>
      </c>
      <c r="J532">
        <v>3</v>
      </c>
      <c r="K532">
        <v>243</v>
      </c>
      <c r="L532">
        <v>57</v>
      </c>
      <c r="M532">
        <v>19</v>
      </c>
      <c r="N532">
        <v>1995</v>
      </c>
      <c r="O532">
        <v>0.27</v>
      </c>
      <c r="P532">
        <v>2.4700000000000002</v>
      </c>
      <c r="Q532">
        <v>1.4999999999999999E-2</v>
      </c>
      <c r="R532">
        <v>60</v>
      </c>
      <c r="S532">
        <v>700</v>
      </c>
      <c r="T532">
        <v>475</v>
      </c>
      <c r="U532">
        <v>275</v>
      </c>
      <c r="V532">
        <v>370</v>
      </c>
      <c r="W532">
        <v>155</v>
      </c>
    </row>
    <row r="533" spans="1:23">
      <c r="A533">
        <v>375.02005487536093</v>
      </c>
      <c r="B533">
        <v>56</v>
      </c>
      <c r="C533">
        <v>4.6877506859420111</v>
      </c>
      <c r="D533">
        <v>437.952</v>
      </c>
      <c r="E533">
        <v>689.57700722693414</v>
      </c>
      <c r="F533">
        <v>177.102</v>
      </c>
      <c r="G533">
        <v>72.762</v>
      </c>
      <c r="H533">
        <v>9</v>
      </c>
      <c r="I533">
        <v>47</v>
      </c>
      <c r="J533">
        <v>4</v>
      </c>
      <c r="K533">
        <v>231</v>
      </c>
      <c r="L533">
        <v>55</v>
      </c>
      <c r="M533">
        <v>2</v>
      </c>
      <c r="N533">
        <v>1995</v>
      </c>
      <c r="O533">
        <v>0.27</v>
      </c>
      <c r="P533">
        <v>2.4700000000000002</v>
      </c>
      <c r="Q533">
        <v>1.4999999999999999E-2</v>
      </c>
      <c r="R533">
        <v>60</v>
      </c>
      <c r="S533">
        <v>700</v>
      </c>
      <c r="T533">
        <v>475</v>
      </c>
      <c r="U533">
        <v>275</v>
      </c>
      <c r="V533">
        <v>370</v>
      </c>
      <c r="W533">
        <v>155</v>
      </c>
    </row>
    <row r="534" spans="1:23">
      <c r="A534">
        <v>351.55308582804139</v>
      </c>
      <c r="B534">
        <v>52.500000000000007</v>
      </c>
      <c r="C534">
        <v>4.6873744777072188</v>
      </c>
      <c r="D534">
        <v>411.17952000000002</v>
      </c>
      <c r="E534">
        <v>690.56265560165969</v>
      </c>
      <c r="F534">
        <v>205.58976000000001</v>
      </c>
      <c r="G534">
        <v>68.227260000000015</v>
      </c>
      <c r="H534">
        <v>22</v>
      </c>
      <c r="I534">
        <v>55</v>
      </c>
      <c r="J534">
        <v>3</v>
      </c>
      <c r="K534">
        <v>252</v>
      </c>
      <c r="L534">
        <v>57</v>
      </c>
      <c r="M534">
        <v>28</v>
      </c>
      <c r="N534">
        <v>1995</v>
      </c>
      <c r="O534">
        <v>0.27</v>
      </c>
      <c r="P534">
        <v>2.4700000000000002</v>
      </c>
      <c r="Q534">
        <v>1.4999999999999999E-2</v>
      </c>
      <c r="R534">
        <v>60</v>
      </c>
      <c r="S534">
        <v>700</v>
      </c>
      <c r="T534">
        <v>475</v>
      </c>
      <c r="U534">
        <v>275</v>
      </c>
      <c r="V534">
        <v>370</v>
      </c>
      <c r="W534">
        <v>155</v>
      </c>
    </row>
    <row r="535" spans="1:23">
      <c r="A535">
        <v>374.96484339209542</v>
      </c>
      <c r="B535">
        <v>56</v>
      </c>
      <c r="C535">
        <v>4.6870605424011922</v>
      </c>
      <c r="D535">
        <v>425.16489999999999</v>
      </c>
      <c r="E535">
        <v>690.42323651452284</v>
      </c>
      <c r="F535">
        <v>173.4529</v>
      </c>
      <c r="G535">
        <v>72.768100000000004</v>
      </c>
      <c r="H535">
        <v>8</v>
      </c>
      <c r="I535">
        <v>48</v>
      </c>
      <c r="J535">
        <v>5</v>
      </c>
      <c r="K535">
        <v>206</v>
      </c>
      <c r="L535">
        <v>58</v>
      </c>
      <c r="M535">
        <v>22</v>
      </c>
      <c r="N535">
        <v>1995</v>
      </c>
      <c r="O535">
        <v>0.27</v>
      </c>
      <c r="P535">
        <v>2.4700000000000002</v>
      </c>
      <c r="Q535">
        <v>1.4999999999999999E-2</v>
      </c>
      <c r="R535">
        <v>60</v>
      </c>
      <c r="S535">
        <v>700</v>
      </c>
      <c r="T535">
        <v>475</v>
      </c>
      <c r="U535">
        <v>275</v>
      </c>
      <c r="V535">
        <v>370</v>
      </c>
      <c r="W535">
        <v>155</v>
      </c>
    </row>
    <row r="536" spans="1:23">
      <c r="A536">
        <v>351.11275947405233</v>
      </c>
      <c r="B536">
        <v>52.5</v>
      </c>
      <c r="C536">
        <v>4.6815034596540306</v>
      </c>
      <c r="D536">
        <v>394.47179999999997</v>
      </c>
      <c r="E536">
        <v>690.02489626556019</v>
      </c>
      <c r="F536">
        <v>207.99180000000001</v>
      </c>
      <c r="G536">
        <v>68.131799999999998</v>
      </c>
      <c r="H536">
        <v>22</v>
      </c>
      <c r="I536">
        <v>56</v>
      </c>
      <c r="J536">
        <v>3</v>
      </c>
      <c r="K536">
        <v>267</v>
      </c>
      <c r="L536">
        <v>57</v>
      </c>
      <c r="M536">
        <v>20</v>
      </c>
      <c r="N536">
        <v>1995</v>
      </c>
      <c r="O536">
        <v>0.27</v>
      </c>
      <c r="P536">
        <v>2.4700000000000002</v>
      </c>
      <c r="Q536">
        <v>1.4999999999999999E-2</v>
      </c>
      <c r="R536">
        <v>60</v>
      </c>
      <c r="S536">
        <v>700</v>
      </c>
      <c r="T536">
        <v>475</v>
      </c>
      <c r="U536">
        <v>275</v>
      </c>
      <c r="V536">
        <v>370</v>
      </c>
      <c r="W536">
        <v>155</v>
      </c>
    </row>
    <row r="537" spans="1:23">
      <c r="A537">
        <v>350.50979565647998</v>
      </c>
      <c r="B537">
        <v>52.500000000000007</v>
      </c>
      <c r="C537">
        <v>4.673463942086399</v>
      </c>
      <c r="D537">
        <v>430.58564999999999</v>
      </c>
      <c r="E537">
        <v>691.84232365145226</v>
      </c>
      <c r="F537">
        <v>204.57855000000001</v>
      </c>
      <c r="G537">
        <v>68.048550000000006</v>
      </c>
      <c r="H537">
        <v>22</v>
      </c>
      <c r="I537">
        <v>56</v>
      </c>
      <c r="J537">
        <v>3</v>
      </c>
      <c r="K537">
        <v>99</v>
      </c>
      <c r="L537">
        <v>55</v>
      </c>
      <c r="M537">
        <v>9</v>
      </c>
      <c r="N537">
        <v>1995</v>
      </c>
      <c r="O537">
        <v>0.27</v>
      </c>
      <c r="P537">
        <v>2.4700000000000002</v>
      </c>
      <c r="Q537">
        <v>1.4999999999999999E-2</v>
      </c>
      <c r="R537">
        <v>60</v>
      </c>
      <c r="S537">
        <v>700</v>
      </c>
      <c r="T537">
        <v>475</v>
      </c>
      <c r="U537">
        <v>275</v>
      </c>
      <c r="V537">
        <v>370</v>
      </c>
      <c r="W537">
        <v>155</v>
      </c>
    </row>
    <row r="538" spans="1:23">
      <c r="A538">
        <v>373.66677822636302</v>
      </c>
      <c r="B538">
        <v>56</v>
      </c>
      <c r="C538">
        <v>4.6708347278295372</v>
      </c>
      <c r="D538">
        <v>475.524</v>
      </c>
      <c r="E538">
        <v>688.74688796680505</v>
      </c>
      <c r="F538">
        <v>175.71299999999999</v>
      </c>
      <c r="G538">
        <v>72.483000000000004</v>
      </c>
      <c r="H538">
        <v>9</v>
      </c>
      <c r="I538">
        <v>62</v>
      </c>
      <c r="J538">
        <v>3</v>
      </c>
      <c r="K538">
        <v>74</v>
      </c>
      <c r="L538">
        <v>47</v>
      </c>
      <c r="M538">
        <v>2</v>
      </c>
      <c r="N538">
        <v>1995</v>
      </c>
      <c r="O538">
        <v>0.27</v>
      </c>
      <c r="P538">
        <v>2.4700000000000002</v>
      </c>
      <c r="Q538">
        <v>1.4999999999999999E-2</v>
      </c>
      <c r="R538">
        <v>60</v>
      </c>
      <c r="S538">
        <v>700</v>
      </c>
      <c r="T538">
        <v>475</v>
      </c>
      <c r="U538">
        <v>275</v>
      </c>
      <c r="V538">
        <v>370</v>
      </c>
      <c r="W538">
        <v>155</v>
      </c>
    </row>
    <row r="539" spans="1:23">
      <c r="A539">
        <v>350.20689897150038</v>
      </c>
      <c r="B539">
        <v>52.5</v>
      </c>
      <c r="C539">
        <v>4.6694253196200064</v>
      </c>
      <c r="D539">
        <v>430.23599999999999</v>
      </c>
      <c r="E539">
        <v>688.73029045643159</v>
      </c>
      <c r="F539">
        <v>204.46199999999999</v>
      </c>
      <c r="G539">
        <v>67.932000000000002</v>
      </c>
      <c r="H539">
        <v>22</v>
      </c>
      <c r="I539">
        <v>56</v>
      </c>
      <c r="J539">
        <v>3</v>
      </c>
      <c r="K539">
        <v>74</v>
      </c>
      <c r="L539">
        <v>48</v>
      </c>
      <c r="M539">
        <v>2</v>
      </c>
      <c r="N539">
        <v>1995</v>
      </c>
      <c r="O539">
        <v>0.27</v>
      </c>
      <c r="P539">
        <v>2.4700000000000002</v>
      </c>
      <c r="Q539">
        <v>1.4999999999999999E-2</v>
      </c>
      <c r="R539">
        <v>60</v>
      </c>
      <c r="S539">
        <v>700</v>
      </c>
      <c r="T539">
        <v>475</v>
      </c>
      <c r="U539">
        <v>275</v>
      </c>
      <c r="V539">
        <v>370</v>
      </c>
      <c r="W539">
        <v>155</v>
      </c>
    </row>
    <row r="540" spans="1:23">
      <c r="A540">
        <v>357.22195965770658</v>
      </c>
      <c r="B540">
        <v>53.729729729729733</v>
      </c>
      <c r="C540">
        <v>4.6539480659630783</v>
      </c>
      <c r="D540">
        <v>463.60278000000011</v>
      </c>
      <c r="E540">
        <v>689.84119602650117</v>
      </c>
      <c r="F540">
        <v>160.87173000000001</v>
      </c>
      <c r="G540">
        <v>69.31378500000001</v>
      </c>
      <c r="H540">
        <v>8</v>
      </c>
      <c r="I540">
        <v>54</v>
      </c>
      <c r="J540">
        <v>4</v>
      </c>
      <c r="K540">
        <v>217</v>
      </c>
      <c r="L540">
        <v>59</v>
      </c>
      <c r="M540">
        <v>31</v>
      </c>
      <c r="N540">
        <v>1995</v>
      </c>
      <c r="O540">
        <v>0.27</v>
      </c>
      <c r="P540">
        <v>2.4700000000000002</v>
      </c>
      <c r="Q540">
        <v>1.4999999999999999E-2</v>
      </c>
      <c r="R540">
        <v>60</v>
      </c>
      <c r="S540">
        <v>700</v>
      </c>
      <c r="T540">
        <v>475</v>
      </c>
      <c r="U540">
        <v>275</v>
      </c>
      <c r="V540">
        <v>370</v>
      </c>
      <c r="W540">
        <v>155</v>
      </c>
    </row>
    <row r="541" spans="1:23">
      <c r="A541">
        <v>348.96558644525732</v>
      </c>
      <c r="B541">
        <v>52.5</v>
      </c>
      <c r="C541">
        <v>4.6528744859367643</v>
      </c>
      <c r="D541">
        <v>443.45519999999999</v>
      </c>
      <c r="E541">
        <v>681.11445770385637</v>
      </c>
      <c r="F541">
        <v>204.0804</v>
      </c>
      <c r="G541">
        <v>67.550399999999996</v>
      </c>
      <c r="H541">
        <v>22</v>
      </c>
      <c r="I541">
        <v>56</v>
      </c>
      <c r="J541">
        <v>3</v>
      </c>
      <c r="K541">
        <v>129</v>
      </c>
      <c r="L541">
        <v>57</v>
      </c>
      <c r="M541">
        <v>2</v>
      </c>
      <c r="N541">
        <v>1995</v>
      </c>
      <c r="O541">
        <v>0.27</v>
      </c>
      <c r="P541">
        <v>2.4700000000000002</v>
      </c>
      <c r="Q541">
        <v>1.4999999999999999E-2</v>
      </c>
      <c r="R541">
        <v>60</v>
      </c>
      <c r="S541">
        <v>700</v>
      </c>
      <c r="T541">
        <v>475</v>
      </c>
      <c r="U541">
        <v>275</v>
      </c>
      <c r="V541">
        <v>370</v>
      </c>
      <c r="W541">
        <v>155</v>
      </c>
    </row>
    <row r="542" spans="1:23">
      <c r="A542">
        <v>348.87291003123318</v>
      </c>
      <c r="B542">
        <v>52.5</v>
      </c>
      <c r="C542">
        <v>4.6516388004164444</v>
      </c>
      <c r="D542">
        <v>407.91</v>
      </c>
      <c r="E542">
        <v>675.30100154330364</v>
      </c>
      <c r="F542">
        <v>203.95500000000001</v>
      </c>
      <c r="G542">
        <v>67.424999999999997</v>
      </c>
      <c r="H542">
        <v>22</v>
      </c>
      <c r="I542">
        <v>56</v>
      </c>
      <c r="J542">
        <v>3</v>
      </c>
      <c r="K542">
        <v>180</v>
      </c>
      <c r="L542">
        <v>57</v>
      </c>
      <c r="M542">
        <v>2</v>
      </c>
      <c r="N542">
        <v>1995</v>
      </c>
      <c r="O542">
        <v>0.27</v>
      </c>
      <c r="P542">
        <v>2.4700000000000002</v>
      </c>
      <c r="Q542">
        <v>1.4999999999999999E-2</v>
      </c>
      <c r="R542">
        <v>60</v>
      </c>
      <c r="S542">
        <v>700</v>
      </c>
      <c r="T542">
        <v>475</v>
      </c>
      <c r="U542">
        <v>275</v>
      </c>
      <c r="V542">
        <v>370</v>
      </c>
      <c r="W542">
        <v>155</v>
      </c>
    </row>
    <row r="543" spans="1:23">
      <c r="A543">
        <v>314.58679400106098</v>
      </c>
      <c r="B543">
        <v>47.369000000000007</v>
      </c>
      <c r="C543">
        <v>4.6488369144533914</v>
      </c>
      <c r="D543">
        <v>778.1243199999999</v>
      </c>
      <c r="E543">
        <v>680.40497925311206</v>
      </c>
      <c r="F543">
        <v>633.35968000000003</v>
      </c>
      <c r="G543">
        <v>60.883760000000009</v>
      </c>
      <c r="H543">
        <v>40</v>
      </c>
      <c r="I543">
        <v>62</v>
      </c>
      <c r="J543">
        <v>10</v>
      </c>
      <c r="K543">
        <v>254</v>
      </c>
      <c r="L543">
        <v>59</v>
      </c>
      <c r="M543">
        <v>14</v>
      </c>
      <c r="N543">
        <v>1995</v>
      </c>
      <c r="O543">
        <v>0.27</v>
      </c>
      <c r="P543">
        <v>2.4700000000000002</v>
      </c>
      <c r="Q543">
        <v>1.4999999999999999E-2</v>
      </c>
      <c r="R543">
        <v>60</v>
      </c>
      <c r="S543">
        <v>700</v>
      </c>
      <c r="T543">
        <v>475</v>
      </c>
      <c r="U543">
        <v>275</v>
      </c>
      <c r="V543">
        <v>370</v>
      </c>
      <c r="W543">
        <v>155</v>
      </c>
    </row>
    <row r="544" spans="1:23">
      <c r="A544">
        <v>347.60170606640571</v>
      </c>
      <c r="B544">
        <v>52.500000000000007</v>
      </c>
      <c r="C544">
        <v>4.6346894142187409</v>
      </c>
      <c r="D544">
        <v>398.95398</v>
      </c>
      <c r="E544">
        <v>692.66390041493776</v>
      </c>
      <c r="F544">
        <v>199.47699</v>
      </c>
      <c r="G544">
        <v>67.499100000000013</v>
      </c>
      <c r="H544">
        <v>22</v>
      </c>
      <c r="I544">
        <v>53</v>
      </c>
      <c r="J544">
        <v>3</v>
      </c>
      <c r="K544">
        <v>247</v>
      </c>
      <c r="L544">
        <v>60</v>
      </c>
      <c r="M544">
        <v>27</v>
      </c>
      <c r="N544">
        <v>1995</v>
      </c>
      <c r="O544">
        <v>0.27</v>
      </c>
      <c r="P544">
        <v>2.4700000000000002</v>
      </c>
      <c r="Q544">
        <v>1.4999999999999999E-2</v>
      </c>
      <c r="R544">
        <v>60</v>
      </c>
      <c r="S544">
        <v>700</v>
      </c>
      <c r="T544">
        <v>475</v>
      </c>
      <c r="U544">
        <v>275</v>
      </c>
      <c r="V544">
        <v>370</v>
      </c>
      <c r="W544">
        <v>155</v>
      </c>
    </row>
    <row r="545" spans="1:23">
      <c r="A545">
        <v>347.5661332261414</v>
      </c>
      <c r="B545">
        <v>52.5</v>
      </c>
      <c r="C545">
        <v>4.6342151096818851</v>
      </c>
      <c r="D545">
        <v>403.15199999999999</v>
      </c>
      <c r="E545">
        <v>692.4362510254781</v>
      </c>
      <c r="F545">
        <v>201.57599999999999</v>
      </c>
      <c r="G545">
        <v>67.488</v>
      </c>
      <c r="H545">
        <v>22</v>
      </c>
      <c r="I545">
        <v>54</v>
      </c>
      <c r="J545">
        <v>3</v>
      </c>
      <c r="K545">
        <v>212</v>
      </c>
      <c r="L545">
        <v>58</v>
      </c>
      <c r="M545">
        <v>15</v>
      </c>
      <c r="N545">
        <v>1995</v>
      </c>
      <c r="O545">
        <v>0.27</v>
      </c>
      <c r="P545">
        <v>2.4700000000000002</v>
      </c>
      <c r="Q545">
        <v>1.4999999999999999E-2</v>
      </c>
      <c r="R545">
        <v>60</v>
      </c>
      <c r="S545">
        <v>700</v>
      </c>
      <c r="T545">
        <v>475</v>
      </c>
      <c r="U545">
        <v>275</v>
      </c>
      <c r="V545">
        <v>370</v>
      </c>
      <c r="W545">
        <v>155</v>
      </c>
    </row>
    <row r="546" spans="1:23">
      <c r="A546">
        <v>370.61519093516739</v>
      </c>
      <c r="B546">
        <v>56.000000000000007</v>
      </c>
      <c r="C546">
        <v>4.6326898866895929</v>
      </c>
      <c r="D546">
        <v>438.45888000000008</v>
      </c>
      <c r="E546">
        <v>689.8132404666361</v>
      </c>
      <c r="F546">
        <v>169.72608</v>
      </c>
      <c r="G546">
        <v>71.912000000000006</v>
      </c>
      <c r="H546">
        <v>8</v>
      </c>
      <c r="I546">
        <v>60</v>
      </c>
      <c r="J546">
        <v>4</v>
      </c>
      <c r="K546">
        <v>105</v>
      </c>
      <c r="L546">
        <v>61</v>
      </c>
      <c r="M546">
        <v>13</v>
      </c>
      <c r="N546">
        <v>1995</v>
      </c>
      <c r="O546">
        <v>0.27</v>
      </c>
      <c r="P546">
        <v>2.4700000000000002</v>
      </c>
      <c r="Q546">
        <v>1.4999999999999999E-2</v>
      </c>
      <c r="R546">
        <v>60</v>
      </c>
      <c r="S546">
        <v>700</v>
      </c>
      <c r="T546">
        <v>475</v>
      </c>
      <c r="U546">
        <v>275</v>
      </c>
      <c r="V546">
        <v>370</v>
      </c>
      <c r="W546">
        <v>155</v>
      </c>
    </row>
    <row r="547" spans="1:23">
      <c r="A547">
        <v>347.31535838737329</v>
      </c>
      <c r="B547">
        <v>52.5</v>
      </c>
      <c r="C547">
        <v>4.6308714451649768</v>
      </c>
      <c r="D547">
        <v>375.51299999999998</v>
      </c>
      <c r="E547">
        <v>692.06639004149383</v>
      </c>
      <c r="F547">
        <v>199.023</v>
      </c>
      <c r="G547">
        <v>67.432500000000005</v>
      </c>
      <c r="H547">
        <v>22</v>
      </c>
      <c r="I547">
        <v>53</v>
      </c>
      <c r="J547">
        <v>3</v>
      </c>
      <c r="K547">
        <v>265</v>
      </c>
      <c r="L547">
        <v>60</v>
      </c>
      <c r="M547">
        <v>21</v>
      </c>
      <c r="N547">
        <v>1995</v>
      </c>
      <c r="O547">
        <v>0.27</v>
      </c>
      <c r="P547">
        <v>2.4700000000000002</v>
      </c>
      <c r="Q547">
        <v>1.4999999999999999E-2</v>
      </c>
      <c r="R547">
        <v>60</v>
      </c>
      <c r="S547">
        <v>700</v>
      </c>
      <c r="T547">
        <v>475</v>
      </c>
      <c r="U547">
        <v>275</v>
      </c>
      <c r="V547">
        <v>370</v>
      </c>
      <c r="W547">
        <v>155</v>
      </c>
    </row>
    <row r="548" spans="1:23">
      <c r="A548">
        <v>378.47848503246479</v>
      </c>
      <c r="B548">
        <v>57.235294117647058</v>
      </c>
      <c r="C548">
        <v>4.6288735579510094</v>
      </c>
      <c r="D548">
        <v>457.26639999999998</v>
      </c>
      <c r="E548">
        <v>690.08015245386696</v>
      </c>
      <c r="F548">
        <v>169.052536</v>
      </c>
      <c r="G548">
        <v>73.443100000000001</v>
      </c>
      <c r="H548">
        <v>7</v>
      </c>
      <c r="I548">
        <v>57</v>
      </c>
      <c r="J548">
        <v>5</v>
      </c>
      <c r="K548">
        <v>77</v>
      </c>
      <c r="L548">
        <v>56</v>
      </c>
      <c r="M548">
        <v>35</v>
      </c>
      <c r="N548">
        <v>1995</v>
      </c>
      <c r="O548">
        <v>0.27</v>
      </c>
      <c r="P548">
        <v>2.4700000000000002</v>
      </c>
      <c r="Q548">
        <v>1.4999999999999999E-2</v>
      </c>
      <c r="R548">
        <v>60</v>
      </c>
      <c r="S548">
        <v>700</v>
      </c>
      <c r="T548">
        <v>475</v>
      </c>
      <c r="U548">
        <v>275</v>
      </c>
      <c r="V548">
        <v>370</v>
      </c>
      <c r="W548">
        <v>155</v>
      </c>
    </row>
    <row r="549" spans="1:23">
      <c r="A549">
        <v>378.30172490065371</v>
      </c>
      <c r="B549">
        <v>57.235294117647058</v>
      </c>
      <c r="C549">
        <v>4.6267117433892899</v>
      </c>
      <c r="D549">
        <v>457.17120000000011</v>
      </c>
      <c r="E549">
        <v>690.08015245386696</v>
      </c>
      <c r="F549">
        <v>169.02016800000001</v>
      </c>
      <c r="G549">
        <v>73.408799999999999</v>
      </c>
      <c r="H549">
        <v>7</v>
      </c>
      <c r="I549">
        <v>57</v>
      </c>
      <c r="J549">
        <v>5</v>
      </c>
      <c r="K549">
        <v>312</v>
      </c>
      <c r="L549">
        <v>56</v>
      </c>
      <c r="M549">
        <v>35</v>
      </c>
      <c r="N549">
        <v>1995</v>
      </c>
      <c r="O549">
        <v>0.27</v>
      </c>
      <c r="P549">
        <v>2.4700000000000002</v>
      </c>
      <c r="Q549">
        <v>1.4999999999999999E-2</v>
      </c>
      <c r="R549">
        <v>60</v>
      </c>
      <c r="S549">
        <v>700</v>
      </c>
      <c r="T549">
        <v>475</v>
      </c>
      <c r="U549">
        <v>275</v>
      </c>
      <c r="V549">
        <v>370</v>
      </c>
      <c r="W549">
        <v>155</v>
      </c>
    </row>
    <row r="550" spans="1:23">
      <c r="A550">
        <v>346.95888416840108</v>
      </c>
      <c r="B550">
        <v>52.500000000000007</v>
      </c>
      <c r="C550">
        <v>4.6261184555786814</v>
      </c>
      <c r="D550">
        <v>397.85951999999997</v>
      </c>
      <c r="E550">
        <v>691.32282157676354</v>
      </c>
      <c r="F550">
        <v>198.92975999999999</v>
      </c>
      <c r="G550">
        <v>67.349620000000002</v>
      </c>
      <c r="H550">
        <v>22</v>
      </c>
      <c r="I550">
        <v>53</v>
      </c>
      <c r="J550">
        <v>3</v>
      </c>
      <c r="K550">
        <v>244</v>
      </c>
      <c r="L550">
        <v>59</v>
      </c>
      <c r="M550">
        <v>19</v>
      </c>
      <c r="N550">
        <v>1995</v>
      </c>
      <c r="O550">
        <v>0.27</v>
      </c>
      <c r="P550">
        <v>2.4700000000000002</v>
      </c>
      <c r="Q550">
        <v>1.4999999999999999E-2</v>
      </c>
      <c r="R550">
        <v>60</v>
      </c>
      <c r="S550">
        <v>700</v>
      </c>
      <c r="T550">
        <v>475</v>
      </c>
      <c r="U550">
        <v>275</v>
      </c>
      <c r="V550">
        <v>370</v>
      </c>
      <c r="W550">
        <v>155</v>
      </c>
    </row>
    <row r="551" spans="1:23">
      <c r="A551">
        <v>370.0687397222195</v>
      </c>
      <c r="B551">
        <v>56</v>
      </c>
      <c r="C551">
        <v>4.6258592465277442</v>
      </c>
      <c r="D551">
        <v>431.54239999999999</v>
      </c>
      <c r="E551">
        <v>692.09958506224075</v>
      </c>
      <c r="F551">
        <v>167.5264</v>
      </c>
      <c r="G551">
        <v>71.850800000000007</v>
      </c>
      <c r="H551">
        <v>8</v>
      </c>
      <c r="I551">
        <v>46</v>
      </c>
      <c r="J551">
        <v>5</v>
      </c>
      <c r="K551">
        <v>188</v>
      </c>
      <c r="L551">
        <v>58</v>
      </c>
      <c r="M551">
        <v>22</v>
      </c>
      <c r="N551">
        <v>1995</v>
      </c>
      <c r="O551">
        <v>0.27</v>
      </c>
      <c r="P551">
        <v>2.4700000000000002</v>
      </c>
      <c r="Q551">
        <v>1.4999999999999999E-2</v>
      </c>
      <c r="R551">
        <v>60</v>
      </c>
      <c r="S551">
        <v>700</v>
      </c>
      <c r="T551">
        <v>475</v>
      </c>
      <c r="U551">
        <v>275</v>
      </c>
      <c r="V551">
        <v>370</v>
      </c>
      <c r="W551">
        <v>155</v>
      </c>
    </row>
    <row r="552" spans="1:23">
      <c r="A552">
        <v>369.85277202316598</v>
      </c>
      <c r="B552">
        <v>56.000000000000007</v>
      </c>
      <c r="C552">
        <v>4.6231596502895753</v>
      </c>
      <c r="D552">
        <v>412.93110000000001</v>
      </c>
      <c r="E552">
        <v>692.51452282157675</v>
      </c>
      <c r="F552">
        <v>168.7311</v>
      </c>
      <c r="G552">
        <v>71.816999999999993</v>
      </c>
      <c r="H552">
        <v>9</v>
      </c>
      <c r="I552">
        <v>44</v>
      </c>
      <c r="J552">
        <v>4</v>
      </c>
      <c r="K552">
        <v>264</v>
      </c>
      <c r="L552">
        <v>60</v>
      </c>
      <c r="M552">
        <v>23</v>
      </c>
      <c r="N552">
        <v>1995</v>
      </c>
      <c r="O552">
        <v>0.27</v>
      </c>
      <c r="P552">
        <v>2.4700000000000002</v>
      </c>
      <c r="Q552">
        <v>1.4999999999999999E-2</v>
      </c>
      <c r="R552">
        <v>60</v>
      </c>
      <c r="S552">
        <v>700</v>
      </c>
      <c r="T552">
        <v>475</v>
      </c>
      <c r="U552">
        <v>275</v>
      </c>
      <c r="V552">
        <v>370</v>
      </c>
      <c r="W552">
        <v>155</v>
      </c>
    </row>
    <row r="553" spans="1:23">
      <c r="A553">
        <v>369.58551999183692</v>
      </c>
      <c r="B553">
        <v>56</v>
      </c>
      <c r="C553">
        <v>4.6198189998979613</v>
      </c>
      <c r="D553">
        <v>418.47924999999998</v>
      </c>
      <c r="E553">
        <v>686.4730290456431</v>
      </c>
      <c r="F553">
        <v>169.83924999999999</v>
      </c>
      <c r="G553">
        <v>71.646799999999999</v>
      </c>
      <c r="H553">
        <v>6</v>
      </c>
      <c r="I553">
        <v>57</v>
      </c>
      <c r="J553">
        <v>6</v>
      </c>
      <c r="K553">
        <v>98</v>
      </c>
      <c r="L553">
        <v>56</v>
      </c>
      <c r="M553">
        <v>7</v>
      </c>
      <c r="N553">
        <v>1995</v>
      </c>
      <c r="O553">
        <v>0.27</v>
      </c>
      <c r="P553">
        <v>2.4700000000000002</v>
      </c>
      <c r="Q553">
        <v>1.4999999999999999E-2</v>
      </c>
      <c r="R553">
        <v>60</v>
      </c>
      <c r="S553">
        <v>700</v>
      </c>
      <c r="T553">
        <v>475</v>
      </c>
      <c r="U553">
        <v>275</v>
      </c>
      <c r="V553">
        <v>370</v>
      </c>
      <c r="W553">
        <v>155</v>
      </c>
    </row>
    <row r="554" spans="1:23">
      <c r="A554">
        <v>369.58220429713748</v>
      </c>
      <c r="B554">
        <v>56.000000000000007</v>
      </c>
      <c r="C554">
        <v>4.6197775537142176</v>
      </c>
      <c r="D554">
        <v>413.20193999999998</v>
      </c>
      <c r="E554">
        <v>690.05809128630699</v>
      </c>
      <c r="F554">
        <v>169.00193999999999</v>
      </c>
      <c r="G554">
        <v>71.716359999999995</v>
      </c>
      <c r="H554">
        <v>6</v>
      </c>
      <c r="I554">
        <v>55</v>
      </c>
      <c r="J554">
        <v>6</v>
      </c>
      <c r="K554">
        <v>62</v>
      </c>
      <c r="L554">
        <v>58</v>
      </c>
      <c r="M554">
        <v>26</v>
      </c>
      <c r="N554">
        <v>1995</v>
      </c>
      <c r="O554">
        <v>0.27</v>
      </c>
      <c r="P554">
        <v>2.4700000000000002</v>
      </c>
      <c r="Q554">
        <v>1.4999999999999999E-2</v>
      </c>
      <c r="R554">
        <v>60</v>
      </c>
      <c r="S554">
        <v>700</v>
      </c>
      <c r="T554">
        <v>475</v>
      </c>
      <c r="U554">
        <v>275</v>
      </c>
      <c r="V554">
        <v>370</v>
      </c>
      <c r="W554">
        <v>155</v>
      </c>
    </row>
    <row r="555" spans="1:23">
      <c r="A555">
        <v>369.54351979724368</v>
      </c>
      <c r="B555">
        <v>56</v>
      </c>
      <c r="C555">
        <v>4.6192939974655456</v>
      </c>
      <c r="D555">
        <v>410.31263999999999</v>
      </c>
      <c r="E555">
        <v>691.20551958943668</v>
      </c>
      <c r="F555">
        <v>167.77763999999999</v>
      </c>
      <c r="G555">
        <v>71.731320000000011</v>
      </c>
      <c r="H555">
        <v>7</v>
      </c>
      <c r="I555">
        <v>57</v>
      </c>
      <c r="J555">
        <v>5</v>
      </c>
      <c r="K555">
        <v>133</v>
      </c>
      <c r="L555">
        <v>56</v>
      </c>
      <c r="M555">
        <v>24</v>
      </c>
      <c r="N555">
        <v>1995</v>
      </c>
      <c r="O555">
        <v>0.27</v>
      </c>
      <c r="P555">
        <v>2.4700000000000002</v>
      </c>
      <c r="Q555">
        <v>1.4999999999999999E-2</v>
      </c>
      <c r="R555">
        <v>60</v>
      </c>
      <c r="S555">
        <v>700</v>
      </c>
      <c r="T555">
        <v>475</v>
      </c>
      <c r="U555">
        <v>275</v>
      </c>
      <c r="V555">
        <v>370</v>
      </c>
      <c r="W555">
        <v>155</v>
      </c>
    </row>
    <row r="556" spans="1:23">
      <c r="A556">
        <v>346.36019132045982</v>
      </c>
      <c r="B556">
        <v>52.5</v>
      </c>
      <c r="C556">
        <v>4.6181358842727969</v>
      </c>
      <c r="D556">
        <v>399.15600000000001</v>
      </c>
      <c r="E556">
        <v>690.07468879668045</v>
      </c>
      <c r="F556">
        <v>199.578</v>
      </c>
      <c r="G556">
        <v>67.210499999999996</v>
      </c>
      <c r="H556">
        <v>22</v>
      </c>
      <c r="I556">
        <v>53</v>
      </c>
      <c r="J556">
        <v>3</v>
      </c>
      <c r="K556">
        <v>250</v>
      </c>
      <c r="L556">
        <v>60</v>
      </c>
      <c r="M556">
        <v>26</v>
      </c>
      <c r="N556">
        <v>1995</v>
      </c>
      <c r="O556">
        <v>0.27</v>
      </c>
      <c r="P556">
        <v>2.4700000000000002</v>
      </c>
      <c r="Q556">
        <v>1.4999999999999999E-2</v>
      </c>
      <c r="R556">
        <v>60</v>
      </c>
      <c r="S556">
        <v>700</v>
      </c>
      <c r="T556">
        <v>475</v>
      </c>
      <c r="U556">
        <v>275</v>
      </c>
      <c r="V556">
        <v>370</v>
      </c>
      <c r="W556">
        <v>155</v>
      </c>
    </row>
    <row r="557" spans="1:23">
      <c r="A557">
        <v>346.36019132045982</v>
      </c>
      <c r="B557">
        <v>52.5</v>
      </c>
      <c r="C557">
        <v>4.6181358842727969</v>
      </c>
      <c r="D557">
        <v>399.15600000000001</v>
      </c>
      <c r="E557">
        <v>690.07468879668045</v>
      </c>
      <c r="F557">
        <v>199.578</v>
      </c>
      <c r="G557">
        <v>67.210499999999996</v>
      </c>
      <c r="H557">
        <v>22</v>
      </c>
      <c r="I557">
        <v>53</v>
      </c>
      <c r="J557">
        <v>3</v>
      </c>
      <c r="K557">
        <v>251</v>
      </c>
      <c r="L557">
        <v>60</v>
      </c>
      <c r="M557">
        <v>26</v>
      </c>
      <c r="N557">
        <v>1995</v>
      </c>
      <c r="O557">
        <v>0.27</v>
      </c>
      <c r="P557">
        <v>2.4700000000000002</v>
      </c>
      <c r="Q557">
        <v>1.4999999999999999E-2</v>
      </c>
      <c r="R557">
        <v>60</v>
      </c>
      <c r="S557">
        <v>700</v>
      </c>
      <c r="T557">
        <v>475</v>
      </c>
      <c r="U557">
        <v>275</v>
      </c>
      <c r="V557">
        <v>370</v>
      </c>
      <c r="W557">
        <v>155</v>
      </c>
    </row>
    <row r="558" spans="1:23">
      <c r="A558">
        <v>346.20726817208038</v>
      </c>
      <c r="B558">
        <v>52.5</v>
      </c>
      <c r="C558">
        <v>4.6160969089610724</v>
      </c>
      <c r="D558">
        <v>398.30351999999999</v>
      </c>
      <c r="E558">
        <v>689.75601659751032</v>
      </c>
      <c r="F558">
        <v>199.15176</v>
      </c>
      <c r="G558">
        <v>67.174980000000005</v>
      </c>
      <c r="H558">
        <v>22</v>
      </c>
      <c r="I558">
        <v>53</v>
      </c>
      <c r="J558">
        <v>3</v>
      </c>
      <c r="K558">
        <v>253</v>
      </c>
      <c r="L558">
        <v>59</v>
      </c>
      <c r="M558">
        <v>22</v>
      </c>
      <c r="N558">
        <v>1995</v>
      </c>
      <c r="O558">
        <v>0.27</v>
      </c>
      <c r="P558">
        <v>2.4700000000000002</v>
      </c>
      <c r="Q558">
        <v>1.4999999999999999E-2</v>
      </c>
      <c r="R558">
        <v>60</v>
      </c>
      <c r="S558">
        <v>700</v>
      </c>
      <c r="T558">
        <v>475</v>
      </c>
      <c r="U558">
        <v>275</v>
      </c>
      <c r="V558">
        <v>370</v>
      </c>
      <c r="W558">
        <v>155</v>
      </c>
    </row>
    <row r="559" spans="1:23">
      <c r="A559">
        <v>346.0137744642322</v>
      </c>
      <c r="B559">
        <v>52.500000000000007</v>
      </c>
      <c r="C559">
        <v>4.6135169928564288</v>
      </c>
      <c r="D559">
        <v>381.85109999999997</v>
      </c>
      <c r="E559">
        <v>691.3195020746889</v>
      </c>
      <c r="F559">
        <v>202.03110000000001</v>
      </c>
      <c r="G559">
        <v>67.1661</v>
      </c>
      <c r="H559">
        <v>22</v>
      </c>
      <c r="I559">
        <v>54</v>
      </c>
      <c r="J559">
        <v>3</v>
      </c>
      <c r="K559">
        <v>264</v>
      </c>
      <c r="L559">
        <v>58</v>
      </c>
      <c r="M559">
        <v>23</v>
      </c>
      <c r="N559">
        <v>1995</v>
      </c>
      <c r="O559">
        <v>0.27</v>
      </c>
      <c r="P559">
        <v>2.4700000000000002</v>
      </c>
      <c r="Q559">
        <v>1.4999999999999999E-2</v>
      </c>
      <c r="R559">
        <v>60</v>
      </c>
      <c r="S559">
        <v>700</v>
      </c>
      <c r="T559">
        <v>475</v>
      </c>
      <c r="U559">
        <v>275</v>
      </c>
      <c r="V559">
        <v>370</v>
      </c>
      <c r="W559">
        <v>155</v>
      </c>
    </row>
    <row r="560" spans="1:23">
      <c r="A560">
        <v>369.01560758642302</v>
      </c>
      <c r="B560">
        <v>56</v>
      </c>
      <c r="C560">
        <v>4.6126950948302881</v>
      </c>
      <c r="D560">
        <v>498.14688000000012</v>
      </c>
      <c r="E560">
        <v>690.00829875518673</v>
      </c>
      <c r="F560">
        <v>168.93407999999999</v>
      </c>
      <c r="G560">
        <v>71.605440000000002</v>
      </c>
      <c r="H560">
        <v>8</v>
      </c>
      <c r="I560">
        <v>61</v>
      </c>
      <c r="J560">
        <v>4</v>
      </c>
      <c r="K560">
        <v>157</v>
      </c>
      <c r="L560">
        <v>46</v>
      </c>
      <c r="M560">
        <v>3</v>
      </c>
      <c r="N560">
        <v>1995</v>
      </c>
      <c r="O560">
        <v>0.27</v>
      </c>
      <c r="P560">
        <v>2.4700000000000002</v>
      </c>
      <c r="Q560">
        <v>1.4999999999999999E-2</v>
      </c>
      <c r="R560">
        <v>60</v>
      </c>
      <c r="S560">
        <v>700</v>
      </c>
      <c r="T560">
        <v>475</v>
      </c>
      <c r="U560">
        <v>275</v>
      </c>
      <c r="V560">
        <v>370</v>
      </c>
      <c r="W560">
        <v>155</v>
      </c>
    </row>
    <row r="561" spans="1:23">
      <c r="A561">
        <v>368.70714683256898</v>
      </c>
      <c r="B561">
        <v>56.000000000000007</v>
      </c>
      <c r="C561">
        <v>4.6088393354071124</v>
      </c>
      <c r="D561">
        <v>400.33260000000001</v>
      </c>
      <c r="E561">
        <v>689.12863070539413</v>
      </c>
      <c r="F561">
        <v>165.01259999999999</v>
      </c>
      <c r="G561">
        <v>71.528399999999991</v>
      </c>
      <c r="H561">
        <v>6</v>
      </c>
      <c r="I561">
        <v>53</v>
      </c>
      <c r="J561">
        <v>6</v>
      </c>
      <c r="K561">
        <v>155</v>
      </c>
      <c r="L561">
        <v>60</v>
      </c>
      <c r="M561">
        <v>38</v>
      </c>
      <c r="N561">
        <v>1995</v>
      </c>
      <c r="O561">
        <v>0.27</v>
      </c>
      <c r="P561">
        <v>2.4700000000000002</v>
      </c>
      <c r="Q561">
        <v>1.4999999999999999E-2</v>
      </c>
      <c r="R561">
        <v>60</v>
      </c>
      <c r="S561">
        <v>700</v>
      </c>
      <c r="T561">
        <v>475</v>
      </c>
      <c r="U561">
        <v>275</v>
      </c>
      <c r="V561">
        <v>370</v>
      </c>
      <c r="W561">
        <v>155</v>
      </c>
    </row>
    <row r="562" spans="1:23">
      <c r="A562">
        <v>345.57979521563033</v>
      </c>
      <c r="B562">
        <v>52.5</v>
      </c>
      <c r="C562">
        <v>4.60773060287507</v>
      </c>
      <c r="D562">
        <v>375.16964000000002</v>
      </c>
      <c r="E562">
        <v>691.07053941908714</v>
      </c>
      <c r="F562">
        <v>198.67964000000001</v>
      </c>
      <c r="G562">
        <v>67.077300000000008</v>
      </c>
      <c r="H562">
        <v>22</v>
      </c>
      <c r="I562">
        <v>53</v>
      </c>
      <c r="J562">
        <v>3</v>
      </c>
      <c r="K562">
        <v>268</v>
      </c>
      <c r="L562">
        <v>60</v>
      </c>
      <c r="M562">
        <v>22</v>
      </c>
      <c r="N562">
        <v>1995</v>
      </c>
      <c r="O562">
        <v>0.27</v>
      </c>
      <c r="P562">
        <v>2.4700000000000002</v>
      </c>
      <c r="Q562">
        <v>1.4999999999999999E-2</v>
      </c>
      <c r="R562">
        <v>60</v>
      </c>
      <c r="S562">
        <v>700</v>
      </c>
      <c r="T562">
        <v>475</v>
      </c>
      <c r="U562">
        <v>275</v>
      </c>
      <c r="V562">
        <v>370</v>
      </c>
      <c r="W562">
        <v>155</v>
      </c>
    </row>
    <row r="563" spans="1:23">
      <c r="A563">
        <v>345.27291097777601</v>
      </c>
      <c r="B563">
        <v>52.5</v>
      </c>
      <c r="C563">
        <v>4.6036388130370129</v>
      </c>
      <c r="D563">
        <v>403.71809999999999</v>
      </c>
      <c r="E563">
        <v>689.77593360995854</v>
      </c>
      <c r="F563">
        <v>201.85905</v>
      </c>
      <c r="G563">
        <v>66.994050000000001</v>
      </c>
      <c r="H563">
        <v>22</v>
      </c>
      <c r="I563">
        <v>54</v>
      </c>
      <c r="J563">
        <v>3</v>
      </c>
      <c r="K563">
        <v>248</v>
      </c>
      <c r="L563">
        <v>57</v>
      </c>
      <c r="M563">
        <v>19</v>
      </c>
      <c r="N563">
        <v>1995</v>
      </c>
      <c r="O563">
        <v>0.27</v>
      </c>
      <c r="P563">
        <v>2.4700000000000002</v>
      </c>
      <c r="Q563">
        <v>1.4999999999999999E-2</v>
      </c>
      <c r="R563">
        <v>60</v>
      </c>
      <c r="S563">
        <v>700</v>
      </c>
      <c r="T563">
        <v>475</v>
      </c>
      <c r="U563">
        <v>275</v>
      </c>
      <c r="V563">
        <v>370</v>
      </c>
      <c r="W563">
        <v>155</v>
      </c>
    </row>
    <row r="564" spans="1:23">
      <c r="A564">
        <v>369.45066065338091</v>
      </c>
      <c r="B564">
        <v>56.190909090909088</v>
      </c>
      <c r="C564">
        <v>4.602443111197271</v>
      </c>
      <c r="D564">
        <v>435.44159999999999</v>
      </c>
      <c r="E564">
        <v>691.08049792531119</v>
      </c>
      <c r="F564">
        <v>168.88079999999999</v>
      </c>
      <c r="G564">
        <v>71.710847999999999</v>
      </c>
      <c r="H564">
        <v>6</v>
      </c>
      <c r="I564">
        <v>55</v>
      </c>
      <c r="J564">
        <v>6</v>
      </c>
      <c r="K564">
        <v>113</v>
      </c>
      <c r="L564">
        <v>56</v>
      </c>
      <c r="M564">
        <v>24</v>
      </c>
      <c r="N564">
        <v>1995</v>
      </c>
      <c r="O564">
        <v>0.27</v>
      </c>
      <c r="P564">
        <v>2.4700000000000002</v>
      </c>
      <c r="Q564">
        <v>1.4999999999999999E-2</v>
      </c>
      <c r="R564">
        <v>60</v>
      </c>
      <c r="S564">
        <v>700</v>
      </c>
      <c r="T564">
        <v>475</v>
      </c>
      <c r="U564">
        <v>275</v>
      </c>
      <c r="V564">
        <v>370</v>
      </c>
      <c r="W564">
        <v>155</v>
      </c>
    </row>
    <row r="565" spans="1:23">
      <c r="A565">
        <v>345.17293202950191</v>
      </c>
      <c r="B565">
        <v>52.500000000000007</v>
      </c>
      <c r="C565">
        <v>4.6023057603933584</v>
      </c>
      <c r="D565">
        <v>402.21359999999999</v>
      </c>
      <c r="E565">
        <v>692.81327800829877</v>
      </c>
      <c r="F565">
        <v>201.10679999999999</v>
      </c>
      <c r="G565">
        <v>67.030199999999994</v>
      </c>
      <c r="H565">
        <v>22</v>
      </c>
      <c r="I565">
        <v>54</v>
      </c>
      <c r="J565">
        <v>3</v>
      </c>
      <c r="K565">
        <v>58</v>
      </c>
      <c r="L565">
        <v>56</v>
      </c>
      <c r="M565">
        <v>9</v>
      </c>
      <c r="N565">
        <v>1995</v>
      </c>
      <c r="O565">
        <v>0.27</v>
      </c>
      <c r="P565">
        <v>2.4700000000000002</v>
      </c>
      <c r="Q565">
        <v>1.4999999999999999E-2</v>
      </c>
      <c r="R565">
        <v>60</v>
      </c>
      <c r="S565">
        <v>700</v>
      </c>
      <c r="T565">
        <v>475</v>
      </c>
      <c r="U565">
        <v>275</v>
      </c>
      <c r="V565">
        <v>370</v>
      </c>
      <c r="W565">
        <v>155</v>
      </c>
    </row>
    <row r="566" spans="1:23">
      <c r="A566">
        <v>368.01341930006919</v>
      </c>
      <c r="B566">
        <v>56</v>
      </c>
      <c r="C566">
        <v>4.6001677412508659</v>
      </c>
      <c r="D566">
        <v>420.69</v>
      </c>
      <c r="E566">
        <v>689.95850622406647</v>
      </c>
      <c r="F566">
        <v>170.94</v>
      </c>
      <c r="G566">
        <v>71.41</v>
      </c>
      <c r="H566">
        <v>9</v>
      </c>
      <c r="I566">
        <v>45</v>
      </c>
      <c r="J566">
        <v>4</v>
      </c>
      <c r="K566">
        <v>63</v>
      </c>
      <c r="L566">
        <v>58</v>
      </c>
      <c r="M566">
        <v>10</v>
      </c>
      <c r="N566">
        <v>1995</v>
      </c>
      <c r="O566">
        <v>0.27</v>
      </c>
      <c r="P566">
        <v>2.4700000000000002</v>
      </c>
      <c r="Q566">
        <v>1.4999999999999999E-2</v>
      </c>
      <c r="R566">
        <v>60</v>
      </c>
      <c r="S566">
        <v>700</v>
      </c>
      <c r="T566">
        <v>475</v>
      </c>
      <c r="U566">
        <v>275</v>
      </c>
      <c r="V566">
        <v>370</v>
      </c>
      <c r="W566">
        <v>155</v>
      </c>
    </row>
    <row r="567" spans="1:23">
      <c r="A567">
        <v>368.01341930006919</v>
      </c>
      <c r="B567">
        <v>56</v>
      </c>
      <c r="C567">
        <v>4.6001677412508659</v>
      </c>
      <c r="D567">
        <v>441.78</v>
      </c>
      <c r="E567">
        <v>689.95850622406647</v>
      </c>
      <c r="F567">
        <v>170.94</v>
      </c>
      <c r="G567">
        <v>71.41</v>
      </c>
      <c r="H567">
        <v>9</v>
      </c>
      <c r="I567">
        <v>45</v>
      </c>
      <c r="J567">
        <v>4</v>
      </c>
      <c r="K567">
        <v>259</v>
      </c>
      <c r="L567">
        <v>58</v>
      </c>
      <c r="M567">
        <v>10</v>
      </c>
      <c r="N567">
        <v>1995</v>
      </c>
      <c r="O567">
        <v>0.27</v>
      </c>
      <c r="P567">
        <v>2.4700000000000002</v>
      </c>
      <c r="Q567">
        <v>1.4999999999999999E-2</v>
      </c>
      <c r="R567">
        <v>60</v>
      </c>
      <c r="S567">
        <v>700</v>
      </c>
      <c r="T567">
        <v>475</v>
      </c>
      <c r="U567">
        <v>275</v>
      </c>
      <c r="V567">
        <v>370</v>
      </c>
      <c r="W567">
        <v>155</v>
      </c>
    </row>
    <row r="568" spans="1:23">
      <c r="A568">
        <v>368.01341930006919</v>
      </c>
      <c r="B568">
        <v>56</v>
      </c>
      <c r="C568">
        <v>4.6001677412508659</v>
      </c>
      <c r="D568">
        <v>421.06</v>
      </c>
      <c r="E568">
        <v>689.95850622406647</v>
      </c>
      <c r="F568">
        <v>171.31</v>
      </c>
      <c r="G568">
        <v>71.41</v>
      </c>
      <c r="H568">
        <v>9</v>
      </c>
      <c r="I568">
        <v>45</v>
      </c>
      <c r="J568">
        <v>4</v>
      </c>
      <c r="K568">
        <v>265</v>
      </c>
      <c r="L568">
        <v>58</v>
      </c>
      <c r="M568">
        <v>20</v>
      </c>
      <c r="N568">
        <v>1995</v>
      </c>
      <c r="O568">
        <v>0.27</v>
      </c>
      <c r="P568">
        <v>2.4700000000000002</v>
      </c>
      <c r="Q568">
        <v>1.4999999999999999E-2</v>
      </c>
      <c r="R568">
        <v>60</v>
      </c>
      <c r="S568">
        <v>700</v>
      </c>
      <c r="T568">
        <v>475</v>
      </c>
      <c r="U568">
        <v>275</v>
      </c>
      <c r="V568">
        <v>370</v>
      </c>
      <c r="W568">
        <v>155</v>
      </c>
    </row>
    <row r="569" spans="1:23">
      <c r="A569">
        <v>344.9348037887417</v>
      </c>
      <c r="B569">
        <v>52.5</v>
      </c>
      <c r="C569">
        <v>4.5991307171832227</v>
      </c>
      <c r="D569">
        <v>429.79199999999997</v>
      </c>
      <c r="E569">
        <v>691.03734439834022</v>
      </c>
      <c r="F569">
        <v>204.31399999999999</v>
      </c>
      <c r="G569">
        <v>66.951499999999996</v>
      </c>
      <c r="H569">
        <v>22</v>
      </c>
      <c r="I569">
        <v>55</v>
      </c>
      <c r="J569">
        <v>3</v>
      </c>
      <c r="K569">
        <v>101</v>
      </c>
      <c r="L569">
        <v>55</v>
      </c>
      <c r="M569">
        <v>8</v>
      </c>
      <c r="N569">
        <v>1995</v>
      </c>
      <c r="O569">
        <v>0.27</v>
      </c>
      <c r="P569">
        <v>2.4700000000000002</v>
      </c>
      <c r="Q569">
        <v>1.4999999999999999E-2</v>
      </c>
      <c r="R569">
        <v>60</v>
      </c>
      <c r="S569">
        <v>700</v>
      </c>
      <c r="T569">
        <v>475</v>
      </c>
      <c r="U569">
        <v>275</v>
      </c>
      <c r="V569">
        <v>370</v>
      </c>
      <c r="W569">
        <v>155</v>
      </c>
    </row>
    <row r="570" spans="1:23">
      <c r="A570">
        <v>367.91647825393687</v>
      </c>
      <c r="B570">
        <v>56</v>
      </c>
      <c r="C570">
        <v>4.598955978174212</v>
      </c>
      <c r="D570">
        <v>412.90964000000002</v>
      </c>
      <c r="E570">
        <v>691.03734439834034</v>
      </c>
      <c r="F570">
        <v>168.70964000000001</v>
      </c>
      <c r="G570">
        <v>71.412220000000005</v>
      </c>
      <c r="H570">
        <v>9</v>
      </c>
      <c r="I570">
        <v>44</v>
      </c>
      <c r="J570">
        <v>4</v>
      </c>
      <c r="K570">
        <v>268</v>
      </c>
      <c r="L570">
        <v>59</v>
      </c>
      <c r="M570">
        <v>22</v>
      </c>
      <c r="N570">
        <v>1995</v>
      </c>
      <c r="O570">
        <v>0.27</v>
      </c>
      <c r="P570">
        <v>2.4700000000000002</v>
      </c>
      <c r="Q570">
        <v>1.4999999999999999E-2</v>
      </c>
      <c r="R570">
        <v>60</v>
      </c>
      <c r="S570">
        <v>700</v>
      </c>
      <c r="T570">
        <v>475</v>
      </c>
      <c r="U570">
        <v>275</v>
      </c>
      <c r="V570">
        <v>370</v>
      </c>
      <c r="W570">
        <v>155</v>
      </c>
    </row>
    <row r="571" spans="1:23">
      <c r="A571">
        <v>344.61600923445172</v>
      </c>
      <c r="B571">
        <v>52.5</v>
      </c>
      <c r="C571">
        <v>4.5948801231260221</v>
      </c>
      <c r="D571">
        <v>387.39</v>
      </c>
      <c r="E571">
        <v>690.37344398340247</v>
      </c>
      <c r="F571">
        <v>204.24</v>
      </c>
      <c r="G571">
        <v>66.877499999999998</v>
      </c>
      <c r="H571">
        <v>22</v>
      </c>
      <c r="I571">
        <v>55</v>
      </c>
      <c r="J571">
        <v>3</v>
      </c>
      <c r="K571">
        <v>63</v>
      </c>
      <c r="L571">
        <v>57</v>
      </c>
      <c r="M571">
        <v>10</v>
      </c>
      <c r="N571">
        <v>1995</v>
      </c>
      <c r="O571">
        <v>0.27</v>
      </c>
      <c r="P571">
        <v>2.4700000000000002</v>
      </c>
      <c r="Q571">
        <v>1.4999999999999999E-2</v>
      </c>
      <c r="R571">
        <v>60</v>
      </c>
      <c r="S571">
        <v>700</v>
      </c>
      <c r="T571">
        <v>475</v>
      </c>
      <c r="U571">
        <v>275</v>
      </c>
      <c r="V571">
        <v>370</v>
      </c>
      <c r="W571">
        <v>155</v>
      </c>
    </row>
    <row r="572" spans="1:23">
      <c r="A572">
        <v>344.61600923445172</v>
      </c>
      <c r="B572">
        <v>52.5</v>
      </c>
      <c r="C572">
        <v>4.5948801231260221</v>
      </c>
      <c r="D572">
        <v>408.48</v>
      </c>
      <c r="E572">
        <v>690.37344398340247</v>
      </c>
      <c r="F572">
        <v>204.24</v>
      </c>
      <c r="G572">
        <v>66.877499999999998</v>
      </c>
      <c r="H572">
        <v>22</v>
      </c>
      <c r="I572">
        <v>55</v>
      </c>
      <c r="J572">
        <v>3</v>
      </c>
      <c r="K572">
        <v>259</v>
      </c>
      <c r="L572">
        <v>57</v>
      </c>
      <c r="M572">
        <v>10</v>
      </c>
      <c r="N572">
        <v>1995</v>
      </c>
      <c r="O572">
        <v>0.27</v>
      </c>
      <c r="P572">
        <v>2.4700000000000002</v>
      </c>
      <c r="Q572">
        <v>1.4999999999999999E-2</v>
      </c>
      <c r="R572">
        <v>60</v>
      </c>
      <c r="S572">
        <v>700</v>
      </c>
      <c r="T572">
        <v>475</v>
      </c>
      <c r="U572">
        <v>275</v>
      </c>
      <c r="V572">
        <v>370</v>
      </c>
      <c r="W572">
        <v>155</v>
      </c>
    </row>
    <row r="573" spans="1:23">
      <c r="A573">
        <v>367.33437798794489</v>
      </c>
      <c r="B573">
        <v>56</v>
      </c>
      <c r="C573">
        <v>4.5916797248493122</v>
      </c>
      <c r="D573">
        <v>500.36687999999998</v>
      </c>
      <c r="E573">
        <v>686.47302904564322</v>
      </c>
      <c r="F573">
        <v>169.37808000000001</v>
      </c>
      <c r="G573">
        <v>71.210399999999993</v>
      </c>
      <c r="H573">
        <v>8</v>
      </c>
      <c r="I573">
        <v>60</v>
      </c>
      <c r="J573">
        <v>4</v>
      </c>
      <c r="K573">
        <v>156</v>
      </c>
      <c r="L573">
        <v>47</v>
      </c>
      <c r="M573">
        <v>4</v>
      </c>
      <c r="N573">
        <v>1995</v>
      </c>
      <c r="O573">
        <v>0.27</v>
      </c>
      <c r="P573">
        <v>2.4700000000000002</v>
      </c>
      <c r="Q573">
        <v>1.4999999999999999E-2</v>
      </c>
      <c r="R573">
        <v>60</v>
      </c>
      <c r="S573">
        <v>700</v>
      </c>
      <c r="T573">
        <v>475</v>
      </c>
      <c r="U573">
        <v>275</v>
      </c>
      <c r="V573">
        <v>370</v>
      </c>
      <c r="W573">
        <v>155</v>
      </c>
    </row>
    <row r="574" spans="1:23">
      <c r="A574">
        <v>367.01437547859211</v>
      </c>
      <c r="B574">
        <v>56.000000000000007</v>
      </c>
      <c r="C574">
        <v>4.5876796934824018</v>
      </c>
      <c r="D574">
        <v>434.72519999999997</v>
      </c>
      <c r="E574">
        <v>691.02074688796688</v>
      </c>
      <c r="F574">
        <v>168.24510000000001</v>
      </c>
      <c r="G574">
        <v>71.236800000000002</v>
      </c>
      <c r="H574">
        <v>9</v>
      </c>
      <c r="I574">
        <v>60</v>
      </c>
      <c r="J574">
        <v>3</v>
      </c>
      <c r="K574">
        <v>58</v>
      </c>
      <c r="L574">
        <v>54</v>
      </c>
      <c r="M574">
        <v>9</v>
      </c>
      <c r="N574">
        <v>1995</v>
      </c>
      <c r="O574">
        <v>0.27</v>
      </c>
      <c r="P574">
        <v>2.4700000000000002</v>
      </c>
      <c r="Q574">
        <v>1.4999999999999999E-2</v>
      </c>
      <c r="R574">
        <v>60</v>
      </c>
      <c r="S574">
        <v>700</v>
      </c>
      <c r="T574">
        <v>475</v>
      </c>
      <c r="U574">
        <v>275</v>
      </c>
      <c r="V574">
        <v>370</v>
      </c>
      <c r="W574">
        <v>155</v>
      </c>
    </row>
    <row r="575" spans="1:23">
      <c r="A575">
        <v>343.54489281401737</v>
      </c>
      <c r="B575">
        <v>52.500000000000007</v>
      </c>
      <c r="C575">
        <v>4.5805985708535646</v>
      </c>
      <c r="D575">
        <v>402.95071999999999</v>
      </c>
      <c r="E575">
        <v>687.11701244813287</v>
      </c>
      <c r="F575">
        <v>201.47535999999999</v>
      </c>
      <c r="G575">
        <v>66.61036</v>
      </c>
      <c r="H575">
        <v>22</v>
      </c>
      <c r="I575">
        <v>54</v>
      </c>
      <c r="J575">
        <v>3</v>
      </c>
      <c r="K575">
        <v>246</v>
      </c>
      <c r="L575">
        <v>59</v>
      </c>
      <c r="M575">
        <v>16</v>
      </c>
      <c r="N575">
        <v>1995</v>
      </c>
      <c r="O575">
        <v>0.27</v>
      </c>
      <c r="P575">
        <v>2.4700000000000002</v>
      </c>
      <c r="Q575">
        <v>1.4999999999999999E-2</v>
      </c>
      <c r="R575">
        <v>60</v>
      </c>
      <c r="S575">
        <v>700</v>
      </c>
      <c r="T575">
        <v>475</v>
      </c>
      <c r="U575">
        <v>275</v>
      </c>
      <c r="V575">
        <v>370</v>
      </c>
      <c r="W575">
        <v>155</v>
      </c>
    </row>
    <row r="576" spans="1:23">
      <c r="A576">
        <v>366.3863757240324</v>
      </c>
      <c r="B576">
        <v>56</v>
      </c>
      <c r="C576">
        <v>4.5798296965504051</v>
      </c>
      <c r="D576">
        <v>412.20960000000002</v>
      </c>
      <c r="E576">
        <v>690.82157676348538</v>
      </c>
      <c r="F576">
        <v>168.00960000000001</v>
      </c>
      <c r="G576">
        <v>71.111040000000003</v>
      </c>
      <c r="H576">
        <v>6</v>
      </c>
      <c r="I576">
        <v>55</v>
      </c>
      <c r="J576">
        <v>6</v>
      </c>
      <c r="K576">
        <v>61</v>
      </c>
      <c r="L576">
        <v>57</v>
      </c>
      <c r="M576">
        <v>12</v>
      </c>
      <c r="N576">
        <v>1995</v>
      </c>
      <c r="O576">
        <v>0.27</v>
      </c>
      <c r="P576">
        <v>2.4700000000000002</v>
      </c>
      <c r="Q576">
        <v>1.4999999999999999E-2</v>
      </c>
      <c r="R576">
        <v>60</v>
      </c>
      <c r="S576">
        <v>700</v>
      </c>
      <c r="T576">
        <v>475</v>
      </c>
      <c r="U576">
        <v>275</v>
      </c>
      <c r="V576">
        <v>370</v>
      </c>
      <c r="W576">
        <v>155</v>
      </c>
    </row>
    <row r="577" spans="1:23">
      <c r="A577">
        <v>366.29664362441912</v>
      </c>
      <c r="B577">
        <v>56.000000000000007</v>
      </c>
      <c r="C577">
        <v>4.5787080453052376</v>
      </c>
      <c r="D577">
        <v>429.96960000000001</v>
      </c>
      <c r="E577">
        <v>692.6340248962656</v>
      </c>
      <c r="F577">
        <v>167.03280000000001</v>
      </c>
      <c r="G577">
        <v>71.128799999999998</v>
      </c>
      <c r="H577">
        <v>6</v>
      </c>
      <c r="I577">
        <v>54</v>
      </c>
      <c r="J577">
        <v>6</v>
      </c>
      <c r="K577">
        <v>249</v>
      </c>
      <c r="L577">
        <v>58</v>
      </c>
      <c r="M577">
        <v>27</v>
      </c>
      <c r="N577">
        <v>1995</v>
      </c>
      <c r="O577">
        <v>0.27</v>
      </c>
      <c r="P577">
        <v>2.4700000000000002</v>
      </c>
      <c r="Q577">
        <v>1.4999999999999999E-2</v>
      </c>
      <c r="R577">
        <v>60</v>
      </c>
      <c r="S577">
        <v>700</v>
      </c>
      <c r="T577">
        <v>475</v>
      </c>
      <c r="U577">
        <v>275</v>
      </c>
      <c r="V577">
        <v>370</v>
      </c>
      <c r="W577">
        <v>155</v>
      </c>
    </row>
    <row r="578" spans="1:23">
      <c r="A578">
        <v>343.24149863224949</v>
      </c>
      <c r="B578">
        <v>52.500000000000007</v>
      </c>
      <c r="C578">
        <v>4.5765533150966604</v>
      </c>
      <c r="D578">
        <v>402.77607999999998</v>
      </c>
      <c r="E578">
        <v>685.55020746887965</v>
      </c>
      <c r="F578">
        <v>201.38803999999999</v>
      </c>
      <c r="G578">
        <v>66.523040000000009</v>
      </c>
      <c r="H578">
        <v>22</v>
      </c>
      <c r="I578">
        <v>54</v>
      </c>
      <c r="J578">
        <v>3</v>
      </c>
      <c r="K578">
        <v>255</v>
      </c>
      <c r="L578">
        <v>59</v>
      </c>
      <c r="M578">
        <v>19</v>
      </c>
      <c r="N578">
        <v>1995</v>
      </c>
      <c r="O578">
        <v>0.27</v>
      </c>
      <c r="P578">
        <v>2.4700000000000002</v>
      </c>
      <c r="Q578">
        <v>1.4999999999999999E-2</v>
      </c>
      <c r="R578">
        <v>60</v>
      </c>
      <c r="S578">
        <v>700</v>
      </c>
      <c r="T578">
        <v>475</v>
      </c>
      <c r="U578">
        <v>275</v>
      </c>
      <c r="V578">
        <v>370</v>
      </c>
      <c r="W578">
        <v>155</v>
      </c>
    </row>
    <row r="579" spans="1:23">
      <c r="A579">
        <v>365.98263941129392</v>
      </c>
      <c r="B579">
        <v>56.000000000000007</v>
      </c>
      <c r="C579">
        <v>4.5747829926411736</v>
      </c>
      <c r="D579">
        <v>439.59552000000002</v>
      </c>
      <c r="E579">
        <v>688.45145228215756</v>
      </c>
      <c r="F579">
        <v>170.06976</v>
      </c>
      <c r="G579">
        <v>70.986720000000005</v>
      </c>
      <c r="H579">
        <v>6</v>
      </c>
      <c r="I579">
        <v>56</v>
      </c>
      <c r="J579">
        <v>6</v>
      </c>
      <c r="K579">
        <v>278</v>
      </c>
      <c r="L579">
        <v>57</v>
      </c>
      <c r="M579">
        <v>8</v>
      </c>
      <c r="N579">
        <v>1995</v>
      </c>
      <c r="O579">
        <v>0.27</v>
      </c>
      <c r="P579">
        <v>2.4700000000000002</v>
      </c>
      <c r="Q579">
        <v>1.4999999999999999E-2</v>
      </c>
      <c r="R579">
        <v>60</v>
      </c>
      <c r="S579">
        <v>700</v>
      </c>
      <c r="T579">
        <v>475</v>
      </c>
      <c r="U579">
        <v>275</v>
      </c>
      <c r="V579">
        <v>370</v>
      </c>
      <c r="W579">
        <v>155</v>
      </c>
    </row>
    <row r="580" spans="1:23">
      <c r="A580">
        <v>365.32367784659311</v>
      </c>
      <c r="B580">
        <v>56</v>
      </c>
      <c r="C580">
        <v>4.5665459730824134</v>
      </c>
      <c r="D580">
        <v>412.75905</v>
      </c>
      <c r="E580">
        <v>689.49211618257266</v>
      </c>
      <c r="F580">
        <v>168.55905000000001</v>
      </c>
      <c r="G580">
        <v>70.879050000000007</v>
      </c>
      <c r="H580">
        <v>9</v>
      </c>
      <c r="I580">
        <v>44</v>
      </c>
      <c r="J580">
        <v>4</v>
      </c>
      <c r="K580">
        <v>209</v>
      </c>
      <c r="L580">
        <v>57</v>
      </c>
      <c r="M580">
        <v>19</v>
      </c>
      <c r="N580">
        <v>1995</v>
      </c>
      <c r="O580">
        <v>0.27</v>
      </c>
      <c r="P580">
        <v>2.4700000000000002</v>
      </c>
      <c r="Q580">
        <v>1.4999999999999999E-2</v>
      </c>
      <c r="R580">
        <v>60</v>
      </c>
      <c r="S580">
        <v>700</v>
      </c>
      <c r="T580">
        <v>475</v>
      </c>
      <c r="U580">
        <v>275</v>
      </c>
      <c r="V580">
        <v>370</v>
      </c>
      <c r="W580">
        <v>155</v>
      </c>
    </row>
    <row r="581" spans="1:23">
      <c r="A581">
        <v>365.28441435754678</v>
      </c>
      <c r="B581">
        <v>56.000000000000007</v>
      </c>
      <c r="C581">
        <v>4.566055179469334</v>
      </c>
      <c r="D581">
        <v>420.20159999999998</v>
      </c>
      <c r="E581">
        <v>691.3195020746889</v>
      </c>
      <c r="F581">
        <v>170.45160000000001</v>
      </c>
      <c r="G581">
        <v>70.906800000000004</v>
      </c>
      <c r="H581">
        <v>9</v>
      </c>
      <c r="I581">
        <v>45</v>
      </c>
      <c r="J581">
        <v>4</v>
      </c>
      <c r="K581">
        <v>190</v>
      </c>
      <c r="L581">
        <v>59</v>
      </c>
      <c r="M581">
        <v>6</v>
      </c>
      <c r="N581">
        <v>1995</v>
      </c>
      <c r="O581">
        <v>0.27</v>
      </c>
      <c r="P581">
        <v>2.4700000000000002</v>
      </c>
      <c r="Q581">
        <v>1.4999999999999999E-2</v>
      </c>
      <c r="R581">
        <v>60</v>
      </c>
      <c r="S581">
        <v>700</v>
      </c>
      <c r="T581">
        <v>475</v>
      </c>
      <c r="U581">
        <v>275</v>
      </c>
      <c r="V581">
        <v>370</v>
      </c>
      <c r="W581">
        <v>155</v>
      </c>
    </row>
    <row r="582" spans="1:23">
      <c r="A582">
        <v>365.19688492890839</v>
      </c>
      <c r="B582">
        <v>56</v>
      </c>
      <c r="C582">
        <v>4.5649610616113554</v>
      </c>
      <c r="D582">
        <v>429.55200000000002</v>
      </c>
      <c r="E582">
        <v>692.87977067777445</v>
      </c>
      <c r="F582">
        <v>166.82400000000001</v>
      </c>
      <c r="G582">
        <v>70.92</v>
      </c>
      <c r="H582">
        <v>6</v>
      </c>
      <c r="I582">
        <v>54</v>
      </c>
      <c r="J582">
        <v>6</v>
      </c>
      <c r="K582">
        <v>42</v>
      </c>
      <c r="L582">
        <v>58</v>
      </c>
      <c r="M582">
        <v>22</v>
      </c>
      <c r="N582">
        <v>1995</v>
      </c>
      <c r="O582">
        <v>0.27</v>
      </c>
      <c r="P582">
        <v>2.4700000000000002</v>
      </c>
      <c r="Q582">
        <v>1.4999999999999999E-2</v>
      </c>
      <c r="R582">
        <v>60</v>
      </c>
      <c r="S582">
        <v>700</v>
      </c>
      <c r="T582">
        <v>475</v>
      </c>
      <c r="U582">
        <v>275</v>
      </c>
      <c r="V582">
        <v>370</v>
      </c>
      <c r="W582">
        <v>155</v>
      </c>
    </row>
    <row r="583" spans="1:23">
      <c r="A583">
        <v>364.54059881075892</v>
      </c>
      <c r="B583">
        <v>56</v>
      </c>
      <c r="C583">
        <v>4.5567574851344856</v>
      </c>
      <c r="D583">
        <v>402.82639999999998</v>
      </c>
      <c r="E583">
        <v>685.96016597510379</v>
      </c>
      <c r="F583">
        <v>165.56389999999999</v>
      </c>
      <c r="G583">
        <v>70.658899999999988</v>
      </c>
      <c r="H583">
        <v>9</v>
      </c>
      <c r="I583">
        <v>57</v>
      </c>
      <c r="J583">
        <v>3</v>
      </c>
      <c r="K583">
        <v>202</v>
      </c>
      <c r="L583">
        <v>56</v>
      </c>
      <c r="M583">
        <v>28</v>
      </c>
      <c r="N583">
        <v>1995</v>
      </c>
      <c r="O583">
        <v>0.27</v>
      </c>
      <c r="P583">
        <v>2.4700000000000002</v>
      </c>
      <c r="Q583">
        <v>1.4999999999999999E-2</v>
      </c>
      <c r="R583">
        <v>60</v>
      </c>
      <c r="S583">
        <v>700</v>
      </c>
      <c r="T583">
        <v>475</v>
      </c>
      <c r="U583">
        <v>275</v>
      </c>
      <c r="V583">
        <v>370</v>
      </c>
      <c r="W583">
        <v>155</v>
      </c>
    </row>
    <row r="584" spans="1:23">
      <c r="A584">
        <v>364.06848365067259</v>
      </c>
      <c r="B584">
        <v>56</v>
      </c>
      <c r="C584">
        <v>4.5508560456334086</v>
      </c>
      <c r="D584">
        <v>402.82639999999998</v>
      </c>
      <c r="E584">
        <v>690.70410749254836</v>
      </c>
      <c r="F584">
        <v>165.56389999999999</v>
      </c>
      <c r="G584">
        <v>70.658899999999988</v>
      </c>
      <c r="H584">
        <v>9</v>
      </c>
      <c r="I584">
        <v>57</v>
      </c>
      <c r="J584">
        <v>3</v>
      </c>
      <c r="K584">
        <v>292</v>
      </c>
      <c r="L584">
        <v>56</v>
      </c>
      <c r="M584">
        <v>28</v>
      </c>
      <c r="N584">
        <v>1995</v>
      </c>
      <c r="O584">
        <v>0.27</v>
      </c>
      <c r="P584">
        <v>2.4700000000000002</v>
      </c>
      <c r="Q584">
        <v>1.4999999999999999E-2</v>
      </c>
      <c r="R584">
        <v>60</v>
      </c>
      <c r="S584">
        <v>700</v>
      </c>
      <c r="T584">
        <v>475</v>
      </c>
      <c r="U584">
        <v>275</v>
      </c>
      <c r="V584">
        <v>370</v>
      </c>
      <c r="W584">
        <v>155</v>
      </c>
    </row>
    <row r="585" spans="1:23">
      <c r="A585">
        <v>353.09172131552731</v>
      </c>
      <c r="B585">
        <v>54.32</v>
      </c>
      <c r="C585">
        <v>4.5501510478805063</v>
      </c>
      <c r="D585">
        <v>415.75160000000011</v>
      </c>
      <c r="E585">
        <v>689.32529441195766</v>
      </c>
      <c r="F585">
        <v>161.7286</v>
      </c>
      <c r="G585">
        <v>68.502719999999997</v>
      </c>
      <c r="H585">
        <v>8</v>
      </c>
      <c r="I585">
        <v>55</v>
      </c>
      <c r="J585">
        <v>4</v>
      </c>
      <c r="K585">
        <v>237</v>
      </c>
      <c r="L585">
        <v>58</v>
      </c>
      <c r="M585">
        <v>22</v>
      </c>
      <c r="N585">
        <v>1995</v>
      </c>
      <c r="O585">
        <v>0.27</v>
      </c>
      <c r="P585">
        <v>2.4700000000000002</v>
      </c>
      <c r="Q585">
        <v>1.4999999999999999E-2</v>
      </c>
      <c r="R585">
        <v>60</v>
      </c>
      <c r="S585">
        <v>700</v>
      </c>
      <c r="T585">
        <v>475</v>
      </c>
      <c r="U585">
        <v>275</v>
      </c>
      <c r="V585">
        <v>370</v>
      </c>
      <c r="W585">
        <v>155</v>
      </c>
    </row>
    <row r="586" spans="1:23">
      <c r="A586">
        <v>341.03478236090058</v>
      </c>
      <c r="B586">
        <v>52.500000000000007</v>
      </c>
      <c r="C586">
        <v>4.5471304314786742</v>
      </c>
      <c r="D586">
        <v>410.34480000000002</v>
      </c>
      <c r="E586">
        <v>692.79668049792531</v>
      </c>
      <c r="F586">
        <v>194.5016</v>
      </c>
      <c r="G586">
        <v>66.226300000000009</v>
      </c>
      <c r="H586">
        <v>22</v>
      </c>
      <c r="I586">
        <v>53</v>
      </c>
      <c r="J586">
        <v>3</v>
      </c>
      <c r="K586">
        <v>97</v>
      </c>
      <c r="L586">
        <v>58</v>
      </c>
      <c r="M586">
        <v>10</v>
      </c>
      <c r="N586">
        <v>1995</v>
      </c>
      <c r="O586">
        <v>0.27</v>
      </c>
      <c r="P586">
        <v>2.4700000000000002</v>
      </c>
      <c r="Q586">
        <v>1.4999999999999999E-2</v>
      </c>
      <c r="R586">
        <v>60</v>
      </c>
      <c r="S586">
        <v>700</v>
      </c>
      <c r="T586">
        <v>475</v>
      </c>
      <c r="U586">
        <v>275</v>
      </c>
      <c r="V586">
        <v>370</v>
      </c>
      <c r="W586">
        <v>155</v>
      </c>
    </row>
    <row r="587" spans="1:23">
      <c r="A587">
        <v>363.62119005091051</v>
      </c>
      <c r="B587">
        <v>56</v>
      </c>
      <c r="C587">
        <v>4.5452648756363807</v>
      </c>
      <c r="D587">
        <v>422.61696000000001</v>
      </c>
      <c r="E587">
        <v>687.33609958506213</v>
      </c>
      <c r="F587">
        <v>164.24448000000001</v>
      </c>
      <c r="G587">
        <v>70.507199999999997</v>
      </c>
      <c r="H587">
        <v>6</v>
      </c>
      <c r="I587">
        <v>53</v>
      </c>
      <c r="J587">
        <v>6</v>
      </c>
      <c r="K587">
        <v>60</v>
      </c>
      <c r="L587">
        <v>60</v>
      </c>
      <c r="M587">
        <v>32</v>
      </c>
      <c r="N587">
        <v>1995</v>
      </c>
      <c r="O587">
        <v>0.27</v>
      </c>
      <c r="P587">
        <v>2.4700000000000002</v>
      </c>
      <c r="Q587">
        <v>1.4999999999999999E-2</v>
      </c>
      <c r="R587">
        <v>60</v>
      </c>
      <c r="S587">
        <v>700</v>
      </c>
      <c r="T587">
        <v>475</v>
      </c>
      <c r="U587">
        <v>275</v>
      </c>
      <c r="V587">
        <v>370</v>
      </c>
      <c r="W587">
        <v>155</v>
      </c>
    </row>
    <row r="588" spans="1:23">
      <c r="A588">
        <v>363.47064461067771</v>
      </c>
      <c r="B588">
        <v>56</v>
      </c>
      <c r="C588">
        <v>4.5433830576334717</v>
      </c>
      <c r="D588">
        <v>454.1232</v>
      </c>
      <c r="E588">
        <v>680.39834024896277</v>
      </c>
      <c r="F588">
        <v>167.74690000000001</v>
      </c>
      <c r="G588">
        <v>70.344399999999993</v>
      </c>
      <c r="H588">
        <v>9</v>
      </c>
      <c r="I588">
        <v>60</v>
      </c>
      <c r="J588">
        <v>3</v>
      </c>
      <c r="K588">
        <v>101</v>
      </c>
      <c r="L588">
        <v>53</v>
      </c>
      <c r="M588">
        <v>8</v>
      </c>
      <c r="N588">
        <v>1995</v>
      </c>
      <c r="O588">
        <v>0.27</v>
      </c>
      <c r="P588">
        <v>2.4700000000000002</v>
      </c>
      <c r="Q588">
        <v>1.4999999999999999E-2</v>
      </c>
      <c r="R588">
        <v>60</v>
      </c>
      <c r="S588">
        <v>700</v>
      </c>
      <c r="T588">
        <v>475</v>
      </c>
      <c r="U588">
        <v>275</v>
      </c>
      <c r="V588">
        <v>370</v>
      </c>
      <c r="W588">
        <v>155</v>
      </c>
    </row>
    <row r="589" spans="1:23">
      <c r="A589">
        <v>363.43622992773862</v>
      </c>
      <c r="B589">
        <v>56.000000000000007</v>
      </c>
      <c r="C589">
        <v>4.5429528740967324</v>
      </c>
      <c r="D589">
        <v>405.22847999999999</v>
      </c>
      <c r="E589">
        <v>686.30705394190875</v>
      </c>
      <c r="F589">
        <v>166.10208</v>
      </c>
      <c r="G589">
        <v>70.451520000000002</v>
      </c>
      <c r="H589">
        <v>8</v>
      </c>
      <c r="I589">
        <v>57</v>
      </c>
      <c r="J589">
        <v>4</v>
      </c>
      <c r="K589">
        <v>208</v>
      </c>
      <c r="L589">
        <v>56</v>
      </c>
      <c r="M589">
        <v>26</v>
      </c>
      <c r="N589">
        <v>1995</v>
      </c>
      <c r="O589">
        <v>0.27</v>
      </c>
      <c r="P589">
        <v>2.4700000000000002</v>
      </c>
      <c r="Q589">
        <v>1.4999999999999999E-2</v>
      </c>
      <c r="R589">
        <v>60</v>
      </c>
      <c r="S589">
        <v>700</v>
      </c>
      <c r="T589">
        <v>475</v>
      </c>
      <c r="U589">
        <v>275</v>
      </c>
      <c r="V589">
        <v>370</v>
      </c>
      <c r="W589">
        <v>155</v>
      </c>
    </row>
    <row r="590" spans="1:23">
      <c r="A590">
        <v>340.3186101817335</v>
      </c>
      <c r="B590">
        <v>52.500000000000007</v>
      </c>
      <c r="C590">
        <v>4.5375814690897798</v>
      </c>
      <c r="D590">
        <v>389.45607999999999</v>
      </c>
      <c r="E590">
        <v>691.07053941908714</v>
      </c>
      <c r="F590">
        <v>194.72803999999999</v>
      </c>
      <c r="G590">
        <v>66.056100000000001</v>
      </c>
      <c r="H590">
        <v>22</v>
      </c>
      <c r="I590">
        <v>53</v>
      </c>
      <c r="J590">
        <v>3</v>
      </c>
      <c r="K590">
        <v>245</v>
      </c>
      <c r="L590">
        <v>60</v>
      </c>
      <c r="M590">
        <v>19</v>
      </c>
      <c r="N590">
        <v>1995</v>
      </c>
      <c r="O590">
        <v>0.27</v>
      </c>
      <c r="P590">
        <v>2.4700000000000002</v>
      </c>
      <c r="Q590">
        <v>1.4999999999999999E-2</v>
      </c>
      <c r="R590">
        <v>60</v>
      </c>
      <c r="S590">
        <v>700</v>
      </c>
      <c r="T590">
        <v>475</v>
      </c>
      <c r="U590">
        <v>275</v>
      </c>
      <c r="V590">
        <v>370</v>
      </c>
      <c r="W590">
        <v>155</v>
      </c>
    </row>
    <row r="591" spans="1:23">
      <c r="A591">
        <v>362.8251793364164</v>
      </c>
      <c r="B591">
        <v>56</v>
      </c>
      <c r="C591">
        <v>4.5353147417052053</v>
      </c>
      <c r="D591">
        <v>406.07907</v>
      </c>
      <c r="E591">
        <v>690.57261410788385</v>
      </c>
      <c r="F591">
        <v>166.31907000000001</v>
      </c>
      <c r="G591">
        <v>70.41507</v>
      </c>
      <c r="H591">
        <v>6</v>
      </c>
      <c r="I591">
        <v>54</v>
      </c>
      <c r="J591">
        <v>6</v>
      </c>
      <c r="K591">
        <v>263</v>
      </c>
      <c r="L591">
        <v>59</v>
      </c>
      <c r="M591">
        <v>21</v>
      </c>
      <c r="N591">
        <v>1995</v>
      </c>
      <c r="O591">
        <v>0.27</v>
      </c>
      <c r="P591">
        <v>2.4700000000000002</v>
      </c>
      <c r="Q591">
        <v>1.4999999999999999E-2</v>
      </c>
      <c r="R591">
        <v>60</v>
      </c>
      <c r="S591">
        <v>700</v>
      </c>
      <c r="T591">
        <v>475</v>
      </c>
      <c r="U591">
        <v>275</v>
      </c>
      <c r="V591">
        <v>370</v>
      </c>
      <c r="W591">
        <v>155</v>
      </c>
    </row>
    <row r="592" spans="1:23">
      <c r="A592">
        <v>362.77172287170418</v>
      </c>
      <c r="B592">
        <v>56</v>
      </c>
      <c r="C592">
        <v>4.5346465358963028</v>
      </c>
      <c r="D592">
        <v>454.1232</v>
      </c>
      <c r="E592">
        <v>687.43568464730288</v>
      </c>
      <c r="F592">
        <v>167.74690000000001</v>
      </c>
      <c r="G592">
        <v>70.344399999999993</v>
      </c>
      <c r="H592">
        <v>9</v>
      </c>
      <c r="I592">
        <v>60</v>
      </c>
      <c r="J592">
        <v>3</v>
      </c>
      <c r="K592">
        <v>70</v>
      </c>
      <c r="L592">
        <v>53</v>
      </c>
      <c r="M592">
        <v>8</v>
      </c>
      <c r="N592">
        <v>1995</v>
      </c>
      <c r="O592">
        <v>0.27</v>
      </c>
      <c r="P592">
        <v>2.4700000000000002</v>
      </c>
      <c r="Q592">
        <v>1.4999999999999999E-2</v>
      </c>
      <c r="R592">
        <v>60</v>
      </c>
      <c r="S592">
        <v>700</v>
      </c>
      <c r="T592">
        <v>475</v>
      </c>
      <c r="U592">
        <v>275</v>
      </c>
      <c r="V592">
        <v>370</v>
      </c>
      <c r="W592">
        <v>155</v>
      </c>
    </row>
    <row r="593" spans="1:23">
      <c r="A593">
        <v>362.46527689660758</v>
      </c>
      <c r="B593">
        <v>56</v>
      </c>
      <c r="C593">
        <v>4.5308159612075958</v>
      </c>
      <c r="D593">
        <v>452.64960000000002</v>
      </c>
      <c r="E593">
        <v>691.93360995850628</v>
      </c>
      <c r="F593">
        <v>159.30959999999999</v>
      </c>
      <c r="G593">
        <v>70.37136000000001</v>
      </c>
      <c r="H593">
        <v>8</v>
      </c>
      <c r="I593">
        <v>59</v>
      </c>
      <c r="J593">
        <v>4</v>
      </c>
      <c r="K593">
        <v>59</v>
      </c>
      <c r="L593">
        <v>47</v>
      </c>
      <c r="M593">
        <v>3</v>
      </c>
      <c r="N593">
        <v>1995</v>
      </c>
      <c r="O593">
        <v>0.27</v>
      </c>
      <c r="P593">
        <v>2.4700000000000002</v>
      </c>
      <c r="Q593">
        <v>1.4999999999999999E-2</v>
      </c>
      <c r="R593">
        <v>60</v>
      </c>
      <c r="S593">
        <v>700</v>
      </c>
      <c r="T593">
        <v>475</v>
      </c>
      <c r="U593">
        <v>275</v>
      </c>
      <c r="V593">
        <v>370</v>
      </c>
      <c r="W593">
        <v>155</v>
      </c>
    </row>
    <row r="594" spans="1:23">
      <c r="A594">
        <v>311.45352762628039</v>
      </c>
      <c r="B594">
        <v>48.129729729729732</v>
      </c>
      <c r="C594">
        <v>4.5297879411054929</v>
      </c>
      <c r="D594">
        <v>438.93869999999998</v>
      </c>
      <c r="E594">
        <v>691.55740938750978</v>
      </c>
      <c r="F594">
        <v>254.8005</v>
      </c>
      <c r="G594">
        <v>60.461400000000012</v>
      </c>
      <c r="H594">
        <v>96</v>
      </c>
      <c r="I594">
        <v>61</v>
      </c>
      <c r="J594">
        <v>39</v>
      </c>
      <c r="K594">
        <v>217</v>
      </c>
      <c r="L594">
        <v>51</v>
      </c>
      <c r="M594">
        <v>18</v>
      </c>
      <c r="N594">
        <v>1995</v>
      </c>
      <c r="O594">
        <v>0.27</v>
      </c>
      <c r="P594">
        <v>2.4700000000000002</v>
      </c>
      <c r="Q594">
        <v>1.4999999999999999E-2</v>
      </c>
      <c r="R594">
        <v>60</v>
      </c>
      <c r="S594">
        <v>700</v>
      </c>
      <c r="T594">
        <v>475</v>
      </c>
      <c r="U594">
        <v>275</v>
      </c>
      <c r="V594">
        <v>370</v>
      </c>
      <c r="W594">
        <v>155</v>
      </c>
    </row>
    <row r="595" spans="1:23">
      <c r="A595">
        <v>362.37231216220528</v>
      </c>
      <c r="B595">
        <v>56</v>
      </c>
      <c r="C595">
        <v>4.529653902027567</v>
      </c>
      <c r="D595">
        <v>422.7192</v>
      </c>
      <c r="E595">
        <v>690.32365145228221</v>
      </c>
      <c r="F595">
        <v>171.00720000000001</v>
      </c>
      <c r="G595">
        <v>70.322400000000002</v>
      </c>
      <c r="H595">
        <v>8</v>
      </c>
      <c r="I595">
        <v>48</v>
      </c>
      <c r="J595">
        <v>5</v>
      </c>
      <c r="K595">
        <v>191</v>
      </c>
      <c r="L595">
        <v>54</v>
      </c>
      <c r="M595">
        <v>4</v>
      </c>
      <c r="N595">
        <v>1995</v>
      </c>
      <c r="O595">
        <v>0.27</v>
      </c>
      <c r="P595">
        <v>2.4700000000000002</v>
      </c>
      <c r="Q595">
        <v>1.4999999999999999E-2</v>
      </c>
      <c r="R595">
        <v>60</v>
      </c>
      <c r="S595">
        <v>700</v>
      </c>
      <c r="T595">
        <v>475</v>
      </c>
      <c r="U595">
        <v>275</v>
      </c>
      <c r="V595">
        <v>370</v>
      </c>
      <c r="W595">
        <v>155</v>
      </c>
    </row>
    <row r="596" spans="1:23">
      <c r="A596">
        <v>362.07661283935289</v>
      </c>
      <c r="B596">
        <v>56</v>
      </c>
      <c r="C596">
        <v>4.5259576604919109</v>
      </c>
      <c r="D596">
        <v>422.49311999999998</v>
      </c>
      <c r="E596">
        <v>691.51335903003269</v>
      </c>
      <c r="F596">
        <v>164.26032000000001</v>
      </c>
      <c r="G596">
        <v>70.287840000000003</v>
      </c>
      <c r="H596">
        <v>8</v>
      </c>
      <c r="I596">
        <v>56</v>
      </c>
      <c r="J596">
        <v>4</v>
      </c>
      <c r="K596">
        <v>313</v>
      </c>
      <c r="L596">
        <v>57</v>
      </c>
      <c r="M596">
        <v>28</v>
      </c>
      <c r="N596">
        <v>1995</v>
      </c>
      <c r="O596">
        <v>0.27</v>
      </c>
      <c r="P596">
        <v>2.4700000000000002</v>
      </c>
      <c r="Q596">
        <v>1.4999999999999999E-2</v>
      </c>
      <c r="R596">
        <v>60</v>
      </c>
      <c r="S596">
        <v>700</v>
      </c>
      <c r="T596">
        <v>475</v>
      </c>
      <c r="U596">
        <v>275</v>
      </c>
      <c r="V596">
        <v>370</v>
      </c>
      <c r="W596">
        <v>155</v>
      </c>
    </row>
    <row r="597" spans="1:23">
      <c r="A597">
        <v>362.05631969627609</v>
      </c>
      <c r="B597">
        <v>56</v>
      </c>
      <c r="C597">
        <v>4.5257039962034522</v>
      </c>
      <c r="D597">
        <v>455.87700000000001</v>
      </c>
      <c r="E597">
        <v>681.74439834024895</v>
      </c>
      <c r="F597">
        <v>168.33150000000001</v>
      </c>
      <c r="G597">
        <v>70.096500000000006</v>
      </c>
      <c r="H597">
        <v>9</v>
      </c>
      <c r="I597">
        <v>59</v>
      </c>
      <c r="J597">
        <v>3</v>
      </c>
      <c r="K597">
        <v>71</v>
      </c>
      <c r="L597">
        <v>54</v>
      </c>
      <c r="M597">
        <v>7</v>
      </c>
      <c r="N597">
        <v>1995</v>
      </c>
      <c r="O597">
        <v>0.27</v>
      </c>
      <c r="P597">
        <v>2.4700000000000002</v>
      </c>
      <c r="Q597">
        <v>1.4999999999999999E-2</v>
      </c>
      <c r="R597">
        <v>60</v>
      </c>
      <c r="S597">
        <v>700</v>
      </c>
      <c r="T597">
        <v>475</v>
      </c>
      <c r="U597">
        <v>275</v>
      </c>
      <c r="V597">
        <v>370</v>
      </c>
      <c r="W597">
        <v>155</v>
      </c>
    </row>
    <row r="598" spans="1:23">
      <c r="A598">
        <v>339.17758194085849</v>
      </c>
      <c r="B598">
        <v>52.5</v>
      </c>
      <c r="C598">
        <v>4.5223677592114484</v>
      </c>
      <c r="D598">
        <v>408.96</v>
      </c>
      <c r="E598">
        <v>691.09137546511329</v>
      </c>
      <c r="F598">
        <v>194.04</v>
      </c>
      <c r="G598">
        <v>65.834999999999994</v>
      </c>
      <c r="H598">
        <v>22</v>
      </c>
      <c r="I598">
        <v>54</v>
      </c>
      <c r="J598">
        <v>3</v>
      </c>
      <c r="K598">
        <v>301</v>
      </c>
      <c r="L598">
        <v>58</v>
      </c>
      <c r="M598">
        <v>2</v>
      </c>
      <c r="N598">
        <v>1995</v>
      </c>
      <c r="O598">
        <v>0.27</v>
      </c>
      <c r="P598">
        <v>2.4700000000000002</v>
      </c>
      <c r="Q598">
        <v>1.4999999999999999E-2</v>
      </c>
      <c r="R598">
        <v>60</v>
      </c>
      <c r="S598">
        <v>700</v>
      </c>
      <c r="T598">
        <v>475</v>
      </c>
      <c r="U598">
        <v>275</v>
      </c>
      <c r="V598">
        <v>370</v>
      </c>
      <c r="W598">
        <v>155</v>
      </c>
    </row>
    <row r="599" spans="1:23">
      <c r="A599">
        <v>361.77792217747748</v>
      </c>
      <c r="B599">
        <v>56.000000000000007</v>
      </c>
      <c r="C599">
        <v>4.5222240272184688</v>
      </c>
      <c r="D599">
        <v>454.7448</v>
      </c>
      <c r="E599">
        <v>688.99585062240669</v>
      </c>
      <c r="F599">
        <v>167.86160000000001</v>
      </c>
      <c r="G599">
        <v>70.181600000000003</v>
      </c>
      <c r="H599">
        <v>9</v>
      </c>
      <c r="I599">
        <v>44</v>
      </c>
      <c r="J599">
        <v>4</v>
      </c>
      <c r="K599">
        <v>97</v>
      </c>
      <c r="L599">
        <v>56</v>
      </c>
      <c r="M599">
        <v>10</v>
      </c>
      <c r="N599">
        <v>1995</v>
      </c>
      <c r="O599">
        <v>0.27</v>
      </c>
      <c r="P599">
        <v>2.4700000000000002</v>
      </c>
      <c r="Q599">
        <v>1.4999999999999999E-2</v>
      </c>
      <c r="R599">
        <v>60</v>
      </c>
      <c r="S599">
        <v>700</v>
      </c>
      <c r="T599">
        <v>475</v>
      </c>
      <c r="U599">
        <v>275</v>
      </c>
      <c r="V599">
        <v>370</v>
      </c>
      <c r="W599">
        <v>155</v>
      </c>
    </row>
    <row r="600" spans="1:23">
      <c r="A600">
        <v>325.56710540062687</v>
      </c>
      <c r="B600">
        <v>50.4</v>
      </c>
      <c r="C600">
        <v>4.5217653527864847</v>
      </c>
      <c r="D600">
        <v>434.04552000000001</v>
      </c>
      <c r="E600">
        <v>690.13941908713696</v>
      </c>
      <c r="F600">
        <v>268.30475999999999</v>
      </c>
      <c r="G600">
        <v>63.176760000000009</v>
      </c>
      <c r="H600">
        <v>96</v>
      </c>
      <c r="I600">
        <v>63</v>
      </c>
      <c r="J600">
        <v>40</v>
      </c>
      <c r="K600">
        <v>252</v>
      </c>
      <c r="L600">
        <v>47</v>
      </c>
      <c r="M600">
        <v>18</v>
      </c>
      <c r="N600">
        <v>1995</v>
      </c>
      <c r="O600">
        <v>0.27</v>
      </c>
      <c r="P600">
        <v>2.4700000000000002</v>
      </c>
      <c r="Q600">
        <v>1.4999999999999999E-2</v>
      </c>
      <c r="R600">
        <v>60</v>
      </c>
      <c r="S600">
        <v>700</v>
      </c>
      <c r="T600">
        <v>475</v>
      </c>
      <c r="U600">
        <v>275</v>
      </c>
      <c r="V600">
        <v>370</v>
      </c>
      <c r="W600">
        <v>155</v>
      </c>
    </row>
    <row r="601" spans="1:23">
      <c r="A601">
        <v>361.71613222053332</v>
      </c>
      <c r="B601">
        <v>56</v>
      </c>
      <c r="C601">
        <v>4.5214516527566664</v>
      </c>
      <c r="D601">
        <v>405.12779999999998</v>
      </c>
      <c r="E601">
        <v>691.55186721991709</v>
      </c>
      <c r="F601">
        <v>165.36779999999999</v>
      </c>
      <c r="G601">
        <v>70.218600000000009</v>
      </c>
      <c r="H601">
        <v>6</v>
      </c>
      <c r="I601">
        <v>54</v>
      </c>
      <c r="J601">
        <v>6</v>
      </c>
      <c r="K601">
        <v>267</v>
      </c>
      <c r="L601">
        <v>59</v>
      </c>
      <c r="M601">
        <v>20</v>
      </c>
      <c r="N601">
        <v>1995</v>
      </c>
      <c r="O601">
        <v>0.27</v>
      </c>
      <c r="P601">
        <v>2.4700000000000002</v>
      </c>
      <c r="Q601">
        <v>1.4999999999999999E-2</v>
      </c>
      <c r="R601">
        <v>60</v>
      </c>
      <c r="S601">
        <v>700</v>
      </c>
      <c r="T601">
        <v>475</v>
      </c>
      <c r="U601">
        <v>275</v>
      </c>
      <c r="V601">
        <v>370</v>
      </c>
      <c r="W601">
        <v>155</v>
      </c>
    </row>
    <row r="602" spans="1:23">
      <c r="A602">
        <v>361.26225082415402</v>
      </c>
      <c r="B602">
        <v>56</v>
      </c>
      <c r="C602">
        <v>4.5157781353019244</v>
      </c>
      <c r="D602">
        <v>992.42399999999998</v>
      </c>
      <c r="E602">
        <v>681.39107611211853</v>
      </c>
      <c r="F602">
        <v>161.49600000000001</v>
      </c>
      <c r="G602">
        <v>69.936000000000007</v>
      </c>
      <c r="H602">
        <v>2</v>
      </c>
      <c r="I602">
        <v>52</v>
      </c>
      <c r="J602">
        <v>8</v>
      </c>
      <c r="K602">
        <v>124</v>
      </c>
      <c r="L602">
        <v>60</v>
      </c>
      <c r="M602">
        <v>22</v>
      </c>
      <c r="N602">
        <v>1995</v>
      </c>
      <c r="O602">
        <v>0.27</v>
      </c>
      <c r="P602">
        <v>2.4700000000000002</v>
      </c>
      <c r="Q602">
        <v>1.4999999999999999E-2</v>
      </c>
      <c r="R602">
        <v>60</v>
      </c>
      <c r="S602">
        <v>700</v>
      </c>
      <c r="T602">
        <v>475</v>
      </c>
      <c r="U602">
        <v>275</v>
      </c>
      <c r="V602">
        <v>370</v>
      </c>
      <c r="W602">
        <v>155</v>
      </c>
    </row>
    <row r="603" spans="1:23">
      <c r="A603">
        <v>360.92235816112412</v>
      </c>
      <c r="B603">
        <v>56.000000000000007</v>
      </c>
      <c r="C603">
        <v>4.5115294770140508</v>
      </c>
      <c r="D603">
        <v>443.9704000000001</v>
      </c>
      <c r="E603">
        <v>687.22687647247096</v>
      </c>
      <c r="F603">
        <v>163.59180000000001</v>
      </c>
      <c r="G603">
        <v>69.981800000000021</v>
      </c>
      <c r="H603">
        <v>7</v>
      </c>
      <c r="I603">
        <v>55</v>
      </c>
      <c r="J603">
        <v>5</v>
      </c>
      <c r="K603">
        <v>327</v>
      </c>
      <c r="L603">
        <v>58</v>
      </c>
      <c r="M603">
        <v>27</v>
      </c>
      <c r="N603">
        <v>1995</v>
      </c>
      <c r="O603">
        <v>0.27</v>
      </c>
      <c r="P603">
        <v>2.4700000000000002</v>
      </c>
      <c r="Q603">
        <v>1.4999999999999999E-2</v>
      </c>
      <c r="R603">
        <v>60</v>
      </c>
      <c r="S603">
        <v>700</v>
      </c>
      <c r="T603">
        <v>475</v>
      </c>
      <c r="U603">
        <v>275</v>
      </c>
      <c r="V603">
        <v>370</v>
      </c>
      <c r="W603">
        <v>155</v>
      </c>
    </row>
    <row r="604" spans="1:23">
      <c r="A604">
        <v>360.84777884989518</v>
      </c>
      <c r="B604">
        <v>56.000000000000007</v>
      </c>
      <c r="C604">
        <v>4.5105972356236892</v>
      </c>
      <c r="D604">
        <v>426.08469000000008</v>
      </c>
      <c r="E604">
        <v>686.93715320889078</v>
      </c>
      <c r="F604">
        <v>165.61236</v>
      </c>
      <c r="G604">
        <v>69.961799999999997</v>
      </c>
      <c r="H604">
        <v>8</v>
      </c>
      <c r="I604">
        <v>57</v>
      </c>
      <c r="J604">
        <v>4</v>
      </c>
      <c r="K604">
        <v>314</v>
      </c>
      <c r="L604">
        <v>57</v>
      </c>
      <c r="M604">
        <v>19</v>
      </c>
      <c r="N604">
        <v>1995</v>
      </c>
      <c r="O604">
        <v>0.27</v>
      </c>
      <c r="P604">
        <v>2.4700000000000002</v>
      </c>
      <c r="Q604">
        <v>1.4999999999999999E-2</v>
      </c>
      <c r="R604">
        <v>60</v>
      </c>
      <c r="S604">
        <v>700</v>
      </c>
      <c r="T604">
        <v>475</v>
      </c>
      <c r="U604">
        <v>275</v>
      </c>
      <c r="V604">
        <v>370</v>
      </c>
      <c r="W604">
        <v>155</v>
      </c>
    </row>
    <row r="605" spans="1:23">
      <c r="A605">
        <v>338.27984502626862</v>
      </c>
      <c r="B605">
        <v>52.500000000000007</v>
      </c>
      <c r="C605">
        <v>4.5103979336835804</v>
      </c>
      <c r="D605">
        <v>384.59280000000001</v>
      </c>
      <c r="E605">
        <v>691.76269588314267</v>
      </c>
      <c r="F605">
        <v>192.29640000000001</v>
      </c>
      <c r="G605">
        <v>65.672780000000003</v>
      </c>
      <c r="H605">
        <v>22</v>
      </c>
      <c r="I605">
        <v>51</v>
      </c>
      <c r="J605">
        <v>3</v>
      </c>
      <c r="K605">
        <v>211</v>
      </c>
      <c r="L605">
        <v>62</v>
      </c>
      <c r="M605">
        <v>23</v>
      </c>
      <c r="N605">
        <v>1995</v>
      </c>
      <c r="O605">
        <v>0.27</v>
      </c>
      <c r="P605">
        <v>2.4700000000000002</v>
      </c>
      <c r="Q605">
        <v>1.4999999999999999E-2</v>
      </c>
      <c r="R605">
        <v>60</v>
      </c>
      <c r="S605">
        <v>700</v>
      </c>
      <c r="T605">
        <v>475</v>
      </c>
      <c r="U605">
        <v>275</v>
      </c>
      <c r="V605">
        <v>370</v>
      </c>
      <c r="W605">
        <v>155</v>
      </c>
    </row>
    <row r="606" spans="1:23">
      <c r="A606">
        <v>360.78199944180727</v>
      </c>
      <c r="B606">
        <v>56</v>
      </c>
      <c r="C606">
        <v>4.5097749930225914</v>
      </c>
      <c r="D606">
        <v>968.53728000000001</v>
      </c>
      <c r="E606">
        <v>681.69715123964988</v>
      </c>
      <c r="F606">
        <v>161.03664000000001</v>
      </c>
      <c r="G606">
        <v>69.848880000000008</v>
      </c>
      <c r="H606">
        <v>2</v>
      </c>
      <c r="I606">
        <v>52</v>
      </c>
      <c r="J606">
        <v>8</v>
      </c>
      <c r="K606">
        <v>333</v>
      </c>
      <c r="L606">
        <v>61</v>
      </c>
      <c r="M606">
        <v>22</v>
      </c>
      <c r="N606">
        <v>1995</v>
      </c>
      <c r="O606">
        <v>0.27</v>
      </c>
      <c r="P606">
        <v>2.4700000000000002</v>
      </c>
      <c r="Q606">
        <v>1.4999999999999999E-2</v>
      </c>
      <c r="R606">
        <v>60</v>
      </c>
      <c r="S606">
        <v>700</v>
      </c>
      <c r="T606">
        <v>475</v>
      </c>
      <c r="U606">
        <v>275</v>
      </c>
      <c r="V606">
        <v>370</v>
      </c>
      <c r="W606">
        <v>155</v>
      </c>
    </row>
    <row r="607" spans="1:23">
      <c r="A607">
        <v>360.74985355850117</v>
      </c>
      <c r="B607">
        <v>56.000000000000007</v>
      </c>
      <c r="C607">
        <v>4.5093731694812647</v>
      </c>
      <c r="D607">
        <v>430.20227999999997</v>
      </c>
      <c r="E607">
        <v>688.00829875518662</v>
      </c>
      <c r="F607">
        <v>166.59414000000001</v>
      </c>
      <c r="G607">
        <v>69.963288000000006</v>
      </c>
      <c r="H607">
        <v>7</v>
      </c>
      <c r="I607">
        <v>57</v>
      </c>
      <c r="J607">
        <v>5</v>
      </c>
      <c r="K607">
        <v>331</v>
      </c>
      <c r="L607">
        <v>56</v>
      </c>
      <c r="M607">
        <v>9</v>
      </c>
      <c r="N607">
        <v>1995</v>
      </c>
      <c r="O607">
        <v>0.27</v>
      </c>
      <c r="P607">
        <v>2.4700000000000002</v>
      </c>
      <c r="Q607">
        <v>1.4999999999999999E-2</v>
      </c>
      <c r="R607">
        <v>60</v>
      </c>
      <c r="S607">
        <v>700</v>
      </c>
      <c r="T607">
        <v>475</v>
      </c>
      <c r="U607">
        <v>275</v>
      </c>
      <c r="V607">
        <v>370</v>
      </c>
      <c r="W607">
        <v>155</v>
      </c>
    </row>
    <row r="608" spans="1:23">
      <c r="A608">
        <v>360.68376588299179</v>
      </c>
      <c r="B608">
        <v>56.000000000000007</v>
      </c>
      <c r="C608">
        <v>4.5085470735373967</v>
      </c>
      <c r="D608">
        <v>577.23699999999997</v>
      </c>
      <c r="E608">
        <v>689.64765248112758</v>
      </c>
      <c r="F608">
        <v>163.59180000000001</v>
      </c>
      <c r="G608">
        <v>69.981800000000021</v>
      </c>
      <c r="H608">
        <v>7</v>
      </c>
      <c r="I608">
        <v>55</v>
      </c>
      <c r="J608">
        <v>5</v>
      </c>
      <c r="K608">
        <v>148</v>
      </c>
      <c r="L608">
        <v>58</v>
      </c>
      <c r="M608">
        <v>27</v>
      </c>
      <c r="N608">
        <v>1995</v>
      </c>
      <c r="O608">
        <v>0.27</v>
      </c>
      <c r="P608">
        <v>2.4700000000000002</v>
      </c>
      <c r="Q608">
        <v>1.4999999999999999E-2</v>
      </c>
      <c r="R608">
        <v>60</v>
      </c>
      <c r="S608">
        <v>700</v>
      </c>
      <c r="T608">
        <v>475</v>
      </c>
      <c r="U608">
        <v>275</v>
      </c>
      <c r="V608">
        <v>370</v>
      </c>
      <c r="W608">
        <v>155</v>
      </c>
    </row>
    <row r="609" spans="1:23">
      <c r="A609">
        <v>360.63659006976968</v>
      </c>
      <c r="B609">
        <v>56.000000000000007</v>
      </c>
      <c r="C609">
        <v>4.5079573758721212</v>
      </c>
      <c r="D609">
        <v>405.62063999999998</v>
      </c>
      <c r="E609">
        <v>688.80995850622412</v>
      </c>
      <c r="F609">
        <v>165.86063999999999</v>
      </c>
      <c r="G609">
        <v>69.956639999999993</v>
      </c>
      <c r="H609">
        <v>6</v>
      </c>
      <c r="I609">
        <v>54</v>
      </c>
      <c r="J609">
        <v>6</v>
      </c>
      <c r="K609">
        <v>203</v>
      </c>
      <c r="L609">
        <v>59</v>
      </c>
      <c r="M609">
        <v>24</v>
      </c>
      <c r="N609">
        <v>1995</v>
      </c>
      <c r="O609">
        <v>0.27</v>
      </c>
      <c r="P609">
        <v>2.4700000000000002</v>
      </c>
      <c r="Q609">
        <v>1.4999999999999999E-2</v>
      </c>
      <c r="R609">
        <v>60</v>
      </c>
      <c r="S609">
        <v>700</v>
      </c>
      <c r="T609">
        <v>475</v>
      </c>
      <c r="U609">
        <v>275</v>
      </c>
      <c r="V609">
        <v>370</v>
      </c>
      <c r="W609">
        <v>155</v>
      </c>
    </row>
    <row r="610" spans="1:23">
      <c r="A610">
        <v>360.59522132345631</v>
      </c>
      <c r="B610">
        <v>56</v>
      </c>
      <c r="C610">
        <v>4.5074402665432034</v>
      </c>
      <c r="D610">
        <v>436.08544000000012</v>
      </c>
      <c r="E610">
        <v>689.86224066390048</v>
      </c>
      <c r="F610">
        <v>168.68472</v>
      </c>
      <c r="G610">
        <v>69.968720000000005</v>
      </c>
      <c r="H610">
        <v>7</v>
      </c>
      <c r="I610">
        <v>58</v>
      </c>
      <c r="J610">
        <v>5</v>
      </c>
      <c r="K610">
        <v>1</v>
      </c>
      <c r="L610">
        <v>54</v>
      </c>
      <c r="M610">
        <v>4</v>
      </c>
      <c r="N610">
        <v>1995</v>
      </c>
      <c r="O610">
        <v>0.27</v>
      </c>
      <c r="P610">
        <v>2.4700000000000002</v>
      </c>
      <c r="Q610">
        <v>1.4999999999999999E-2</v>
      </c>
      <c r="R610">
        <v>60</v>
      </c>
      <c r="S610">
        <v>700</v>
      </c>
      <c r="T610">
        <v>475</v>
      </c>
      <c r="U610">
        <v>275</v>
      </c>
      <c r="V610">
        <v>370</v>
      </c>
      <c r="W610">
        <v>155</v>
      </c>
    </row>
    <row r="611" spans="1:23">
      <c r="A611">
        <v>360.46304368898763</v>
      </c>
      <c r="B611">
        <v>56.000000000000007</v>
      </c>
      <c r="C611">
        <v>4.505788046112345</v>
      </c>
      <c r="D611">
        <v>427.62527999999998</v>
      </c>
      <c r="E611">
        <v>690.57261410788385</v>
      </c>
      <c r="F611">
        <v>165.86063999999999</v>
      </c>
      <c r="G611">
        <v>69.956639999999993</v>
      </c>
      <c r="H611">
        <v>6</v>
      </c>
      <c r="I611">
        <v>54</v>
      </c>
      <c r="J611">
        <v>6</v>
      </c>
      <c r="K611">
        <v>242</v>
      </c>
      <c r="L611">
        <v>59</v>
      </c>
      <c r="M611">
        <v>18</v>
      </c>
      <c r="N611">
        <v>1995</v>
      </c>
      <c r="O611">
        <v>0.27</v>
      </c>
      <c r="P611">
        <v>2.4700000000000002</v>
      </c>
      <c r="Q611">
        <v>1.4999999999999999E-2</v>
      </c>
      <c r="R611">
        <v>60</v>
      </c>
      <c r="S611">
        <v>700</v>
      </c>
      <c r="T611">
        <v>475</v>
      </c>
      <c r="U611">
        <v>275</v>
      </c>
      <c r="V611">
        <v>370</v>
      </c>
      <c r="W611">
        <v>155</v>
      </c>
    </row>
    <row r="612" spans="1:23">
      <c r="A612">
        <v>360.46304368898763</v>
      </c>
      <c r="B612">
        <v>56.000000000000007</v>
      </c>
      <c r="C612">
        <v>4.505788046112345</v>
      </c>
      <c r="D612">
        <v>427.62527999999998</v>
      </c>
      <c r="E612">
        <v>690.57261410788385</v>
      </c>
      <c r="F612">
        <v>165.86063999999999</v>
      </c>
      <c r="G612">
        <v>69.956639999999993</v>
      </c>
      <c r="H612">
        <v>6</v>
      </c>
      <c r="I612">
        <v>54</v>
      </c>
      <c r="J612">
        <v>6</v>
      </c>
      <c r="K612">
        <v>243</v>
      </c>
      <c r="L612">
        <v>59</v>
      </c>
      <c r="M612">
        <v>18</v>
      </c>
      <c r="N612">
        <v>1995</v>
      </c>
      <c r="O612">
        <v>0.27</v>
      </c>
      <c r="P612">
        <v>2.4700000000000002</v>
      </c>
      <c r="Q612">
        <v>1.4999999999999999E-2</v>
      </c>
      <c r="R612">
        <v>60</v>
      </c>
      <c r="S612">
        <v>700</v>
      </c>
      <c r="T612">
        <v>475</v>
      </c>
      <c r="U612">
        <v>275</v>
      </c>
      <c r="V612">
        <v>370</v>
      </c>
      <c r="W612">
        <v>155</v>
      </c>
    </row>
    <row r="613" spans="1:23">
      <c r="A613">
        <v>360.26198766522049</v>
      </c>
      <c r="B613">
        <v>56.000000000000007</v>
      </c>
      <c r="C613">
        <v>4.5032748458152572</v>
      </c>
      <c r="D613">
        <v>445.31760000000003</v>
      </c>
      <c r="E613">
        <v>690.63023202262445</v>
      </c>
      <c r="F613">
        <v>159.25319999999999</v>
      </c>
      <c r="G613">
        <v>69.918720000000008</v>
      </c>
      <c r="H613">
        <v>8</v>
      </c>
      <c r="I613">
        <v>58</v>
      </c>
      <c r="J613">
        <v>4</v>
      </c>
      <c r="K613">
        <v>305</v>
      </c>
      <c r="L613">
        <v>48</v>
      </c>
      <c r="M613">
        <v>3</v>
      </c>
      <c r="N613">
        <v>1995</v>
      </c>
      <c r="O613">
        <v>0.27</v>
      </c>
      <c r="P613">
        <v>2.4700000000000002</v>
      </c>
      <c r="Q613">
        <v>1.4999999999999999E-2</v>
      </c>
      <c r="R613">
        <v>60</v>
      </c>
      <c r="S613">
        <v>700</v>
      </c>
      <c r="T613">
        <v>475</v>
      </c>
      <c r="U613">
        <v>275</v>
      </c>
      <c r="V613">
        <v>370</v>
      </c>
      <c r="W613">
        <v>155</v>
      </c>
    </row>
    <row r="614" spans="1:23">
      <c r="A614">
        <v>360.16331801796781</v>
      </c>
      <c r="B614">
        <v>56.000000000000007</v>
      </c>
      <c r="C614">
        <v>4.5020414752245967</v>
      </c>
      <c r="D614">
        <v>402.08640000000003</v>
      </c>
      <c r="E614">
        <v>691.64315352697099</v>
      </c>
      <c r="F614">
        <v>164.82390000000001</v>
      </c>
      <c r="G614">
        <v>69.918899999999994</v>
      </c>
      <c r="H614">
        <v>9</v>
      </c>
      <c r="I614">
        <v>57</v>
      </c>
      <c r="J614">
        <v>3</v>
      </c>
      <c r="K614">
        <v>266</v>
      </c>
      <c r="L614">
        <v>55</v>
      </c>
      <c r="M614">
        <v>24</v>
      </c>
      <c r="N614">
        <v>1995</v>
      </c>
      <c r="O614">
        <v>0.27</v>
      </c>
      <c r="P614">
        <v>2.4700000000000002</v>
      </c>
      <c r="Q614">
        <v>1.4999999999999999E-2</v>
      </c>
      <c r="R614">
        <v>60</v>
      </c>
      <c r="S614">
        <v>700</v>
      </c>
      <c r="T614">
        <v>475</v>
      </c>
      <c r="U614">
        <v>275</v>
      </c>
      <c r="V614">
        <v>370</v>
      </c>
      <c r="W614">
        <v>155</v>
      </c>
    </row>
    <row r="615" spans="1:23">
      <c r="A615">
        <v>360.08359678892629</v>
      </c>
      <c r="B615">
        <v>56</v>
      </c>
      <c r="C615">
        <v>4.5010449598615789</v>
      </c>
      <c r="D615">
        <v>421.30716000000001</v>
      </c>
      <c r="E615">
        <v>688.38174273858908</v>
      </c>
      <c r="F615">
        <v>163.58958000000001</v>
      </c>
      <c r="G615">
        <v>69.841200000000001</v>
      </c>
      <c r="H615">
        <v>6</v>
      </c>
      <c r="I615">
        <v>53</v>
      </c>
      <c r="J615">
        <v>6</v>
      </c>
      <c r="K615">
        <v>252</v>
      </c>
      <c r="L615">
        <v>60</v>
      </c>
      <c r="M615">
        <v>27</v>
      </c>
      <c r="N615">
        <v>1995</v>
      </c>
      <c r="O615">
        <v>0.27</v>
      </c>
      <c r="P615">
        <v>2.4700000000000002</v>
      </c>
      <c r="Q615">
        <v>1.4999999999999999E-2</v>
      </c>
      <c r="R615">
        <v>60</v>
      </c>
      <c r="S615">
        <v>700</v>
      </c>
      <c r="T615">
        <v>475</v>
      </c>
      <c r="U615">
        <v>275</v>
      </c>
      <c r="V615">
        <v>370</v>
      </c>
      <c r="W615">
        <v>155</v>
      </c>
    </row>
    <row r="616" spans="1:23">
      <c r="A616">
        <v>359.96824976011868</v>
      </c>
      <c r="B616">
        <v>56.000000000000007</v>
      </c>
      <c r="C616">
        <v>4.4996031220014832</v>
      </c>
      <c r="D616">
        <v>425.20400000000001</v>
      </c>
      <c r="E616">
        <v>688.97277343782582</v>
      </c>
      <c r="F616">
        <v>164.73509999999999</v>
      </c>
      <c r="G616">
        <v>69.830100000000002</v>
      </c>
      <c r="H616">
        <v>9</v>
      </c>
      <c r="I616">
        <v>57</v>
      </c>
      <c r="J616">
        <v>3</v>
      </c>
      <c r="K616">
        <v>187</v>
      </c>
      <c r="L616">
        <v>56</v>
      </c>
      <c r="M616">
        <v>20</v>
      </c>
      <c r="N616">
        <v>1995</v>
      </c>
      <c r="O616">
        <v>0.27</v>
      </c>
      <c r="P616">
        <v>2.4700000000000002</v>
      </c>
      <c r="Q616">
        <v>1.4999999999999999E-2</v>
      </c>
      <c r="R616">
        <v>60</v>
      </c>
      <c r="S616">
        <v>700</v>
      </c>
      <c r="T616">
        <v>475</v>
      </c>
      <c r="U616">
        <v>275</v>
      </c>
      <c r="V616">
        <v>370</v>
      </c>
      <c r="W616">
        <v>155</v>
      </c>
    </row>
    <row r="617" spans="1:23">
      <c r="A617">
        <v>359.9682269549607</v>
      </c>
      <c r="B617">
        <v>56</v>
      </c>
      <c r="C617">
        <v>4.4996028369370089</v>
      </c>
      <c r="D617">
        <v>402.005</v>
      </c>
      <c r="E617">
        <v>689.36099585062243</v>
      </c>
      <c r="F617">
        <v>164.74250000000001</v>
      </c>
      <c r="G617">
        <v>69.837500000000006</v>
      </c>
      <c r="H617">
        <v>9</v>
      </c>
      <c r="I617">
        <v>57</v>
      </c>
      <c r="J617">
        <v>3</v>
      </c>
      <c r="K617">
        <v>205</v>
      </c>
      <c r="L617">
        <v>55</v>
      </c>
      <c r="M617">
        <v>25</v>
      </c>
      <c r="N617">
        <v>1995</v>
      </c>
      <c r="O617">
        <v>0.27</v>
      </c>
      <c r="P617">
        <v>2.4700000000000002</v>
      </c>
      <c r="Q617">
        <v>1.4999999999999999E-2</v>
      </c>
      <c r="R617">
        <v>60</v>
      </c>
      <c r="S617">
        <v>700</v>
      </c>
      <c r="T617">
        <v>475</v>
      </c>
      <c r="U617">
        <v>275</v>
      </c>
      <c r="V617">
        <v>370</v>
      </c>
      <c r="W617">
        <v>155</v>
      </c>
    </row>
    <row r="618" spans="1:23">
      <c r="A618">
        <v>359.75956689507359</v>
      </c>
      <c r="B618">
        <v>56</v>
      </c>
      <c r="C618">
        <v>4.4969945861884204</v>
      </c>
      <c r="D618">
        <v>424.39</v>
      </c>
      <c r="E618">
        <v>691.48475365115087</v>
      </c>
      <c r="F618">
        <v>164.74250000000001</v>
      </c>
      <c r="G618">
        <v>69.837500000000006</v>
      </c>
      <c r="H618">
        <v>9</v>
      </c>
      <c r="I618">
        <v>57</v>
      </c>
      <c r="J618">
        <v>3</v>
      </c>
      <c r="K618">
        <v>211</v>
      </c>
      <c r="L618">
        <v>55</v>
      </c>
      <c r="M618">
        <v>25</v>
      </c>
      <c r="N618">
        <v>1995</v>
      </c>
      <c r="O618">
        <v>0.27</v>
      </c>
      <c r="P618">
        <v>2.4700000000000002</v>
      </c>
      <c r="Q618">
        <v>1.4999999999999999E-2</v>
      </c>
      <c r="R618">
        <v>60</v>
      </c>
      <c r="S618">
        <v>700</v>
      </c>
      <c r="T618">
        <v>475</v>
      </c>
      <c r="U618">
        <v>275</v>
      </c>
      <c r="V618">
        <v>370</v>
      </c>
      <c r="W618">
        <v>155</v>
      </c>
    </row>
    <row r="619" spans="1:23">
      <c r="A619">
        <v>359.65786363608493</v>
      </c>
      <c r="B619">
        <v>56</v>
      </c>
      <c r="C619">
        <v>4.4957232954510609</v>
      </c>
      <c r="D619">
        <v>389.96760000000012</v>
      </c>
      <c r="E619">
        <v>692.24896265560176</v>
      </c>
      <c r="F619">
        <v>159.23159999999999</v>
      </c>
      <c r="G619">
        <v>69.83232000000001</v>
      </c>
      <c r="H619">
        <v>8</v>
      </c>
      <c r="I619">
        <v>58</v>
      </c>
      <c r="J619">
        <v>4</v>
      </c>
      <c r="K619">
        <v>48</v>
      </c>
      <c r="L619">
        <v>56</v>
      </c>
      <c r="M619">
        <v>6</v>
      </c>
      <c r="N619">
        <v>1995</v>
      </c>
      <c r="O619">
        <v>0.27</v>
      </c>
      <c r="P619">
        <v>2.4700000000000002</v>
      </c>
      <c r="Q619">
        <v>1.4999999999999999E-2</v>
      </c>
      <c r="R619">
        <v>60</v>
      </c>
      <c r="S619">
        <v>700</v>
      </c>
      <c r="T619">
        <v>475</v>
      </c>
      <c r="U619">
        <v>275</v>
      </c>
      <c r="V619">
        <v>370</v>
      </c>
      <c r="W619">
        <v>155</v>
      </c>
    </row>
    <row r="620" spans="1:23">
      <c r="A620">
        <v>359.52270160307489</v>
      </c>
      <c r="B620">
        <v>56.000000000000007</v>
      </c>
      <c r="C620">
        <v>4.4940337700384374</v>
      </c>
      <c r="D620">
        <v>440.79764999999998</v>
      </c>
      <c r="E620">
        <v>690.36348547717841</v>
      </c>
      <c r="F620">
        <v>162.62055000000001</v>
      </c>
      <c r="G620">
        <v>69.770160000000004</v>
      </c>
      <c r="H620">
        <v>6</v>
      </c>
      <c r="I620">
        <v>54</v>
      </c>
      <c r="J620">
        <v>6</v>
      </c>
      <c r="K620">
        <v>99</v>
      </c>
      <c r="L620">
        <v>56</v>
      </c>
      <c r="M620">
        <v>9</v>
      </c>
      <c r="N620">
        <v>1995</v>
      </c>
      <c r="O620">
        <v>0.27</v>
      </c>
      <c r="P620">
        <v>2.4700000000000002</v>
      </c>
      <c r="Q620">
        <v>1.4999999999999999E-2</v>
      </c>
      <c r="R620">
        <v>60</v>
      </c>
      <c r="S620">
        <v>700</v>
      </c>
      <c r="T620">
        <v>475</v>
      </c>
      <c r="U620">
        <v>275</v>
      </c>
      <c r="V620">
        <v>370</v>
      </c>
      <c r="W620">
        <v>155</v>
      </c>
    </row>
    <row r="621" spans="1:23">
      <c r="A621">
        <v>348.65270037262479</v>
      </c>
      <c r="B621">
        <v>54.320000000000007</v>
      </c>
      <c r="C621">
        <v>4.4929471697503196</v>
      </c>
      <c r="D621">
        <v>408.05399999999997</v>
      </c>
      <c r="E621">
        <v>687.51113383329721</v>
      </c>
      <c r="F621">
        <v>158.739</v>
      </c>
      <c r="G621">
        <v>67.608000000000004</v>
      </c>
      <c r="H621">
        <v>6</v>
      </c>
      <c r="I621">
        <v>51</v>
      </c>
      <c r="J621">
        <v>6</v>
      </c>
      <c r="K621">
        <v>236</v>
      </c>
      <c r="L621">
        <v>62</v>
      </c>
      <c r="M621">
        <v>20</v>
      </c>
      <c r="N621">
        <v>1995</v>
      </c>
      <c r="O621">
        <v>0.27</v>
      </c>
      <c r="P621">
        <v>2.4700000000000002</v>
      </c>
      <c r="Q621">
        <v>1.4999999999999999E-2</v>
      </c>
      <c r="R621">
        <v>60</v>
      </c>
      <c r="S621">
        <v>700</v>
      </c>
      <c r="T621">
        <v>475</v>
      </c>
      <c r="U621">
        <v>275</v>
      </c>
      <c r="V621">
        <v>370</v>
      </c>
      <c r="W621">
        <v>155</v>
      </c>
    </row>
    <row r="622" spans="1:23">
      <c r="A622">
        <v>359.24716069940268</v>
      </c>
      <c r="B622">
        <v>56</v>
      </c>
      <c r="C622">
        <v>4.4905895087425334</v>
      </c>
      <c r="D622">
        <v>968.04729599999996</v>
      </c>
      <c r="E622">
        <v>683.77166043736202</v>
      </c>
      <c r="F622">
        <v>160.79164800000001</v>
      </c>
      <c r="G622">
        <v>69.591215999999989</v>
      </c>
      <c r="H622">
        <v>2</v>
      </c>
      <c r="I622">
        <v>52</v>
      </c>
      <c r="J622">
        <v>8</v>
      </c>
      <c r="K622">
        <v>85</v>
      </c>
      <c r="L622">
        <v>61</v>
      </c>
      <c r="M622">
        <v>22</v>
      </c>
      <c r="N622">
        <v>1995</v>
      </c>
      <c r="O622">
        <v>0.27</v>
      </c>
      <c r="P622">
        <v>2.4700000000000002</v>
      </c>
      <c r="Q622">
        <v>1.4999999999999999E-2</v>
      </c>
      <c r="R622">
        <v>60</v>
      </c>
      <c r="S622">
        <v>700</v>
      </c>
      <c r="T622">
        <v>475</v>
      </c>
      <c r="U622">
        <v>275</v>
      </c>
      <c r="V622">
        <v>370</v>
      </c>
      <c r="W622">
        <v>155</v>
      </c>
    </row>
    <row r="623" spans="1:23">
      <c r="A623">
        <v>359.12472647083632</v>
      </c>
      <c r="B623">
        <v>56</v>
      </c>
      <c r="C623">
        <v>4.4890590808854531</v>
      </c>
      <c r="D623">
        <v>413.4384</v>
      </c>
      <c r="E623">
        <v>686.31535269709548</v>
      </c>
      <c r="F623">
        <v>167.8509</v>
      </c>
      <c r="G623">
        <v>69.615899999999996</v>
      </c>
      <c r="H623">
        <v>9</v>
      </c>
      <c r="I623">
        <v>59</v>
      </c>
      <c r="J623">
        <v>3</v>
      </c>
      <c r="K623">
        <v>38</v>
      </c>
      <c r="L623">
        <v>54</v>
      </c>
      <c r="M623">
        <v>4</v>
      </c>
      <c r="N623">
        <v>1995</v>
      </c>
      <c r="O623">
        <v>0.27</v>
      </c>
      <c r="P623">
        <v>2.4700000000000002</v>
      </c>
      <c r="Q623">
        <v>1.4999999999999999E-2</v>
      </c>
      <c r="R623">
        <v>60</v>
      </c>
      <c r="S623">
        <v>700</v>
      </c>
      <c r="T623">
        <v>475</v>
      </c>
      <c r="U623">
        <v>275</v>
      </c>
      <c r="V623">
        <v>370</v>
      </c>
      <c r="W623">
        <v>155</v>
      </c>
    </row>
    <row r="624" spans="1:23">
      <c r="A624">
        <v>359.02318205285212</v>
      </c>
      <c r="B624">
        <v>56.000000000000007</v>
      </c>
      <c r="C624">
        <v>4.4877897756606497</v>
      </c>
      <c r="D624">
        <v>415.20328000000001</v>
      </c>
      <c r="E624">
        <v>691.62821576763486</v>
      </c>
      <c r="F624">
        <v>168.41327999999999</v>
      </c>
      <c r="G624">
        <v>69.697279999999992</v>
      </c>
      <c r="H624">
        <v>7</v>
      </c>
      <c r="I624">
        <v>58</v>
      </c>
      <c r="J624">
        <v>5</v>
      </c>
      <c r="K624">
        <v>317</v>
      </c>
      <c r="L624">
        <v>52</v>
      </c>
      <c r="M624">
        <v>4</v>
      </c>
      <c r="N624">
        <v>1995</v>
      </c>
      <c r="O624">
        <v>0.27</v>
      </c>
      <c r="P624">
        <v>2.4700000000000002</v>
      </c>
      <c r="Q624">
        <v>1.4999999999999999E-2</v>
      </c>
      <c r="R624">
        <v>60</v>
      </c>
      <c r="S624">
        <v>700</v>
      </c>
      <c r="T624">
        <v>475</v>
      </c>
      <c r="U624">
        <v>275</v>
      </c>
      <c r="V624">
        <v>370</v>
      </c>
      <c r="W624">
        <v>155</v>
      </c>
    </row>
    <row r="625" spans="1:23">
      <c r="A625">
        <v>336.51904413949671</v>
      </c>
      <c r="B625">
        <v>52.500000000000007</v>
      </c>
      <c r="C625">
        <v>4.4869205885266217</v>
      </c>
      <c r="D625">
        <v>391.0086</v>
      </c>
      <c r="E625">
        <v>685.99143954345948</v>
      </c>
      <c r="F625">
        <v>195.09804</v>
      </c>
      <c r="G625">
        <v>65.228040000000007</v>
      </c>
      <c r="H625">
        <v>22</v>
      </c>
      <c r="I625">
        <v>52</v>
      </c>
      <c r="J625">
        <v>3</v>
      </c>
      <c r="K625">
        <v>187</v>
      </c>
      <c r="L625">
        <v>61</v>
      </c>
      <c r="M625">
        <v>18</v>
      </c>
      <c r="N625">
        <v>1995</v>
      </c>
      <c r="O625">
        <v>0.27</v>
      </c>
      <c r="P625">
        <v>2.4700000000000002</v>
      </c>
      <c r="Q625">
        <v>1.4999999999999999E-2</v>
      </c>
      <c r="R625">
        <v>60</v>
      </c>
      <c r="S625">
        <v>700</v>
      </c>
      <c r="T625">
        <v>475</v>
      </c>
      <c r="U625">
        <v>275</v>
      </c>
      <c r="V625">
        <v>370</v>
      </c>
      <c r="W625">
        <v>155</v>
      </c>
    </row>
    <row r="626" spans="1:23">
      <c r="A626">
        <v>358.72668170392961</v>
      </c>
      <c r="B626">
        <v>56.000000000000007</v>
      </c>
      <c r="C626">
        <v>4.4840835212991204</v>
      </c>
      <c r="D626">
        <v>395.59660000000002</v>
      </c>
      <c r="E626">
        <v>692.73858921161832</v>
      </c>
      <c r="F626">
        <v>162.4966</v>
      </c>
      <c r="G626">
        <v>69.660825000000003</v>
      </c>
      <c r="H626">
        <v>9</v>
      </c>
      <c r="I626">
        <v>56</v>
      </c>
      <c r="J626">
        <v>3</v>
      </c>
      <c r="K626">
        <v>206</v>
      </c>
      <c r="L626">
        <v>57</v>
      </c>
      <c r="M626">
        <v>23</v>
      </c>
      <c r="N626">
        <v>1995</v>
      </c>
      <c r="O626">
        <v>0.27</v>
      </c>
      <c r="P626">
        <v>2.4700000000000002</v>
      </c>
      <c r="Q626">
        <v>1.4999999999999999E-2</v>
      </c>
      <c r="R626">
        <v>60</v>
      </c>
      <c r="S626">
        <v>700</v>
      </c>
      <c r="T626">
        <v>475</v>
      </c>
      <c r="U626">
        <v>275</v>
      </c>
      <c r="V626">
        <v>370</v>
      </c>
      <c r="W626">
        <v>155</v>
      </c>
    </row>
    <row r="627" spans="1:23">
      <c r="A627">
        <v>358.67237897555151</v>
      </c>
      <c r="B627">
        <v>56.000000000000007</v>
      </c>
      <c r="C627">
        <v>4.4834047371943928</v>
      </c>
      <c r="D627">
        <v>416.8272</v>
      </c>
      <c r="E627">
        <v>692.73858921161832</v>
      </c>
      <c r="F627">
        <v>161.7936</v>
      </c>
      <c r="G627">
        <v>69.650279999999995</v>
      </c>
      <c r="H627">
        <v>9</v>
      </c>
      <c r="I627">
        <v>56</v>
      </c>
      <c r="J627">
        <v>3</v>
      </c>
      <c r="K627">
        <v>258</v>
      </c>
      <c r="L627">
        <v>57</v>
      </c>
      <c r="M627">
        <v>21</v>
      </c>
      <c r="N627">
        <v>1995</v>
      </c>
      <c r="O627">
        <v>0.27</v>
      </c>
      <c r="P627">
        <v>2.4700000000000002</v>
      </c>
      <c r="Q627">
        <v>1.4999999999999999E-2</v>
      </c>
      <c r="R627">
        <v>60</v>
      </c>
      <c r="S627">
        <v>700</v>
      </c>
      <c r="T627">
        <v>475</v>
      </c>
      <c r="U627">
        <v>275</v>
      </c>
      <c r="V627">
        <v>370</v>
      </c>
      <c r="W627">
        <v>155</v>
      </c>
    </row>
    <row r="628" spans="1:23">
      <c r="A628">
        <v>358.62240864194769</v>
      </c>
      <c r="B628">
        <v>56</v>
      </c>
      <c r="C628">
        <v>4.4827801080243459</v>
      </c>
      <c r="D628">
        <v>1011.75432</v>
      </c>
      <c r="E628">
        <v>682.98304393311491</v>
      </c>
      <c r="F628">
        <v>163.58320800000001</v>
      </c>
      <c r="G628">
        <v>69.455207999999999</v>
      </c>
      <c r="H628">
        <v>2</v>
      </c>
      <c r="I628">
        <v>53</v>
      </c>
      <c r="J628">
        <v>8</v>
      </c>
      <c r="K628">
        <v>125</v>
      </c>
      <c r="L628">
        <v>59</v>
      </c>
      <c r="M628">
        <v>21</v>
      </c>
      <c r="N628">
        <v>1995</v>
      </c>
      <c r="O628">
        <v>0.27</v>
      </c>
      <c r="P628">
        <v>2.4700000000000002</v>
      </c>
      <c r="Q628">
        <v>1.4999999999999999E-2</v>
      </c>
      <c r="R628">
        <v>60</v>
      </c>
      <c r="S628">
        <v>700</v>
      </c>
      <c r="T628">
        <v>475</v>
      </c>
      <c r="U628">
        <v>275</v>
      </c>
      <c r="V628">
        <v>370</v>
      </c>
      <c r="W628">
        <v>155</v>
      </c>
    </row>
    <row r="629" spans="1:23">
      <c r="A629">
        <v>335.99763247624941</v>
      </c>
      <c r="B629">
        <v>52.500000000000007</v>
      </c>
      <c r="C629">
        <v>4.4799684330166576</v>
      </c>
      <c r="D629">
        <v>389.45607999999999</v>
      </c>
      <c r="E629">
        <v>691.41908713692953</v>
      </c>
      <c r="F629">
        <v>194.72803999999999</v>
      </c>
      <c r="G629">
        <v>65.223600000000005</v>
      </c>
      <c r="H629">
        <v>22</v>
      </c>
      <c r="I629">
        <v>52</v>
      </c>
      <c r="J629">
        <v>3</v>
      </c>
      <c r="K629">
        <v>258</v>
      </c>
      <c r="L629">
        <v>60</v>
      </c>
      <c r="M629">
        <v>19</v>
      </c>
      <c r="N629">
        <v>1995</v>
      </c>
      <c r="O629">
        <v>0.27</v>
      </c>
      <c r="P629">
        <v>2.4700000000000002</v>
      </c>
      <c r="Q629">
        <v>1.4999999999999999E-2</v>
      </c>
      <c r="R629">
        <v>60</v>
      </c>
      <c r="S629">
        <v>700</v>
      </c>
      <c r="T629">
        <v>475</v>
      </c>
      <c r="U629">
        <v>275</v>
      </c>
      <c r="V629">
        <v>370</v>
      </c>
      <c r="W629">
        <v>155</v>
      </c>
    </row>
    <row r="630" spans="1:23">
      <c r="A630">
        <v>335.17661544428779</v>
      </c>
      <c r="B630">
        <v>52.500000000000007</v>
      </c>
      <c r="C630">
        <v>4.4690215392571702</v>
      </c>
      <c r="D630">
        <v>388.44600000000003</v>
      </c>
      <c r="E630">
        <v>691.57535601441339</v>
      </c>
      <c r="F630">
        <v>194.22300000000001</v>
      </c>
      <c r="G630">
        <v>65.066999999999993</v>
      </c>
      <c r="H630">
        <v>22</v>
      </c>
      <c r="I630">
        <v>52</v>
      </c>
      <c r="J630">
        <v>3</v>
      </c>
      <c r="K630">
        <v>303</v>
      </c>
      <c r="L630">
        <v>61</v>
      </c>
      <c r="M630">
        <v>14</v>
      </c>
      <c r="N630">
        <v>1995</v>
      </c>
      <c r="O630">
        <v>0.27</v>
      </c>
      <c r="P630">
        <v>2.4700000000000002</v>
      </c>
      <c r="Q630">
        <v>1.4999999999999999E-2</v>
      </c>
      <c r="R630">
        <v>60</v>
      </c>
      <c r="S630">
        <v>700</v>
      </c>
      <c r="T630">
        <v>475</v>
      </c>
      <c r="U630">
        <v>275</v>
      </c>
      <c r="V630">
        <v>370</v>
      </c>
      <c r="W630">
        <v>155</v>
      </c>
    </row>
    <row r="631" spans="1:23">
      <c r="A631">
        <v>320.63164061469422</v>
      </c>
      <c r="B631">
        <v>50.229729729729733</v>
      </c>
      <c r="C631">
        <v>4.4683128823893359</v>
      </c>
      <c r="D631">
        <v>414.74250000000001</v>
      </c>
      <c r="E631">
        <v>685.5612384375147</v>
      </c>
      <c r="F631">
        <v>183.28874999999999</v>
      </c>
      <c r="G631">
        <v>62.141249999999999</v>
      </c>
      <c r="H631">
        <v>22</v>
      </c>
      <c r="I631">
        <v>48</v>
      </c>
      <c r="J631">
        <v>3</v>
      </c>
      <c r="K631">
        <v>217</v>
      </c>
      <c r="L631">
        <v>65</v>
      </c>
      <c r="M631">
        <v>26</v>
      </c>
      <c r="N631">
        <v>1995</v>
      </c>
      <c r="O631">
        <v>0.27</v>
      </c>
      <c r="P631">
        <v>2.4700000000000002</v>
      </c>
      <c r="Q631">
        <v>1.4999999999999999E-2</v>
      </c>
      <c r="R631">
        <v>60</v>
      </c>
      <c r="S631">
        <v>700</v>
      </c>
      <c r="T631">
        <v>475</v>
      </c>
      <c r="U631">
        <v>275</v>
      </c>
      <c r="V631">
        <v>370</v>
      </c>
      <c r="W631">
        <v>155</v>
      </c>
    </row>
    <row r="632" spans="1:23">
      <c r="A632">
        <v>351.47593505867241</v>
      </c>
      <c r="B632">
        <v>55.125</v>
      </c>
      <c r="C632">
        <v>4.4631864769355234</v>
      </c>
      <c r="D632">
        <v>415.98360000000002</v>
      </c>
      <c r="E632">
        <v>686.24066390041492</v>
      </c>
      <c r="F632">
        <v>206.72640000000001</v>
      </c>
      <c r="G632">
        <v>68.131799999999998</v>
      </c>
      <c r="H632">
        <v>22</v>
      </c>
      <c r="I632">
        <v>56</v>
      </c>
      <c r="J632">
        <v>3</v>
      </c>
      <c r="K632">
        <v>254</v>
      </c>
      <c r="L632">
        <v>57</v>
      </c>
      <c r="M632">
        <v>15</v>
      </c>
      <c r="N632">
        <v>1995</v>
      </c>
      <c r="O632">
        <v>0.27</v>
      </c>
      <c r="P632">
        <v>2.4700000000000002</v>
      </c>
      <c r="Q632">
        <v>1.4999999999999999E-2</v>
      </c>
      <c r="R632">
        <v>60</v>
      </c>
      <c r="S632">
        <v>700</v>
      </c>
      <c r="T632">
        <v>475</v>
      </c>
      <c r="U632">
        <v>275</v>
      </c>
      <c r="V632">
        <v>370</v>
      </c>
      <c r="W632">
        <v>155</v>
      </c>
    </row>
    <row r="633" spans="1:23">
      <c r="A633">
        <v>356.61768213832141</v>
      </c>
      <c r="B633">
        <v>56.000000000000007</v>
      </c>
      <c r="C633">
        <v>4.4577210267290166</v>
      </c>
      <c r="D633">
        <v>390.50835999999998</v>
      </c>
      <c r="E633">
        <v>691.33609958506213</v>
      </c>
      <c r="F633">
        <v>160.73836</v>
      </c>
      <c r="G633">
        <v>69.224779999999996</v>
      </c>
      <c r="H633">
        <v>7</v>
      </c>
      <c r="I633">
        <v>54</v>
      </c>
      <c r="J633">
        <v>5</v>
      </c>
      <c r="K633">
        <v>62</v>
      </c>
      <c r="L633">
        <v>59</v>
      </c>
      <c r="M633">
        <v>26</v>
      </c>
      <c r="N633">
        <v>1995</v>
      </c>
      <c r="O633">
        <v>0.27</v>
      </c>
      <c r="P633">
        <v>2.4700000000000002</v>
      </c>
      <c r="Q633">
        <v>1.4999999999999999E-2</v>
      </c>
      <c r="R633">
        <v>60</v>
      </c>
      <c r="S633">
        <v>700</v>
      </c>
      <c r="T633">
        <v>475</v>
      </c>
      <c r="U633">
        <v>275</v>
      </c>
      <c r="V633">
        <v>370</v>
      </c>
      <c r="W633">
        <v>155</v>
      </c>
    </row>
    <row r="634" spans="1:23">
      <c r="A634">
        <v>356.35285304356489</v>
      </c>
      <c r="B634">
        <v>56</v>
      </c>
      <c r="C634">
        <v>4.4544106630445617</v>
      </c>
      <c r="D634">
        <v>989.66783999999996</v>
      </c>
      <c r="E634">
        <v>681.39107611211853</v>
      </c>
      <c r="F634">
        <v>160.57728</v>
      </c>
      <c r="G634">
        <v>68.985600000000005</v>
      </c>
      <c r="H634">
        <v>2</v>
      </c>
      <c r="I634">
        <v>52</v>
      </c>
      <c r="J634">
        <v>8</v>
      </c>
      <c r="K634">
        <v>41</v>
      </c>
      <c r="L634">
        <v>60</v>
      </c>
      <c r="M634">
        <v>22</v>
      </c>
      <c r="N634">
        <v>1995</v>
      </c>
      <c r="O634">
        <v>0.27</v>
      </c>
      <c r="P634">
        <v>2.4700000000000002</v>
      </c>
      <c r="Q634">
        <v>1.4999999999999999E-2</v>
      </c>
      <c r="R634">
        <v>60</v>
      </c>
      <c r="S634">
        <v>700</v>
      </c>
      <c r="T634">
        <v>475</v>
      </c>
      <c r="U634">
        <v>275</v>
      </c>
      <c r="V634">
        <v>370</v>
      </c>
      <c r="W634">
        <v>155</v>
      </c>
    </row>
    <row r="635" spans="1:23">
      <c r="A635">
        <v>356.19848334447897</v>
      </c>
      <c r="B635">
        <v>56</v>
      </c>
      <c r="C635">
        <v>4.4524810418059877</v>
      </c>
      <c r="D635">
        <v>408.48</v>
      </c>
      <c r="E635">
        <v>691.45228215767634</v>
      </c>
      <c r="F635">
        <v>158.952</v>
      </c>
      <c r="G635">
        <v>69.145600000000002</v>
      </c>
      <c r="H635">
        <v>6</v>
      </c>
      <c r="I635">
        <v>51</v>
      </c>
      <c r="J635">
        <v>6</v>
      </c>
      <c r="K635">
        <v>250</v>
      </c>
      <c r="L635">
        <v>62</v>
      </c>
      <c r="M635">
        <v>26</v>
      </c>
      <c r="N635">
        <v>1995</v>
      </c>
      <c r="O635">
        <v>0.27</v>
      </c>
      <c r="P635">
        <v>2.4700000000000002</v>
      </c>
      <c r="Q635">
        <v>1.4999999999999999E-2</v>
      </c>
      <c r="R635">
        <v>60</v>
      </c>
      <c r="S635">
        <v>700</v>
      </c>
      <c r="T635">
        <v>475</v>
      </c>
      <c r="U635">
        <v>275</v>
      </c>
      <c r="V635">
        <v>370</v>
      </c>
      <c r="W635">
        <v>155</v>
      </c>
    </row>
    <row r="636" spans="1:23">
      <c r="A636">
        <v>356.19848334447897</v>
      </c>
      <c r="B636">
        <v>56</v>
      </c>
      <c r="C636">
        <v>4.4524810418059877</v>
      </c>
      <c r="D636">
        <v>408.48</v>
      </c>
      <c r="E636">
        <v>691.45228215767634</v>
      </c>
      <c r="F636">
        <v>158.952</v>
      </c>
      <c r="G636">
        <v>69.145600000000002</v>
      </c>
      <c r="H636">
        <v>6</v>
      </c>
      <c r="I636">
        <v>51</v>
      </c>
      <c r="J636">
        <v>6</v>
      </c>
      <c r="K636">
        <v>251</v>
      </c>
      <c r="L636">
        <v>62</v>
      </c>
      <c r="M636">
        <v>26</v>
      </c>
      <c r="N636">
        <v>1995</v>
      </c>
      <c r="O636">
        <v>0.27</v>
      </c>
      <c r="P636">
        <v>2.4700000000000002</v>
      </c>
      <c r="Q636">
        <v>1.4999999999999999E-2</v>
      </c>
      <c r="R636">
        <v>60</v>
      </c>
      <c r="S636">
        <v>700</v>
      </c>
      <c r="T636">
        <v>475</v>
      </c>
      <c r="U636">
        <v>275</v>
      </c>
      <c r="V636">
        <v>370</v>
      </c>
      <c r="W636">
        <v>155</v>
      </c>
    </row>
    <row r="637" spans="1:23">
      <c r="A637">
        <v>355.95301437904772</v>
      </c>
      <c r="B637">
        <v>56.000000000000007</v>
      </c>
      <c r="C637">
        <v>4.4494126797380948</v>
      </c>
      <c r="D637">
        <v>395.39976000000001</v>
      </c>
      <c r="E637">
        <v>689.42738589211626</v>
      </c>
      <c r="F637">
        <v>162.29975999999999</v>
      </c>
      <c r="G637">
        <v>69.059760000000011</v>
      </c>
      <c r="H637">
        <v>9</v>
      </c>
      <c r="I637">
        <v>56</v>
      </c>
      <c r="J637">
        <v>3</v>
      </c>
      <c r="K637">
        <v>204</v>
      </c>
      <c r="L637">
        <v>57</v>
      </c>
      <c r="M637">
        <v>28</v>
      </c>
      <c r="N637">
        <v>1995</v>
      </c>
      <c r="O637">
        <v>0.27</v>
      </c>
      <c r="P637">
        <v>2.4700000000000002</v>
      </c>
      <c r="Q637">
        <v>1.4999999999999999E-2</v>
      </c>
      <c r="R637">
        <v>60</v>
      </c>
      <c r="S637">
        <v>700</v>
      </c>
      <c r="T637">
        <v>475</v>
      </c>
      <c r="U637">
        <v>275</v>
      </c>
      <c r="V637">
        <v>370</v>
      </c>
      <c r="W637">
        <v>155</v>
      </c>
    </row>
    <row r="638" spans="1:23">
      <c r="A638">
        <v>355.95301437904772</v>
      </c>
      <c r="B638">
        <v>56.000000000000007</v>
      </c>
      <c r="C638">
        <v>4.4494126797380948</v>
      </c>
      <c r="D638">
        <v>395.39976000000001</v>
      </c>
      <c r="E638">
        <v>689.42738589211626</v>
      </c>
      <c r="F638">
        <v>162.29975999999999</v>
      </c>
      <c r="G638">
        <v>69.059760000000011</v>
      </c>
      <c r="H638">
        <v>9</v>
      </c>
      <c r="I638">
        <v>56</v>
      </c>
      <c r="J638">
        <v>3</v>
      </c>
      <c r="K638">
        <v>207</v>
      </c>
      <c r="L638">
        <v>57</v>
      </c>
      <c r="M638">
        <v>28</v>
      </c>
      <c r="N638">
        <v>1995</v>
      </c>
      <c r="O638">
        <v>0.27</v>
      </c>
      <c r="P638">
        <v>2.4700000000000002</v>
      </c>
      <c r="Q638">
        <v>1.4999999999999999E-2</v>
      </c>
      <c r="R638">
        <v>60</v>
      </c>
      <c r="S638">
        <v>700</v>
      </c>
      <c r="T638">
        <v>475</v>
      </c>
      <c r="U638">
        <v>275</v>
      </c>
      <c r="V638">
        <v>370</v>
      </c>
      <c r="W638">
        <v>155</v>
      </c>
    </row>
    <row r="639" spans="1:23">
      <c r="A639">
        <v>355.70519818165229</v>
      </c>
      <c r="B639">
        <v>56.000000000000007</v>
      </c>
      <c r="C639">
        <v>4.4463149772706547</v>
      </c>
      <c r="D639">
        <v>415.17995999999999</v>
      </c>
      <c r="E639">
        <v>692.09626556016588</v>
      </c>
      <c r="F639">
        <v>161.41398000000001</v>
      </c>
      <c r="G639">
        <v>69.061979999999991</v>
      </c>
      <c r="H639">
        <v>6</v>
      </c>
      <c r="I639">
        <v>52</v>
      </c>
      <c r="J639">
        <v>6</v>
      </c>
      <c r="K639">
        <v>247</v>
      </c>
      <c r="L639">
        <v>61</v>
      </c>
      <c r="M639">
        <v>26</v>
      </c>
      <c r="N639">
        <v>1995</v>
      </c>
      <c r="O639">
        <v>0.27</v>
      </c>
      <c r="P639">
        <v>2.4700000000000002</v>
      </c>
      <c r="Q639">
        <v>1.4999999999999999E-2</v>
      </c>
      <c r="R639">
        <v>60</v>
      </c>
      <c r="S639">
        <v>700</v>
      </c>
      <c r="T639">
        <v>475</v>
      </c>
      <c r="U639">
        <v>275</v>
      </c>
      <c r="V639">
        <v>370</v>
      </c>
      <c r="W639">
        <v>155</v>
      </c>
    </row>
    <row r="640" spans="1:23">
      <c r="A640">
        <v>355.58508858991883</v>
      </c>
      <c r="B640">
        <v>56</v>
      </c>
      <c r="C640">
        <v>4.4448136073739848</v>
      </c>
      <c r="D640">
        <v>390.34559999999999</v>
      </c>
      <c r="E640">
        <v>689.68760558592646</v>
      </c>
      <c r="F640">
        <v>159.6096</v>
      </c>
      <c r="G640">
        <v>68.993279999999999</v>
      </c>
      <c r="H640">
        <v>8</v>
      </c>
      <c r="I640">
        <v>57</v>
      </c>
      <c r="J640">
        <v>4</v>
      </c>
      <c r="K640">
        <v>310</v>
      </c>
      <c r="L640">
        <v>56</v>
      </c>
      <c r="M640">
        <v>7</v>
      </c>
      <c r="N640">
        <v>1995</v>
      </c>
      <c r="O640">
        <v>0.27</v>
      </c>
      <c r="P640">
        <v>2.4700000000000002</v>
      </c>
      <c r="Q640">
        <v>1.4999999999999999E-2</v>
      </c>
      <c r="R640">
        <v>60</v>
      </c>
      <c r="S640">
        <v>700</v>
      </c>
      <c r="T640">
        <v>475</v>
      </c>
      <c r="U640">
        <v>275</v>
      </c>
      <c r="V640">
        <v>370</v>
      </c>
      <c r="W640">
        <v>155</v>
      </c>
    </row>
    <row r="641" spans="1:23">
      <c r="A641">
        <v>356.54956890746962</v>
      </c>
      <c r="B641">
        <v>56.190909090909088</v>
      </c>
      <c r="C641">
        <v>4.4417273589832007</v>
      </c>
      <c r="D641">
        <v>413.16672000000011</v>
      </c>
      <c r="E641">
        <v>692.48464730290448</v>
      </c>
      <c r="F641">
        <v>160.62935999999999</v>
      </c>
      <c r="G641">
        <v>69.233256000000011</v>
      </c>
      <c r="H641">
        <v>7</v>
      </c>
      <c r="I641">
        <v>54</v>
      </c>
      <c r="J641">
        <v>5</v>
      </c>
      <c r="K641">
        <v>113</v>
      </c>
      <c r="L641">
        <v>57</v>
      </c>
      <c r="M641">
        <v>24</v>
      </c>
      <c r="N641">
        <v>1995</v>
      </c>
      <c r="O641">
        <v>0.27</v>
      </c>
      <c r="P641">
        <v>2.4700000000000002</v>
      </c>
      <c r="Q641">
        <v>1.4999999999999999E-2</v>
      </c>
      <c r="R641">
        <v>60</v>
      </c>
      <c r="S641">
        <v>700</v>
      </c>
      <c r="T641">
        <v>475</v>
      </c>
      <c r="U641">
        <v>275</v>
      </c>
      <c r="V641">
        <v>370</v>
      </c>
      <c r="W641">
        <v>155</v>
      </c>
    </row>
    <row r="642" spans="1:23">
      <c r="A642">
        <v>355.2944315142841</v>
      </c>
      <c r="B642">
        <v>56.000000000000007</v>
      </c>
      <c r="C642">
        <v>4.4411803939285504</v>
      </c>
      <c r="D642">
        <v>419.64807999999999</v>
      </c>
      <c r="E642">
        <v>692.91286307053929</v>
      </c>
      <c r="F642">
        <v>162.76004</v>
      </c>
      <c r="G642">
        <v>68.997600000000006</v>
      </c>
      <c r="H642">
        <v>6</v>
      </c>
      <c r="I642">
        <v>53</v>
      </c>
      <c r="J642">
        <v>6</v>
      </c>
      <c r="K642">
        <v>255</v>
      </c>
      <c r="L642">
        <v>60</v>
      </c>
      <c r="M642">
        <v>19</v>
      </c>
      <c r="N642">
        <v>1995</v>
      </c>
      <c r="O642">
        <v>0.27</v>
      </c>
      <c r="P642">
        <v>2.4700000000000002</v>
      </c>
      <c r="Q642">
        <v>1.4999999999999999E-2</v>
      </c>
      <c r="R642">
        <v>60</v>
      </c>
      <c r="S642">
        <v>700</v>
      </c>
      <c r="T642">
        <v>475</v>
      </c>
      <c r="U642">
        <v>275</v>
      </c>
      <c r="V642">
        <v>370</v>
      </c>
      <c r="W642">
        <v>155</v>
      </c>
    </row>
    <row r="643" spans="1:23">
      <c r="A643">
        <v>355.25618940435521</v>
      </c>
      <c r="B643">
        <v>56.000000000000007</v>
      </c>
      <c r="C643">
        <v>4.4407023675544384</v>
      </c>
      <c r="D643">
        <v>418.5736</v>
      </c>
      <c r="E643">
        <v>692.52113719501051</v>
      </c>
      <c r="F643">
        <v>162.22280000000001</v>
      </c>
      <c r="G643">
        <v>68.982799999999997</v>
      </c>
      <c r="H643">
        <v>6</v>
      </c>
      <c r="I643">
        <v>54</v>
      </c>
      <c r="J643">
        <v>6</v>
      </c>
      <c r="K643">
        <v>212</v>
      </c>
      <c r="L643">
        <v>58</v>
      </c>
      <c r="M643">
        <v>14</v>
      </c>
      <c r="N643">
        <v>1995</v>
      </c>
      <c r="O643">
        <v>0.27</v>
      </c>
      <c r="P643">
        <v>2.4700000000000002</v>
      </c>
      <c r="Q643">
        <v>1.4999999999999999E-2</v>
      </c>
      <c r="R643">
        <v>60</v>
      </c>
      <c r="S643">
        <v>700</v>
      </c>
      <c r="T643">
        <v>475</v>
      </c>
      <c r="U643">
        <v>275</v>
      </c>
      <c r="V643">
        <v>370</v>
      </c>
      <c r="W643">
        <v>155</v>
      </c>
    </row>
    <row r="644" spans="1:23">
      <c r="A644">
        <v>355.24893630928312</v>
      </c>
      <c r="B644">
        <v>56</v>
      </c>
      <c r="C644">
        <v>4.4406117038660389</v>
      </c>
      <c r="D644">
        <v>415.8</v>
      </c>
      <c r="E644">
        <v>686.7359804073476</v>
      </c>
      <c r="F644">
        <v>161.28</v>
      </c>
      <c r="G644">
        <v>68.872500000000002</v>
      </c>
      <c r="H644">
        <v>9</v>
      </c>
      <c r="I644">
        <v>57</v>
      </c>
      <c r="J644">
        <v>3</v>
      </c>
      <c r="K644">
        <v>303</v>
      </c>
      <c r="L644">
        <v>56</v>
      </c>
      <c r="M644">
        <v>15</v>
      </c>
      <c r="N644">
        <v>1995</v>
      </c>
      <c r="O644">
        <v>0.27</v>
      </c>
      <c r="P644">
        <v>2.4700000000000002</v>
      </c>
      <c r="Q644">
        <v>1.4999999999999999E-2</v>
      </c>
      <c r="R644">
        <v>60</v>
      </c>
      <c r="S644">
        <v>700</v>
      </c>
      <c r="T644">
        <v>475</v>
      </c>
      <c r="U644">
        <v>275</v>
      </c>
      <c r="V644">
        <v>370</v>
      </c>
      <c r="W644">
        <v>155</v>
      </c>
    </row>
    <row r="645" spans="1:23">
      <c r="A645">
        <v>355.12545716302958</v>
      </c>
      <c r="B645">
        <v>56.000000000000007</v>
      </c>
      <c r="C645">
        <v>4.4390682145378699</v>
      </c>
      <c r="D645">
        <v>414.16320000000002</v>
      </c>
      <c r="E645">
        <v>690.88132780082981</v>
      </c>
      <c r="F645">
        <v>160.90559999999999</v>
      </c>
      <c r="G645">
        <v>68.926559999999995</v>
      </c>
      <c r="H645">
        <v>6</v>
      </c>
      <c r="I645">
        <v>52</v>
      </c>
      <c r="J645">
        <v>6</v>
      </c>
      <c r="K645">
        <v>253</v>
      </c>
      <c r="L645">
        <v>61</v>
      </c>
      <c r="M645">
        <v>21</v>
      </c>
      <c r="N645">
        <v>1995</v>
      </c>
      <c r="O645">
        <v>0.27</v>
      </c>
      <c r="P645">
        <v>2.4700000000000002</v>
      </c>
      <c r="Q645">
        <v>1.4999999999999999E-2</v>
      </c>
      <c r="R645">
        <v>60</v>
      </c>
      <c r="S645">
        <v>700</v>
      </c>
      <c r="T645">
        <v>475</v>
      </c>
      <c r="U645">
        <v>275</v>
      </c>
      <c r="V645">
        <v>370</v>
      </c>
      <c r="W645">
        <v>155</v>
      </c>
    </row>
    <row r="646" spans="1:23">
      <c r="A646">
        <v>355.05781622365458</v>
      </c>
      <c r="B646">
        <v>56</v>
      </c>
      <c r="C646">
        <v>4.4382227027956844</v>
      </c>
      <c r="D646">
        <v>389.96760000000012</v>
      </c>
      <c r="E646">
        <v>692.57427385892129</v>
      </c>
      <c r="F646">
        <v>159.23159999999999</v>
      </c>
      <c r="G646">
        <v>68.945279999999997</v>
      </c>
      <c r="H646">
        <v>8</v>
      </c>
      <c r="I646">
        <v>57</v>
      </c>
      <c r="J646">
        <v>4</v>
      </c>
      <c r="K646">
        <v>37</v>
      </c>
      <c r="L646">
        <v>64</v>
      </c>
      <c r="M646">
        <v>2</v>
      </c>
      <c r="N646">
        <v>1995</v>
      </c>
      <c r="O646">
        <v>0.27</v>
      </c>
      <c r="P646">
        <v>2.4700000000000002</v>
      </c>
      <c r="Q646">
        <v>1.4999999999999999E-2</v>
      </c>
      <c r="R646">
        <v>60</v>
      </c>
      <c r="S646">
        <v>700</v>
      </c>
      <c r="T646">
        <v>475</v>
      </c>
      <c r="U646">
        <v>275</v>
      </c>
      <c r="V646">
        <v>370</v>
      </c>
      <c r="W646">
        <v>155</v>
      </c>
    </row>
    <row r="647" spans="1:23">
      <c r="A647">
        <v>355.04762867985107</v>
      </c>
      <c r="B647">
        <v>56.000000000000007</v>
      </c>
      <c r="C647">
        <v>4.4380953584981384</v>
      </c>
      <c r="D647">
        <v>384.64460000000003</v>
      </c>
      <c r="E647">
        <v>691.52697095435678</v>
      </c>
      <c r="F647">
        <v>159.12960000000001</v>
      </c>
      <c r="G647">
        <v>68.923600000000008</v>
      </c>
      <c r="H647">
        <v>7</v>
      </c>
      <c r="I647">
        <v>53</v>
      </c>
      <c r="J647">
        <v>5</v>
      </c>
      <c r="K647">
        <v>155</v>
      </c>
      <c r="L647">
        <v>60</v>
      </c>
      <c r="M647">
        <v>37</v>
      </c>
      <c r="N647">
        <v>1995</v>
      </c>
      <c r="O647">
        <v>0.27</v>
      </c>
      <c r="P647">
        <v>2.4700000000000002</v>
      </c>
      <c r="Q647">
        <v>1.4999999999999999E-2</v>
      </c>
      <c r="R647">
        <v>60</v>
      </c>
      <c r="S647">
        <v>700</v>
      </c>
      <c r="T647">
        <v>475</v>
      </c>
      <c r="U647">
        <v>275</v>
      </c>
      <c r="V647">
        <v>370</v>
      </c>
      <c r="W647">
        <v>155</v>
      </c>
    </row>
    <row r="648" spans="1:23">
      <c r="A648">
        <v>362.76313018312197</v>
      </c>
      <c r="B648">
        <v>57.235294117647072</v>
      </c>
      <c r="C648">
        <v>4.4366713763403398</v>
      </c>
      <c r="D648">
        <v>990.00414999999998</v>
      </c>
      <c r="E648">
        <v>681.79144711227309</v>
      </c>
      <c r="F648">
        <v>161.132611</v>
      </c>
      <c r="G648">
        <v>70.234247499999995</v>
      </c>
      <c r="H648">
        <v>2</v>
      </c>
      <c r="I648">
        <v>52</v>
      </c>
      <c r="J648">
        <v>8</v>
      </c>
      <c r="K648">
        <v>77</v>
      </c>
      <c r="L648">
        <v>61</v>
      </c>
      <c r="M648">
        <v>31</v>
      </c>
      <c r="N648">
        <v>1995</v>
      </c>
      <c r="O648">
        <v>0.27</v>
      </c>
      <c r="P648">
        <v>2.4700000000000002</v>
      </c>
      <c r="Q648">
        <v>1.4999999999999999E-2</v>
      </c>
      <c r="R648">
        <v>60</v>
      </c>
      <c r="S648">
        <v>700</v>
      </c>
      <c r="T648">
        <v>475</v>
      </c>
      <c r="U648">
        <v>275</v>
      </c>
      <c r="V648">
        <v>370</v>
      </c>
      <c r="W648">
        <v>155</v>
      </c>
    </row>
    <row r="649" spans="1:23">
      <c r="A649">
        <v>354.85094299544159</v>
      </c>
      <c r="B649">
        <v>56</v>
      </c>
      <c r="C649">
        <v>4.4356367874430198</v>
      </c>
      <c r="D649">
        <v>397.60199999999998</v>
      </c>
      <c r="E649">
        <v>691.98340248962654</v>
      </c>
      <c r="F649">
        <v>162.28200000000001</v>
      </c>
      <c r="G649">
        <v>68.894000000000005</v>
      </c>
      <c r="H649">
        <v>6</v>
      </c>
      <c r="I649">
        <v>53</v>
      </c>
      <c r="J649">
        <v>6</v>
      </c>
      <c r="K649">
        <v>63</v>
      </c>
      <c r="L649">
        <v>59</v>
      </c>
      <c r="M649">
        <v>10</v>
      </c>
      <c r="N649">
        <v>1995</v>
      </c>
      <c r="O649">
        <v>0.27</v>
      </c>
      <c r="P649">
        <v>2.4700000000000002</v>
      </c>
      <c r="Q649">
        <v>1.4999999999999999E-2</v>
      </c>
      <c r="R649">
        <v>60</v>
      </c>
      <c r="S649">
        <v>700</v>
      </c>
      <c r="T649">
        <v>475</v>
      </c>
      <c r="U649">
        <v>275</v>
      </c>
      <c r="V649">
        <v>370</v>
      </c>
      <c r="W649">
        <v>155</v>
      </c>
    </row>
    <row r="650" spans="1:23">
      <c r="A650">
        <v>354.85094299544159</v>
      </c>
      <c r="B650">
        <v>56</v>
      </c>
      <c r="C650">
        <v>4.4356367874430198</v>
      </c>
      <c r="D650">
        <v>418.69200000000001</v>
      </c>
      <c r="E650">
        <v>691.98340248962654</v>
      </c>
      <c r="F650">
        <v>162.28200000000001</v>
      </c>
      <c r="G650">
        <v>68.894000000000005</v>
      </c>
      <c r="H650">
        <v>6</v>
      </c>
      <c r="I650">
        <v>53</v>
      </c>
      <c r="J650">
        <v>6</v>
      </c>
      <c r="K650">
        <v>259</v>
      </c>
      <c r="L650">
        <v>59</v>
      </c>
      <c r="M650">
        <v>10</v>
      </c>
      <c r="N650">
        <v>1995</v>
      </c>
      <c r="O650">
        <v>0.27</v>
      </c>
      <c r="P650">
        <v>2.4700000000000002</v>
      </c>
      <c r="Q650">
        <v>1.4999999999999999E-2</v>
      </c>
      <c r="R650">
        <v>60</v>
      </c>
      <c r="S650">
        <v>700</v>
      </c>
      <c r="T650">
        <v>475</v>
      </c>
      <c r="U650">
        <v>275</v>
      </c>
      <c r="V650">
        <v>370</v>
      </c>
      <c r="W650">
        <v>155</v>
      </c>
    </row>
    <row r="651" spans="1:23">
      <c r="A651">
        <v>354.85094299544159</v>
      </c>
      <c r="B651">
        <v>56</v>
      </c>
      <c r="C651">
        <v>4.4356367874430198</v>
      </c>
      <c r="D651">
        <v>397.97199999999998</v>
      </c>
      <c r="E651">
        <v>691.98340248962654</v>
      </c>
      <c r="F651">
        <v>162.65199999999999</v>
      </c>
      <c r="G651">
        <v>68.894000000000005</v>
      </c>
      <c r="H651">
        <v>6</v>
      </c>
      <c r="I651">
        <v>53</v>
      </c>
      <c r="J651">
        <v>6</v>
      </c>
      <c r="K651">
        <v>265</v>
      </c>
      <c r="L651">
        <v>59</v>
      </c>
      <c r="M651">
        <v>20</v>
      </c>
      <c r="N651">
        <v>1995</v>
      </c>
      <c r="O651">
        <v>0.27</v>
      </c>
      <c r="P651">
        <v>2.4700000000000002</v>
      </c>
      <c r="Q651">
        <v>1.4999999999999999E-2</v>
      </c>
      <c r="R651">
        <v>60</v>
      </c>
      <c r="S651">
        <v>700</v>
      </c>
      <c r="T651">
        <v>475</v>
      </c>
      <c r="U651">
        <v>275</v>
      </c>
      <c r="V651">
        <v>370</v>
      </c>
      <c r="W651">
        <v>155</v>
      </c>
    </row>
    <row r="652" spans="1:23">
      <c r="A652">
        <v>362.59220589315112</v>
      </c>
      <c r="B652">
        <v>57.235294117647072</v>
      </c>
      <c r="C652">
        <v>4.4345809353838606</v>
      </c>
      <c r="D652">
        <v>989.91269999999997</v>
      </c>
      <c r="E652">
        <v>681.79144711227309</v>
      </c>
      <c r="F652">
        <v>161.101518</v>
      </c>
      <c r="G652">
        <v>70.201155</v>
      </c>
      <c r="H652">
        <v>2</v>
      </c>
      <c r="I652">
        <v>52</v>
      </c>
      <c r="J652">
        <v>8</v>
      </c>
      <c r="K652">
        <v>312</v>
      </c>
      <c r="L652">
        <v>61</v>
      </c>
      <c r="M652">
        <v>31</v>
      </c>
      <c r="N652">
        <v>1995</v>
      </c>
      <c r="O652">
        <v>0.27</v>
      </c>
      <c r="P652">
        <v>2.4700000000000002</v>
      </c>
      <c r="Q652">
        <v>1.4999999999999999E-2</v>
      </c>
      <c r="R652">
        <v>60</v>
      </c>
      <c r="S652">
        <v>700</v>
      </c>
      <c r="T652">
        <v>475</v>
      </c>
      <c r="U652">
        <v>275</v>
      </c>
      <c r="V652">
        <v>370</v>
      </c>
      <c r="W652">
        <v>155</v>
      </c>
    </row>
    <row r="653" spans="1:23">
      <c r="A653">
        <v>354.74113176503062</v>
      </c>
      <c r="B653">
        <v>56</v>
      </c>
      <c r="C653">
        <v>4.4342641470628834</v>
      </c>
      <c r="D653">
        <v>391.71060000000011</v>
      </c>
      <c r="E653">
        <v>681.74273858921163</v>
      </c>
      <c r="F653">
        <v>160.97460000000001</v>
      </c>
      <c r="G653">
        <v>68.680200000000013</v>
      </c>
      <c r="H653">
        <v>8</v>
      </c>
      <c r="I653">
        <v>55</v>
      </c>
      <c r="J653">
        <v>4</v>
      </c>
      <c r="K653">
        <v>269</v>
      </c>
      <c r="L653">
        <v>58</v>
      </c>
      <c r="M653">
        <v>21</v>
      </c>
      <c r="N653">
        <v>1995</v>
      </c>
      <c r="O653">
        <v>0.27</v>
      </c>
      <c r="P653">
        <v>2.4700000000000002</v>
      </c>
      <c r="Q653">
        <v>1.4999999999999999E-2</v>
      </c>
      <c r="R653">
        <v>60</v>
      </c>
      <c r="S653">
        <v>700</v>
      </c>
      <c r="T653">
        <v>475</v>
      </c>
      <c r="U653">
        <v>275</v>
      </c>
      <c r="V653">
        <v>370</v>
      </c>
      <c r="W653">
        <v>155</v>
      </c>
    </row>
    <row r="654" spans="1:23">
      <c r="A654">
        <v>354.2308301919881</v>
      </c>
      <c r="B654">
        <v>56</v>
      </c>
      <c r="C654">
        <v>4.4278853773998517</v>
      </c>
      <c r="D654">
        <v>945.56928000000005</v>
      </c>
      <c r="E654">
        <v>683.02347679228546</v>
      </c>
      <c r="F654">
        <v>160.57728</v>
      </c>
      <c r="G654">
        <v>68.605440000000002</v>
      </c>
      <c r="H654">
        <v>2</v>
      </c>
      <c r="I654">
        <v>52</v>
      </c>
      <c r="J654">
        <v>8</v>
      </c>
      <c r="K654">
        <v>133</v>
      </c>
      <c r="L654">
        <v>59</v>
      </c>
      <c r="M654">
        <v>22</v>
      </c>
      <c r="N654">
        <v>1995</v>
      </c>
      <c r="O654">
        <v>0.27</v>
      </c>
      <c r="P654">
        <v>2.4700000000000002</v>
      </c>
      <c r="Q654">
        <v>1.4999999999999999E-2</v>
      </c>
      <c r="R654">
        <v>60</v>
      </c>
      <c r="S654">
        <v>700</v>
      </c>
      <c r="T654">
        <v>475</v>
      </c>
      <c r="U654">
        <v>275</v>
      </c>
      <c r="V654">
        <v>370</v>
      </c>
      <c r="W654">
        <v>155</v>
      </c>
    </row>
    <row r="655" spans="1:23">
      <c r="A655">
        <v>354.02711721369502</v>
      </c>
      <c r="B655">
        <v>56.000000000000007</v>
      </c>
      <c r="C655">
        <v>4.4253389651711874</v>
      </c>
      <c r="D655">
        <v>419.82271999999989</v>
      </c>
      <c r="E655">
        <v>691.19999999999993</v>
      </c>
      <c r="F655">
        <v>162.84736000000001</v>
      </c>
      <c r="G655">
        <v>68.719359999999995</v>
      </c>
      <c r="H655">
        <v>6</v>
      </c>
      <c r="I655">
        <v>53</v>
      </c>
      <c r="J655">
        <v>6</v>
      </c>
      <c r="K655">
        <v>246</v>
      </c>
      <c r="L655">
        <v>59</v>
      </c>
      <c r="M655">
        <v>16</v>
      </c>
      <c r="N655">
        <v>1995</v>
      </c>
      <c r="O655">
        <v>0.27</v>
      </c>
      <c r="P655">
        <v>2.4700000000000002</v>
      </c>
      <c r="Q655">
        <v>1.4999999999999999E-2</v>
      </c>
      <c r="R655">
        <v>60</v>
      </c>
      <c r="S655">
        <v>700</v>
      </c>
      <c r="T655">
        <v>475</v>
      </c>
      <c r="U655">
        <v>275</v>
      </c>
      <c r="V655">
        <v>370</v>
      </c>
      <c r="W655">
        <v>155</v>
      </c>
    </row>
    <row r="656" spans="1:23">
      <c r="A656">
        <v>354.00135138285509</v>
      </c>
      <c r="B656">
        <v>56.000000000000007</v>
      </c>
      <c r="C656">
        <v>4.4250168922856883</v>
      </c>
      <c r="D656">
        <v>419.77535999999998</v>
      </c>
      <c r="E656">
        <v>690.20414937759324</v>
      </c>
      <c r="F656">
        <v>162.82368</v>
      </c>
      <c r="G656">
        <v>68.695679999999996</v>
      </c>
      <c r="H656">
        <v>6</v>
      </c>
      <c r="I656">
        <v>53</v>
      </c>
      <c r="J656">
        <v>6</v>
      </c>
      <c r="K656">
        <v>244</v>
      </c>
      <c r="L656">
        <v>58</v>
      </c>
      <c r="M656">
        <v>18</v>
      </c>
      <c r="N656">
        <v>1995</v>
      </c>
      <c r="O656">
        <v>0.27</v>
      </c>
      <c r="P656">
        <v>2.4700000000000002</v>
      </c>
      <c r="Q656">
        <v>1.4999999999999999E-2</v>
      </c>
      <c r="R656">
        <v>60</v>
      </c>
      <c r="S656">
        <v>700</v>
      </c>
      <c r="T656">
        <v>475</v>
      </c>
      <c r="U656">
        <v>275</v>
      </c>
      <c r="V656">
        <v>370</v>
      </c>
      <c r="W656">
        <v>155</v>
      </c>
    </row>
    <row r="657" spans="1:23">
      <c r="A657">
        <v>331.67311127389388</v>
      </c>
      <c r="B657">
        <v>52.500000000000007</v>
      </c>
      <c r="C657">
        <v>4.4223081503185844</v>
      </c>
      <c r="D657">
        <v>389.52</v>
      </c>
      <c r="E657">
        <v>690.70623317462355</v>
      </c>
      <c r="F657">
        <v>193.89599999999999</v>
      </c>
      <c r="G657">
        <v>64.371600000000001</v>
      </c>
      <c r="H657">
        <v>22</v>
      </c>
      <c r="I657">
        <v>52</v>
      </c>
      <c r="J657">
        <v>3</v>
      </c>
      <c r="K657">
        <v>238</v>
      </c>
      <c r="L657">
        <v>61</v>
      </c>
      <c r="M657">
        <v>2</v>
      </c>
      <c r="N657">
        <v>1995</v>
      </c>
      <c r="O657">
        <v>0.27</v>
      </c>
      <c r="P657">
        <v>2.4700000000000002</v>
      </c>
      <c r="Q657">
        <v>1.4999999999999999E-2</v>
      </c>
      <c r="R657">
        <v>60</v>
      </c>
      <c r="S657">
        <v>700</v>
      </c>
      <c r="T657">
        <v>475</v>
      </c>
      <c r="U657">
        <v>275</v>
      </c>
      <c r="V657">
        <v>370</v>
      </c>
      <c r="W657">
        <v>155</v>
      </c>
    </row>
    <row r="658" spans="1:23">
      <c r="A658">
        <v>353.44558332494569</v>
      </c>
      <c r="B658">
        <v>56.000000000000007</v>
      </c>
      <c r="C658">
        <v>4.4180697915618206</v>
      </c>
      <c r="D658">
        <v>436.59264000000002</v>
      </c>
      <c r="E658">
        <v>691.86215266040585</v>
      </c>
      <c r="F658">
        <v>160.91327999999999</v>
      </c>
      <c r="G658">
        <v>68.618880000000004</v>
      </c>
      <c r="H658">
        <v>8</v>
      </c>
      <c r="I658">
        <v>55</v>
      </c>
      <c r="J658">
        <v>4</v>
      </c>
      <c r="K658">
        <v>141</v>
      </c>
      <c r="L658">
        <v>66</v>
      </c>
      <c r="M658">
        <v>28</v>
      </c>
      <c r="N658">
        <v>1995</v>
      </c>
      <c r="O658">
        <v>0.27</v>
      </c>
      <c r="P658">
        <v>2.4700000000000002</v>
      </c>
      <c r="Q658">
        <v>1.4999999999999999E-2</v>
      </c>
      <c r="R658">
        <v>60</v>
      </c>
      <c r="S658">
        <v>700</v>
      </c>
      <c r="T658">
        <v>475</v>
      </c>
      <c r="U658">
        <v>275</v>
      </c>
      <c r="V658">
        <v>370</v>
      </c>
      <c r="W658">
        <v>155</v>
      </c>
    </row>
    <row r="659" spans="1:23">
      <c r="A659">
        <v>362.00874843936742</v>
      </c>
      <c r="B659">
        <v>57.358208955223887</v>
      </c>
      <c r="C659">
        <v>4.4179574035405498</v>
      </c>
      <c r="D659">
        <v>989.20848000000001</v>
      </c>
      <c r="E659">
        <v>680.75419251341702</v>
      </c>
      <c r="F659">
        <v>160.5336408</v>
      </c>
      <c r="G659">
        <v>70.068297000000001</v>
      </c>
      <c r="H659">
        <v>2</v>
      </c>
      <c r="I659">
        <v>52</v>
      </c>
      <c r="J659">
        <v>8</v>
      </c>
      <c r="K659">
        <v>316</v>
      </c>
      <c r="L659">
        <v>61</v>
      </c>
      <c r="M659">
        <v>26</v>
      </c>
      <c r="N659">
        <v>1995</v>
      </c>
      <c r="O659">
        <v>0.27</v>
      </c>
      <c r="P659">
        <v>2.4700000000000002</v>
      </c>
      <c r="Q659">
        <v>1.4999999999999999E-2</v>
      </c>
      <c r="R659">
        <v>60</v>
      </c>
      <c r="S659">
        <v>700</v>
      </c>
      <c r="T659">
        <v>475</v>
      </c>
      <c r="U659">
        <v>275</v>
      </c>
      <c r="V659">
        <v>370</v>
      </c>
      <c r="W659">
        <v>155</v>
      </c>
    </row>
    <row r="660" spans="1:23">
      <c r="A660">
        <v>353.38392447220878</v>
      </c>
      <c r="B660">
        <v>56</v>
      </c>
      <c r="C660">
        <v>4.4172990559026104</v>
      </c>
      <c r="D660">
        <v>413.36399999999998</v>
      </c>
      <c r="E660">
        <v>687.23651452282149</v>
      </c>
      <c r="F660">
        <v>160.506</v>
      </c>
      <c r="G660">
        <v>68.520300000000006</v>
      </c>
      <c r="H660">
        <v>6</v>
      </c>
      <c r="I660">
        <v>52</v>
      </c>
      <c r="J660">
        <v>6</v>
      </c>
      <c r="K660">
        <v>248</v>
      </c>
      <c r="L660">
        <v>61</v>
      </c>
      <c r="M660">
        <v>18</v>
      </c>
      <c r="N660">
        <v>1995</v>
      </c>
      <c r="O660">
        <v>0.27</v>
      </c>
      <c r="P660">
        <v>2.4700000000000002</v>
      </c>
      <c r="Q660">
        <v>1.4999999999999999E-2</v>
      </c>
      <c r="R660">
        <v>60</v>
      </c>
      <c r="S660">
        <v>700</v>
      </c>
      <c r="T660">
        <v>475</v>
      </c>
      <c r="U660">
        <v>275</v>
      </c>
      <c r="V660">
        <v>370</v>
      </c>
      <c r="W660">
        <v>155</v>
      </c>
    </row>
    <row r="661" spans="1:23">
      <c r="A661">
        <v>353.38392447220878</v>
      </c>
      <c r="B661">
        <v>56</v>
      </c>
      <c r="C661">
        <v>4.4172990559026104</v>
      </c>
      <c r="D661">
        <v>391.38600000000002</v>
      </c>
      <c r="E661">
        <v>687.23651452282149</v>
      </c>
      <c r="F661">
        <v>160.506</v>
      </c>
      <c r="G661">
        <v>68.520300000000006</v>
      </c>
      <c r="H661">
        <v>6</v>
      </c>
      <c r="I661">
        <v>52</v>
      </c>
      <c r="J661">
        <v>6</v>
      </c>
      <c r="K661">
        <v>264</v>
      </c>
      <c r="L661">
        <v>61</v>
      </c>
      <c r="M661">
        <v>22</v>
      </c>
      <c r="N661">
        <v>1995</v>
      </c>
      <c r="O661">
        <v>0.27</v>
      </c>
      <c r="P661">
        <v>2.4700000000000002</v>
      </c>
      <c r="Q661">
        <v>1.4999999999999999E-2</v>
      </c>
      <c r="R661">
        <v>60</v>
      </c>
      <c r="S661">
        <v>700</v>
      </c>
      <c r="T661">
        <v>475</v>
      </c>
      <c r="U661">
        <v>275</v>
      </c>
      <c r="V661">
        <v>370</v>
      </c>
      <c r="W661">
        <v>155</v>
      </c>
    </row>
    <row r="662" spans="1:23">
      <c r="A662">
        <v>331.15275627516922</v>
      </c>
      <c r="B662">
        <v>52.5</v>
      </c>
      <c r="C662">
        <v>4.4153700836689227</v>
      </c>
      <c r="D662">
        <v>383.24599999999998</v>
      </c>
      <c r="E662">
        <v>689.5601659751037</v>
      </c>
      <c r="F662">
        <v>191.62299999999999</v>
      </c>
      <c r="G662">
        <v>64.250500000000002</v>
      </c>
      <c r="H662">
        <v>22</v>
      </c>
      <c r="I662">
        <v>51</v>
      </c>
      <c r="J662">
        <v>3</v>
      </c>
      <c r="K662">
        <v>188</v>
      </c>
      <c r="L662">
        <v>62</v>
      </c>
      <c r="M662">
        <v>19</v>
      </c>
      <c r="N662">
        <v>1995</v>
      </c>
      <c r="O662">
        <v>0.27</v>
      </c>
      <c r="P662">
        <v>2.4700000000000002</v>
      </c>
      <c r="Q662">
        <v>1.4999999999999999E-2</v>
      </c>
      <c r="R662">
        <v>60</v>
      </c>
      <c r="S662">
        <v>700</v>
      </c>
      <c r="T662">
        <v>475</v>
      </c>
      <c r="U662">
        <v>275</v>
      </c>
      <c r="V662">
        <v>370</v>
      </c>
      <c r="W662">
        <v>155</v>
      </c>
    </row>
    <row r="663" spans="1:23">
      <c r="A663">
        <v>331.10415031346429</v>
      </c>
      <c r="B663">
        <v>52.5</v>
      </c>
      <c r="C663">
        <v>4.4147220041795237</v>
      </c>
      <c r="D663">
        <v>388.20800000000003</v>
      </c>
      <c r="E663">
        <v>689.15719513268937</v>
      </c>
      <c r="F663">
        <v>194.10400000000001</v>
      </c>
      <c r="G663">
        <v>64.233999999999995</v>
      </c>
      <c r="H663">
        <v>22</v>
      </c>
      <c r="I663">
        <v>52</v>
      </c>
      <c r="J663">
        <v>3</v>
      </c>
      <c r="K663">
        <v>105</v>
      </c>
      <c r="L663">
        <v>70</v>
      </c>
      <c r="M663">
        <v>11</v>
      </c>
      <c r="N663">
        <v>1995</v>
      </c>
      <c r="O663">
        <v>0.27</v>
      </c>
      <c r="P663">
        <v>2.4700000000000002</v>
      </c>
      <c r="Q663">
        <v>1.4999999999999999E-2</v>
      </c>
      <c r="R663">
        <v>60</v>
      </c>
      <c r="S663">
        <v>700</v>
      </c>
      <c r="T663">
        <v>475</v>
      </c>
      <c r="U663">
        <v>275</v>
      </c>
      <c r="V663">
        <v>370</v>
      </c>
      <c r="W663">
        <v>155</v>
      </c>
    </row>
    <row r="664" spans="1:23">
      <c r="A664">
        <v>353.0869992806646</v>
      </c>
      <c r="B664">
        <v>55.999999999999993</v>
      </c>
      <c r="C664">
        <v>4.4135874910083084</v>
      </c>
      <c r="D664">
        <v>396.12563999999998</v>
      </c>
      <c r="E664">
        <v>690.42354503873275</v>
      </c>
      <c r="F664">
        <v>155.37443999999999</v>
      </c>
      <c r="G664">
        <v>68.522350000000003</v>
      </c>
      <c r="H664">
        <v>8</v>
      </c>
      <c r="I664">
        <v>52</v>
      </c>
      <c r="J664">
        <v>4</v>
      </c>
      <c r="K664">
        <v>145</v>
      </c>
      <c r="L664">
        <v>61</v>
      </c>
      <c r="M664">
        <v>43</v>
      </c>
      <c r="N664">
        <v>1995</v>
      </c>
      <c r="O664">
        <v>0.27</v>
      </c>
      <c r="P664">
        <v>2.4700000000000002</v>
      </c>
      <c r="Q664">
        <v>1.4999999999999999E-2</v>
      </c>
      <c r="R664">
        <v>60</v>
      </c>
      <c r="S664">
        <v>700</v>
      </c>
      <c r="T664">
        <v>475</v>
      </c>
      <c r="U664">
        <v>275</v>
      </c>
      <c r="V664">
        <v>370</v>
      </c>
      <c r="W664">
        <v>155</v>
      </c>
    </row>
    <row r="665" spans="1:23">
      <c r="A665">
        <v>352.88827430093562</v>
      </c>
      <c r="B665">
        <v>56.000000000000007</v>
      </c>
      <c r="C665">
        <v>4.4111034287616926</v>
      </c>
      <c r="D665">
        <v>391.31939999999997</v>
      </c>
      <c r="E665">
        <v>688.75518672199166</v>
      </c>
      <c r="F665">
        <v>160.43940000000001</v>
      </c>
      <c r="G665">
        <v>68.452590000000001</v>
      </c>
      <c r="H665">
        <v>6</v>
      </c>
      <c r="I665">
        <v>52</v>
      </c>
      <c r="J665">
        <v>6</v>
      </c>
      <c r="K665">
        <v>268</v>
      </c>
      <c r="L665">
        <v>61</v>
      </c>
      <c r="M665">
        <v>21</v>
      </c>
      <c r="N665">
        <v>1995</v>
      </c>
      <c r="O665">
        <v>0.27</v>
      </c>
      <c r="P665">
        <v>2.4700000000000002</v>
      </c>
      <c r="Q665">
        <v>1.4999999999999999E-2</v>
      </c>
      <c r="R665">
        <v>60</v>
      </c>
      <c r="S665">
        <v>700</v>
      </c>
      <c r="T665">
        <v>475</v>
      </c>
      <c r="U665">
        <v>275</v>
      </c>
      <c r="V665">
        <v>370</v>
      </c>
      <c r="W665">
        <v>155</v>
      </c>
    </row>
    <row r="666" spans="1:23">
      <c r="A666">
        <v>352.8567686174394</v>
      </c>
      <c r="B666">
        <v>56</v>
      </c>
      <c r="C666">
        <v>4.410709607717993</v>
      </c>
      <c r="D666">
        <v>391.38600000000002</v>
      </c>
      <c r="E666">
        <v>692.70373443983397</v>
      </c>
      <c r="F666">
        <v>160.506</v>
      </c>
      <c r="G666">
        <v>68.520300000000006</v>
      </c>
      <c r="H666">
        <v>6</v>
      </c>
      <c r="I666">
        <v>52</v>
      </c>
      <c r="J666">
        <v>6</v>
      </c>
      <c r="K666">
        <v>209</v>
      </c>
      <c r="L666">
        <v>61</v>
      </c>
      <c r="M666">
        <v>18</v>
      </c>
      <c r="N666">
        <v>1995</v>
      </c>
      <c r="O666">
        <v>0.27</v>
      </c>
      <c r="P666">
        <v>2.4700000000000002</v>
      </c>
      <c r="Q666">
        <v>1.4999999999999999E-2</v>
      </c>
      <c r="R666">
        <v>60</v>
      </c>
      <c r="S666">
        <v>700</v>
      </c>
      <c r="T666">
        <v>475</v>
      </c>
      <c r="U666">
        <v>275</v>
      </c>
      <c r="V666">
        <v>370</v>
      </c>
      <c r="W666">
        <v>155</v>
      </c>
    </row>
    <row r="667" spans="1:23">
      <c r="A667">
        <v>352.71223160775787</v>
      </c>
      <c r="B667">
        <v>56.000000000000007</v>
      </c>
      <c r="C667">
        <v>4.4089028950969738</v>
      </c>
      <c r="D667">
        <v>416.21152000000012</v>
      </c>
      <c r="E667">
        <v>689.73112033195014</v>
      </c>
      <c r="F667">
        <v>161.30076</v>
      </c>
      <c r="G667">
        <v>68.43668000000001</v>
      </c>
      <c r="H667">
        <v>7</v>
      </c>
      <c r="I667">
        <v>55</v>
      </c>
      <c r="J667">
        <v>5</v>
      </c>
      <c r="K667">
        <v>278</v>
      </c>
      <c r="L667">
        <v>58</v>
      </c>
      <c r="M667">
        <v>8</v>
      </c>
      <c r="N667">
        <v>1995</v>
      </c>
      <c r="O667">
        <v>0.27</v>
      </c>
      <c r="P667">
        <v>2.4700000000000002</v>
      </c>
      <c r="Q667">
        <v>1.4999999999999999E-2</v>
      </c>
      <c r="R667">
        <v>60</v>
      </c>
      <c r="S667">
        <v>700</v>
      </c>
      <c r="T667">
        <v>475</v>
      </c>
      <c r="U667">
        <v>275</v>
      </c>
      <c r="V667">
        <v>370</v>
      </c>
      <c r="W667">
        <v>155</v>
      </c>
    </row>
    <row r="668" spans="1:23">
      <c r="A668">
        <v>352.64485726393912</v>
      </c>
      <c r="B668">
        <v>56.000000000000007</v>
      </c>
      <c r="C668">
        <v>4.4080607157992384</v>
      </c>
      <c r="D668">
        <v>417.85919999999999</v>
      </c>
      <c r="E668">
        <v>690.52282157676336</v>
      </c>
      <c r="F668">
        <v>161.8656</v>
      </c>
      <c r="G668">
        <v>68.438399999999987</v>
      </c>
      <c r="H668">
        <v>6</v>
      </c>
      <c r="I668">
        <v>53</v>
      </c>
      <c r="J668">
        <v>6</v>
      </c>
      <c r="K668">
        <v>58</v>
      </c>
      <c r="L668">
        <v>61</v>
      </c>
      <c r="M668">
        <v>8</v>
      </c>
      <c r="N668">
        <v>1995</v>
      </c>
      <c r="O668">
        <v>0.27</v>
      </c>
      <c r="P668">
        <v>2.4700000000000002</v>
      </c>
      <c r="Q668">
        <v>1.4999999999999999E-2</v>
      </c>
      <c r="R668">
        <v>60</v>
      </c>
      <c r="S668">
        <v>700</v>
      </c>
      <c r="T668">
        <v>475</v>
      </c>
      <c r="U668">
        <v>275</v>
      </c>
      <c r="V668">
        <v>370</v>
      </c>
      <c r="W668">
        <v>155</v>
      </c>
    </row>
    <row r="669" spans="1:23">
      <c r="A669">
        <v>352.39997528154618</v>
      </c>
      <c r="B669">
        <v>56</v>
      </c>
      <c r="C669">
        <v>4.4049996910193281</v>
      </c>
      <c r="D669">
        <v>385.392</v>
      </c>
      <c r="E669">
        <v>689.72614107883805</v>
      </c>
      <c r="F669">
        <v>158.952</v>
      </c>
      <c r="G669">
        <v>68.376000000000005</v>
      </c>
      <c r="H669">
        <v>6</v>
      </c>
      <c r="I669">
        <v>51</v>
      </c>
      <c r="J669">
        <v>6</v>
      </c>
      <c r="K669">
        <v>202</v>
      </c>
      <c r="L669">
        <v>60</v>
      </c>
      <c r="M669">
        <v>26</v>
      </c>
      <c r="N669">
        <v>1995</v>
      </c>
      <c r="O669">
        <v>0.27</v>
      </c>
      <c r="P669">
        <v>2.4700000000000002</v>
      </c>
      <c r="Q669">
        <v>1.4999999999999999E-2</v>
      </c>
      <c r="R669">
        <v>60</v>
      </c>
      <c r="S669">
        <v>700</v>
      </c>
      <c r="T669">
        <v>475</v>
      </c>
      <c r="U669">
        <v>275</v>
      </c>
      <c r="V669">
        <v>370</v>
      </c>
      <c r="W669">
        <v>155</v>
      </c>
    </row>
    <row r="670" spans="1:23">
      <c r="A670">
        <v>352.23606480234702</v>
      </c>
      <c r="B670">
        <v>56</v>
      </c>
      <c r="C670">
        <v>4.4029508100293384</v>
      </c>
      <c r="D670">
        <v>411.36599999999999</v>
      </c>
      <c r="E670">
        <v>688.45643153526976</v>
      </c>
      <c r="F670">
        <v>159.8955</v>
      </c>
      <c r="G670">
        <v>68.320499999999996</v>
      </c>
      <c r="H670">
        <v>9</v>
      </c>
      <c r="I670">
        <v>55</v>
      </c>
      <c r="J670">
        <v>3</v>
      </c>
      <c r="K670">
        <v>188</v>
      </c>
      <c r="L670">
        <v>58</v>
      </c>
      <c r="M670">
        <v>21</v>
      </c>
      <c r="N670">
        <v>1995</v>
      </c>
      <c r="O670">
        <v>0.27</v>
      </c>
      <c r="P670">
        <v>2.4700000000000002</v>
      </c>
      <c r="Q670">
        <v>1.4999999999999999E-2</v>
      </c>
      <c r="R670">
        <v>60</v>
      </c>
      <c r="S670">
        <v>700</v>
      </c>
      <c r="T670">
        <v>475</v>
      </c>
      <c r="U670">
        <v>275</v>
      </c>
      <c r="V670">
        <v>370</v>
      </c>
      <c r="W670">
        <v>155</v>
      </c>
    </row>
    <row r="671" spans="1:23">
      <c r="A671">
        <v>352.18289079246841</v>
      </c>
      <c r="B671">
        <v>56</v>
      </c>
      <c r="C671">
        <v>4.4022861349058546</v>
      </c>
      <c r="D671">
        <v>472.86</v>
      </c>
      <c r="E671">
        <v>691.98340248962654</v>
      </c>
      <c r="F671">
        <v>158.67449999999999</v>
      </c>
      <c r="G671">
        <v>68.376000000000005</v>
      </c>
      <c r="H671">
        <v>9</v>
      </c>
      <c r="I671">
        <v>56</v>
      </c>
      <c r="J671">
        <v>3</v>
      </c>
      <c r="K671">
        <v>156</v>
      </c>
      <c r="L671">
        <v>49</v>
      </c>
      <c r="M671">
        <v>4</v>
      </c>
      <c r="N671">
        <v>1995</v>
      </c>
      <c r="O671">
        <v>0.27</v>
      </c>
      <c r="P671">
        <v>2.4700000000000002</v>
      </c>
      <c r="Q671">
        <v>1.4999999999999999E-2</v>
      </c>
      <c r="R671">
        <v>60</v>
      </c>
      <c r="S671">
        <v>700</v>
      </c>
      <c r="T671">
        <v>475</v>
      </c>
      <c r="U671">
        <v>275</v>
      </c>
      <c r="V671">
        <v>370</v>
      </c>
      <c r="W671">
        <v>155</v>
      </c>
    </row>
    <row r="672" spans="1:23">
      <c r="A672">
        <v>351.95601340226028</v>
      </c>
      <c r="B672">
        <v>56</v>
      </c>
      <c r="C672">
        <v>4.3994501675282542</v>
      </c>
      <c r="D672">
        <v>470.64</v>
      </c>
      <c r="E672">
        <v>691.36929460580916</v>
      </c>
      <c r="F672">
        <v>158.23050000000001</v>
      </c>
      <c r="G672">
        <v>68.320499999999996</v>
      </c>
      <c r="H672">
        <v>9</v>
      </c>
      <c r="I672">
        <v>57</v>
      </c>
      <c r="J672">
        <v>3</v>
      </c>
      <c r="K672">
        <v>157</v>
      </c>
      <c r="L672">
        <v>47</v>
      </c>
      <c r="M672">
        <v>3</v>
      </c>
      <c r="N672">
        <v>1995</v>
      </c>
      <c r="O672">
        <v>0.27</v>
      </c>
      <c r="P672">
        <v>2.4700000000000002</v>
      </c>
      <c r="Q672">
        <v>1.4999999999999999E-2</v>
      </c>
      <c r="R672">
        <v>60</v>
      </c>
      <c r="S672">
        <v>700</v>
      </c>
      <c r="T672">
        <v>475</v>
      </c>
      <c r="U672">
        <v>275</v>
      </c>
      <c r="V672">
        <v>370</v>
      </c>
      <c r="W672">
        <v>155</v>
      </c>
    </row>
    <row r="673" spans="1:23">
      <c r="A673">
        <v>351.72300029739421</v>
      </c>
      <c r="B673">
        <v>56</v>
      </c>
      <c r="C673">
        <v>4.3965375037174272</v>
      </c>
      <c r="D673">
        <v>395.92960000000011</v>
      </c>
      <c r="E673">
        <v>692.40663900414938</v>
      </c>
      <c r="F673">
        <v>161.90459999999999</v>
      </c>
      <c r="G673">
        <v>68.294600000000003</v>
      </c>
      <c r="H673">
        <v>7</v>
      </c>
      <c r="I673">
        <v>55</v>
      </c>
      <c r="J673">
        <v>5</v>
      </c>
      <c r="K673">
        <v>61</v>
      </c>
      <c r="L673">
        <v>55</v>
      </c>
      <c r="M673">
        <v>12</v>
      </c>
      <c r="N673">
        <v>1995</v>
      </c>
      <c r="O673">
        <v>0.27</v>
      </c>
      <c r="P673">
        <v>2.4700000000000002</v>
      </c>
      <c r="Q673">
        <v>1.4999999999999999E-2</v>
      </c>
      <c r="R673">
        <v>60</v>
      </c>
      <c r="S673">
        <v>700</v>
      </c>
      <c r="T673">
        <v>475</v>
      </c>
      <c r="U673">
        <v>275</v>
      </c>
      <c r="V673">
        <v>370</v>
      </c>
      <c r="W673">
        <v>155</v>
      </c>
    </row>
    <row r="674" spans="1:23">
      <c r="A674">
        <v>351.57296318565778</v>
      </c>
      <c r="B674">
        <v>56</v>
      </c>
      <c r="C674">
        <v>4.394662039820723</v>
      </c>
      <c r="D674">
        <v>390.45760000000001</v>
      </c>
      <c r="E674">
        <v>692.44813278008291</v>
      </c>
      <c r="F674">
        <v>159.7216</v>
      </c>
      <c r="G674">
        <v>68.26624000000001</v>
      </c>
      <c r="H674">
        <v>8</v>
      </c>
      <c r="I674">
        <v>56</v>
      </c>
      <c r="J674">
        <v>4</v>
      </c>
      <c r="K674">
        <v>260</v>
      </c>
      <c r="L674">
        <v>56</v>
      </c>
      <c r="M674">
        <v>5</v>
      </c>
      <c r="N674">
        <v>1995</v>
      </c>
      <c r="O674">
        <v>0.27</v>
      </c>
      <c r="P674">
        <v>2.4700000000000002</v>
      </c>
      <c r="Q674">
        <v>1.4999999999999999E-2</v>
      </c>
      <c r="R674">
        <v>60</v>
      </c>
      <c r="S674">
        <v>700</v>
      </c>
      <c r="T674">
        <v>475</v>
      </c>
      <c r="U674">
        <v>275</v>
      </c>
      <c r="V674">
        <v>370</v>
      </c>
      <c r="W674">
        <v>155</v>
      </c>
    </row>
    <row r="675" spans="1:23">
      <c r="A675">
        <v>351.540816989814</v>
      </c>
      <c r="B675">
        <v>56</v>
      </c>
      <c r="C675">
        <v>4.3942602123726751</v>
      </c>
      <c r="D675">
        <v>378.28800000000001</v>
      </c>
      <c r="E675">
        <v>692.31938597678425</v>
      </c>
      <c r="F675">
        <v>156.28800000000001</v>
      </c>
      <c r="G675">
        <v>68.257600000000011</v>
      </c>
      <c r="H675">
        <v>6</v>
      </c>
      <c r="I675">
        <v>50</v>
      </c>
      <c r="J675">
        <v>6</v>
      </c>
      <c r="K675">
        <v>292</v>
      </c>
      <c r="L675">
        <v>62</v>
      </c>
      <c r="M675">
        <v>26</v>
      </c>
      <c r="N675">
        <v>1995</v>
      </c>
      <c r="O675">
        <v>0.27</v>
      </c>
      <c r="P675">
        <v>2.4700000000000002</v>
      </c>
      <c r="Q675">
        <v>1.4999999999999999E-2</v>
      </c>
      <c r="R675">
        <v>60</v>
      </c>
      <c r="S675">
        <v>700</v>
      </c>
      <c r="T675">
        <v>475</v>
      </c>
      <c r="U675">
        <v>275</v>
      </c>
      <c r="V675">
        <v>370</v>
      </c>
      <c r="W675">
        <v>155</v>
      </c>
    </row>
    <row r="676" spans="1:23">
      <c r="A676">
        <v>351.41704648421933</v>
      </c>
      <c r="B676">
        <v>56</v>
      </c>
      <c r="C676">
        <v>4.3927130810527419</v>
      </c>
      <c r="D676">
        <v>407.00000000000011</v>
      </c>
      <c r="E676">
        <v>690.03319502074692</v>
      </c>
      <c r="F676">
        <v>158.39699999999999</v>
      </c>
      <c r="G676">
        <v>68.191000000000003</v>
      </c>
      <c r="H676">
        <v>7</v>
      </c>
      <c r="I676">
        <v>53</v>
      </c>
      <c r="J676">
        <v>5</v>
      </c>
      <c r="K676">
        <v>249</v>
      </c>
      <c r="L676">
        <v>60</v>
      </c>
      <c r="M676">
        <v>26</v>
      </c>
      <c r="N676">
        <v>1995</v>
      </c>
      <c r="O676">
        <v>0.27</v>
      </c>
      <c r="P676">
        <v>2.4700000000000002</v>
      </c>
      <c r="Q676">
        <v>1.4999999999999999E-2</v>
      </c>
      <c r="R676">
        <v>60</v>
      </c>
      <c r="S676">
        <v>700</v>
      </c>
      <c r="T676">
        <v>475</v>
      </c>
      <c r="U676">
        <v>275</v>
      </c>
      <c r="V676">
        <v>370</v>
      </c>
      <c r="W676">
        <v>155</v>
      </c>
    </row>
    <row r="677" spans="1:23">
      <c r="A677">
        <v>316.1998724299645</v>
      </c>
      <c r="B677">
        <v>50.400000000000013</v>
      </c>
      <c r="C677">
        <v>4.3916648948606181</v>
      </c>
      <c r="D677">
        <v>413.20119999999997</v>
      </c>
      <c r="E677">
        <v>690.35518672199169</v>
      </c>
      <c r="F677">
        <v>255.01325</v>
      </c>
      <c r="G677">
        <v>61.362650000000009</v>
      </c>
      <c r="H677">
        <v>96</v>
      </c>
      <c r="I677">
        <v>61</v>
      </c>
      <c r="J677">
        <v>39</v>
      </c>
      <c r="K677">
        <v>188</v>
      </c>
      <c r="L677">
        <v>50</v>
      </c>
      <c r="M677">
        <v>14</v>
      </c>
      <c r="N677">
        <v>1995</v>
      </c>
      <c r="O677">
        <v>0.27</v>
      </c>
      <c r="P677">
        <v>2.4700000000000002</v>
      </c>
      <c r="Q677">
        <v>1.4999999999999999E-2</v>
      </c>
      <c r="R677">
        <v>60</v>
      </c>
      <c r="S677">
        <v>700</v>
      </c>
      <c r="T677">
        <v>475</v>
      </c>
      <c r="U677">
        <v>275</v>
      </c>
      <c r="V677">
        <v>370</v>
      </c>
      <c r="W677">
        <v>155</v>
      </c>
    </row>
    <row r="678" spans="1:23">
      <c r="A678">
        <v>351.29773443692511</v>
      </c>
      <c r="B678">
        <v>56</v>
      </c>
      <c r="C678">
        <v>4.3912216804615642</v>
      </c>
      <c r="D678">
        <v>411.97649999999999</v>
      </c>
      <c r="E678">
        <v>690.78008298755174</v>
      </c>
      <c r="F678">
        <v>159.81225000000001</v>
      </c>
      <c r="G678">
        <v>68.181749999999994</v>
      </c>
      <c r="H678">
        <v>6</v>
      </c>
      <c r="I678">
        <v>52</v>
      </c>
      <c r="J678">
        <v>6</v>
      </c>
      <c r="K678">
        <v>189</v>
      </c>
      <c r="L678">
        <v>61</v>
      </c>
      <c r="M678">
        <v>13</v>
      </c>
      <c r="N678">
        <v>1995</v>
      </c>
      <c r="O678">
        <v>0.27</v>
      </c>
      <c r="P678">
        <v>2.4700000000000002</v>
      </c>
      <c r="Q678">
        <v>1.4999999999999999E-2</v>
      </c>
      <c r="R678">
        <v>60</v>
      </c>
      <c r="S678">
        <v>700</v>
      </c>
      <c r="T678">
        <v>475</v>
      </c>
      <c r="U678">
        <v>275</v>
      </c>
      <c r="V678">
        <v>370</v>
      </c>
      <c r="W678">
        <v>155</v>
      </c>
    </row>
    <row r="679" spans="1:23">
      <c r="A679">
        <v>350.77817830136257</v>
      </c>
      <c r="B679">
        <v>56</v>
      </c>
      <c r="C679">
        <v>4.3847272287670327</v>
      </c>
      <c r="D679">
        <v>439.44900000000001</v>
      </c>
      <c r="E679">
        <v>688.74024896265553</v>
      </c>
      <c r="F679">
        <v>162.17099999999999</v>
      </c>
      <c r="G679">
        <v>68.043000000000006</v>
      </c>
      <c r="H679">
        <v>6</v>
      </c>
      <c r="I679">
        <v>53</v>
      </c>
      <c r="J679">
        <v>6</v>
      </c>
      <c r="K679">
        <v>71</v>
      </c>
      <c r="L679">
        <v>54</v>
      </c>
      <c r="M679">
        <v>7</v>
      </c>
      <c r="N679">
        <v>1995</v>
      </c>
      <c r="O679">
        <v>0.27</v>
      </c>
      <c r="P679">
        <v>2.4700000000000002</v>
      </c>
      <c r="Q679">
        <v>1.4999999999999999E-2</v>
      </c>
      <c r="R679">
        <v>60</v>
      </c>
      <c r="S679">
        <v>700</v>
      </c>
      <c r="T679">
        <v>475</v>
      </c>
      <c r="U679">
        <v>275</v>
      </c>
      <c r="V679">
        <v>370</v>
      </c>
      <c r="W679">
        <v>155</v>
      </c>
    </row>
    <row r="680" spans="1:23">
      <c r="A680">
        <v>350.54072825952971</v>
      </c>
      <c r="B680">
        <v>56.000000000000007</v>
      </c>
      <c r="C680">
        <v>4.3817591032441197</v>
      </c>
      <c r="D680">
        <v>397.46879999999999</v>
      </c>
      <c r="E680">
        <v>690.02489626556007</v>
      </c>
      <c r="F680">
        <v>162.14879999999999</v>
      </c>
      <c r="G680">
        <v>68.020800000000008</v>
      </c>
      <c r="H680">
        <v>6</v>
      </c>
      <c r="I680">
        <v>53</v>
      </c>
      <c r="J680">
        <v>6</v>
      </c>
      <c r="K680">
        <v>190</v>
      </c>
      <c r="L680">
        <v>59</v>
      </c>
      <c r="M680">
        <v>6</v>
      </c>
      <c r="N680">
        <v>1995</v>
      </c>
      <c r="O680">
        <v>0.27</v>
      </c>
      <c r="P680">
        <v>2.4700000000000002</v>
      </c>
      <c r="Q680">
        <v>1.4999999999999999E-2</v>
      </c>
      <c r="R680">
        <v>60</v>
      </c>
      <c r="S680">
        <v>700</v>
      </c>
      <c r="T680">
        <v>475</v>
      </c>
      <c r="U680">
        <v>275</v>
      </c>
      <c r="V680">
        <v>370</v>
      </c>
      <c r="W680">
        <v>155</v>
      </c>
    </row>
    <row r="681" spans="1:23">
      <c r="A681">
        <v>350.31834822066202</v>
      </c>
      <c r="B681">
        <v>56</v>
      </c>
      <c r="C681">
        <v>4.3789793527582752</v>
      </c>
      <c r="D681">
        <v>415.392</v>
      </c>
      <c r="E681">
        <v>682.39354174189225</v>
      </c>
      <c r="F681">
        <v>161.07599999999999</v>
      </c>
      <c r="G681">
        <v>67.835999999999999</v>
      </c>
      <c r="H681">
        <v>9</v>
      </c>
      <c r="I681">
        <v>56</v>
      </c>
      <c r="J681">
        <v>3</v>
      </c>
      <c r="K681">
        <v>105</v>
      </c>
      <c r="L681">
        <v>65</v>
      </c>
      <c r="M681">
        <v>12</v>
      </c>
      <c r="N681">
        <v>1995</v>
      </c>
      <c r="O681">
        <v>0.27</v>
      </c>
      <c r="P681">
        <v>2.4700000000000002</v>
      </c>
      <c r="Q681">
        <v>1.4999999999999999E-2</v>
      </c>
      <c r="R681">
        <v>60</v>
      </c>
      <c r="S681">
        <v>700</v>
      </c>
      <c r="T681">
        <v>475</v>
      </c>
      <c r="U681">
        <v>275</v>
      </c>
      <c r="V681">
        <v>370</v>
      </c>
      <c r="W681">
        <v>155</v>
      </c>
    </row>
    <row r="682" spans="1:23">
      <c r="A682">
        <v>349.98727913737832</v>
      </c>
      <c r="B682">
        <v>56</v>
      </c>
      <c r="C682">
        <v>4.3748409892172289</v>
      </c>
      <c r="D682">
        <v>383.66780000000011</v>
      </c>
      <c r="E682">
        <v>691.8257261410788</v>
      </c>
      <c r="F682">
        <v>158.15280000000001</v>
      </c>
      <c r="G682">
        <v>67.946799999999996</v>
      </c>
      <c r="H682">
        <v>7</v>
      </c>
      <c r="I682">
        <v>53</v>
      </c>
      <c r="J682">
        <v>5</v>
      </c>
      <c r="K682">
        <v>263</v>
      </c>
      <c r="L682">
        <v>60</v>
      </c>
      <c r="M682">
        <v>21</v>
      </c>
      <c r="N682">
        <v>1995</v>
      </c>
      <c r="O682">
        <v>0.27</v>
      </c>
      <c r="P682">
        <v>2.4700000000000002</v>
      </c>
      <c r="Q682">
        <v>1.4999999999999999E-2</v>
      </c>
      <c r="R682">
        <v>60</v>
      </c>
      <c r="S682">
        <v>700</v>
      </c>
      <c r="T682">
        <v>475</v>
      </c>
      <c r="U682">
        <v>275</v>
      </c>
      <c r="V682">
        <v>370</v>
      </c>
      <c r="W682">
        <v>155</v>
      </c>
    </row>
    <row r="683" spans="1:23">
      <c r="A683">
        <v>314.65502218762492</v>
      </c>
      <c r="B683">
        <v>50.400000000000013</v>
      </c>
      <c r="C683">
        <v>4.3702086414947896</v>
      </c>
      <c r="D683">
        <v>399.98183999999998</v>
      </c>
      <c r="E683">
        <v>692.18091286307049</v>
      </c>
      <c r="F683">
        <v>254.74388999999999</v>
      </c>
      <c r="G683">
        <v>61.09329000000001</v>
      </c>
      <c r="H683">
        <v>96</v>
      </c>
      <c r="I683">
        <v>61</v>
      </c>
      <c r="J683">
        <v>39</v>
      </c>
      <c r="K683">
        <v>208</v>
      </c>
      <c r="L683">
        <v>51</v>
      </c>
      <c r="M683">
        <v>16</v>
      </c>
      <c r="N683">
        <v>1995</v>
      </c>
      <c r="O683">
        <v>0.27</v>
      </c>
      <c r="P683">
        <v>2.4700000000000002</v>
      </c>
      <c r="Q683">
        <v>1.4999999999999999E-2</v>
      </c>
      <c r="R683">
        <v>60</v>
      </c>
      <c r="S683">
        <v>700</v>
      </c>
      <c r="T683">
        <v>475</v>
      </c>
      <c r="U683">
        <v>275</v>
      </c>
      <c r="V683">
        <v>370</v>
      </c>
      <c r="W683">
        <v>155</v>
      </c>
    </row>
    <row r="684" spans="1:23">
      <c r="A684">
        <v>349.58621491220231</v>
      </c>
      <c r="B684">
        <v>56.000000000000007</v>
      </c>
      <c r="C684">
        <v>4.3698276864025276</v>
      </c>
      <c r="D684">
        <v>406.24520000000012</v>
      </c>
      <c r="E684">
        <v>688.83817427385895</v>
      </c>
      <c r="F684">
        <v>158.0196</v>
      </c>
      <c r="G684">
        <v>67.813600000000008</v>
      </c>
      <c r="H684">
        <v>7</v>
      </c>
      <c r="I684">
        <v>53</v>
      </c>
      <c r="J684">
        <v>5</v>
      </c>
      <c r="K684">
        <v>60</v>
      </c>
      <c r="L684">
        <v>60</v>
      </c>
      <c r="M684">
        <v>31</v>
      </c>
      <c r="N684">
        <v>1995</v>
      </c>
      <c r="O684">
        <v>0.27</v>
      </c>
      <c r="P684">
        <v>2.4700000000000002</v>
      </c>
      <c r="Q684">
        <v>1.4999999999999999E-2</v>
      </c>
      <c r="R684">
        <v>60</v>
      </c>
      <c r="S684">
        <v>700</v>
      </c>
      <c r="T684">
        <v>475</v>
      </c>
      <c r="U684">
        <v>275</v>
      </c>
      <c r="V684">
        <v>370</v>
      </c>
      <c r="W684">
        <v>155</v>
      </c>
    </row>
    <row r="685" spans="1:23">
      <c r="A685">
        <v>349.56104230513711</v>
      </c>
      <c r="B685">
        <v>56</v>
      </c>
      <c r="C685">
        <v>4.3695130288142137</v>
      </c>
      <c r="D685">
        <v>382.173</v>
      </c>
      <c r="E685">
        <v>692.4979253112034</v>
      </c>
      <c r="F685">
        <v>157.398</v>
      </c>
      <c r="G685">
        <v>67.876499999999993</v>
      </c>
      <c r="H685">
        <v>9</v>
      </c>
      <c r="I685">
        <v>54</v>
      </c>
      <c r="J685">
        <v>3</v>
      </c>
      <c r="K685">
        <v>208</v>
      </c>
      <c r="L685">
        <v>59</v>
      </c>
      <c r="M685">
        <v>25</v>
      </c>
      <c r="N685">
        <v>1995</v>
      </c>
      <c r="O685">
        <v>0.27</v>
      </c>
      <c r="P685">
        <v>2.4700000000000002</v>
      </c>
      <c r="Q685">
        <v>1.4999999999999999E-2</v>
      </c>
      <c r="R685">
        <v>60</v>
      </c>
      <c r="S685">
        <v>700</v>
      </c>
      <c r="T685">
        <v>475</v>
      </c>
      <c r="U685">
        <v>275</v>
      </c>
      <c r="V685">
        <v>370</v>
      </c>
      <c r="W685">
        <v>155</v>
      </c>
    </row>
    <row r="686" spans="1:23">
      <c r="A686">
        <v>362.40550643931368</v>
      </c>
      <c r="B686">
        <v>58.074074074074083</v>
      </c>
      <c r="C686">
        <v>4.3682806579738704</v>
      </c>
      <c r="D686">
        <v>399.42440000000011</v>
      </c>
      <c r="E686">
        <v>692.8056245265484</v>
      </c>
      <c r="F686">
        <v>164.61930000000001</v>
      </c>
      <c r="G686">
        <v>70.376499999999993</v>
      </c>
      <c r="H686">
        <v>7</v>
      </c>
      <c r="I686">
        <v>56</v>
      </c>
      <c r="J686">
        <v>5</v>
      </c>
      <c r="K686">
        <v>154</v>
      </c>
      <c r="L686">
        <v>55</v>
      </c>
      <c r="M686">
        <v>27</v>
      </c>
      <c r="N686">
        <v>1995</v>
      </c>
      <c r="O686">
        <v>0.27</v>
      </c>
      <c r="P686">
        <v>2.4700000000000002</v>
      </c>
      <c r="Q686">
        <v>1.4999999999999999E-2</v>
      </c>
      <c r="R686">
        <v>60</v>
      </c>
      <c r="S686">
        <v>700</v>
      </c>
      <c r="T686">
        <v>475</v>
      </c>
      <c r="U686">
        <v>275</v>
      </c>
      <c r="V686">
        <v>370</v>
      </c>
      <c r="W686">
        <v>155</v>
      </c>
    </row>
    <row r="687" spans="1:23">
      <c r="A687">
        <v>349.44678401985959</v>
      </c>
      <c r="B687">
        <v>56</v>
      </c>
      <c r="C687">
        <v>4.368084800248246</v>
      </c>
      <c r="D687">
        <v>406.18400000000008</v>
      </c>
      <c r="E687">
        <v>688.64628560469373</v>
      </c>
      <c r="F687">
        <v>157.989</v>
      </c>
      <c r="G687">
        <v>67.783000000000001</v>
      </c>
      <c r="H687">
        <v>7</v>
      </c>
      <c r="I687">
        <v>53</v>
      </c>
      <c r="J687">
        <v>5</v>
      </c>
      <c r="K687">
        <v>42</v>
      </c>
      <c r="L687">
        <v>60</v>
      </c>
      <c r="M687">
        <v>21</v>
      </c>
      <c r="N687">
        <v>1995</v>
      </c>
      <c r="O687">
        <v>0.27</v>
      </c>
      <c r="P687">
        <v>2.4700000000000002</v>
      </c>
      <c r="Q687">
        <v>1.4999999999999999E-2</v>
      </c>
      <c r="R687">
        <v>60</v>
      </c>
      <c r="S687">
        <v>700</v>
      </c>
      <c r="T687">
        <v>475</v>
      </c>
      <c r="U687">
        <v>275</v>
      </c>
      <c r="V687">
        <v>370</v>
      </c>
      <c r="W687">
        <v>155</v>
      </c>
    </row>
    <row r="688" spans="1:23">
      <c r="A688">
        <v>348.98003082214728</v>
      </c>
      <c r="B688">
        <v>56.000000000000007</v>
      </c>
      <c r="C688">
        <v>4.3622503852768402</v>
      </c>
      <c r="D688">
        <v>412.54408000000001</v>
      </c>
      <c r="E688">
        <v>691.43568464730288</v>
      </c>
      <c r="F688">
        <v>160.09603999999999</v>
      </c>
      <c r="G688">
        <v>67.744040000000012</v>
      </c>
      <c r="H688">
        <v>6</v>
      </c>
      <c r="I688">
        <v>52</v>
      </c>
      <c r="J688">
        <v>6</v>
      </c>
      <c r="K688">
        <v>245</v>
      </c>
      <c r="L688">
        <v>59</v>
      </c>
      <c r="M688">
        <v>19</v>
      </c>
      <c r="N688">
        <v>1995</v>
      </c>
      <c r="O688">
        <v>0.27</v>
      </c>
      <c r="P688">
        <v>2.4700000000000002</v>
      </c>
      <c r="Q688">
        <v>1.4999999999999999E-2</v>
      </c>
      <c r="R688">
        <v>60</v>
      </c>
      <c r="S688">
        <v>700</v>
      </c>
      <c r="T688">
        <v>475</v>
      </c>
      <c r="U688">
        <v>275</v>
      </c>
      <c r="V688">
        <v>370</v>
      </c>
      <c r="W688">
        <v>155</v>
      </c>
    </row>
    <row r="689" spans="1:23">
      <c r="A689">
        <v>348.65700034459672</v>
      </c>
      <c r="B689">
        <v>56</v>
      </c>
      <c r="C689">
        <v>4.3582125043074589</v>
      </c>
      <c r="D689">
        <v>955.39919999999995</v>
      </c>
      <c r="E689">
        <v>681.37071985190789</v>
      </c>
      <c r="F689">
        <v>156.07339999999999</v>
      </c>
      <c r="G689">
        <v>67.495399999999989</v>
      </c>
      <c r="H689">
        <v>2</v>
      </c>
      <c r="I689">
        <v>57</v>
      </c>
      <c r="J689">
        <v>7</v>
      </c>
      <c r="K689">
        <v>327</v>
      </c>
      <c r="L689">
        <v>56</v>
      </c>
      <c r="M689">
        <v>28</v>
      </c>
      <c r="N689">
        <v>1995</v>
      </c>
      <c r="O689">
        <v>0.27</v>
      </c>
      <c r="P689">
        <v>2.4700000000000002</v>
      </c>
      <c r="Q689">
        <v>1.4999999999999999E-2</v>
      </c>
      <c r="R689">
        <v>60</v>
      </c>
      <c r="S689">
        <v>700</v>
      </c>
      <c r="T689">
        <v>475</v>
      </c>
      <c r="U689">
        <v>275</v>
      </c>
      <c r="V689">
        <v>370</v>
      </c>
      <c r="W689">
        <v>155</v>
      </c>
    </row>
    <row r="690" spans="1:23">
      <c r="A690">
        <v>427.03971297801172</v>
      </c>
      <c r="B690">
        <v>68.600000000000023</v>
      </c>
      <c r="C690">
        <v>4.3575480916123626</v>
      </c>
      <c r="D690">
        <v>503.7312</v>
      </c>
      <c r="E690">
        <v>689.12185084433963</v>
      </c>
      <c r="F690">
        <v>193.1328</v>
      </c>
      <c r="G690">
        <v>82.844640000000012</v>
      </c>
      <c r="H690">
        <v>8</v>
      </c>
      <c r="I690">
        <v>57</v>
      </c>
      <c r="J690">
        <v>5</v>
      </c>
      <c r="K690">
        <v>325</v>
      </c>
      <c r="L690">
        <v>56</v>
      </c>
      <c r="M690">
        <v>22</v>
      </c>
      <c r="N690">
        <v>1995</v>
      </c>
      <c r="O690">
        <v>0.27</v>
      </c>
      <c r="P690">
        <v>2.4700000000000002</v>
      </c>
      <c r="Q690">
        <v>1.4999999999999999E-2</v>
      </c>
      <c r="R690">
        <v>60</v>
      </c>
      <c r="S690">
        <v>700</v>
      </c>
      <c r="T690">
        <v>475</v>
      </c>
      <c r="U690">
        <v>275</v>
      </c>
      <c r="V690">
        <v>370</v>
      </c>
      <c r="W690">
        <v>155</v>
      </c>
    </row>
    <row r="691" spans="1:23">
      <c r="A691">
        <v>348.42594102991069</v>
      </c>
      <c r="B691">
        <v>56</v>
      </c>
      <c r="C691">
        <v>4.355324262873884</v>
      </c>
      <c r="D691">
        <v>430.02</v>
      </c>
      <c r="E691">
        <v>658.44843809832923</v>
      </c>
      <c r="F691">
        <v>158.60249999999999</v>
      </c>
      <c r="G691">
        <v>67.027500000000003</v>
      </c>
      <c r="H691">
        <v>9</v>
      </c>
      <c r="I691">
        <v>55</v>
      </c>
      <c r="J691">
        <v>3</v>
      </c>
      <c r="K691">
        <v>301</v>
      </c>
      <c r="L691">
        <v>59</v>
      </c>
      <c r="M691">
        <v>2</v>
      </c>
      <c r="N691">
        <v>1995</v>
      </c>
      <c r="O691">
        <v>0.27</v>
      </c>
      <c r="P691">
        <v>2.4700000000000002</v>
      </c>
      <c r="Q691">
        <v>1.4999999999999999E-2</v>
      </c>
      <c r="R691">
        <v>60</v>
      </c>
      <c r="S691">
        <v>700</v>
      </c>
      <c r="T691">
        <v>475</v>
      </c>
      <c r="U691">
        <v>275</v>
      </c>
      <c r="V691">
        <v>370</v>
      </c>
      <c r="W691">
        <v>155</v>
      </c>
    </row>
    <row r="692" spans="1:23">
      <c r="A692">
        <v>313.24443343725471</v>
      </c>
      <c r="B692">
        <v>50.400000000000013</v>
      </c>
      <c r="C692">
        <v>4.3506171310729824</v>
      </c>
      <c r="D692">
        <v>412.12119999999999</v>
      </c>
      <c r="E692">
        <v>692.37608855463918</v>
      </c>
      <c r="F692">
        <v>254.47325000000001</v>
      </c>
      <c r="G692">
        <v>60.82265000000001</v>
      </c>
      <c r="H692">
        <v>96</v>
      </c>
      <c r="I692">
        <v>61</v>
      </c>
      <c r="J692">
        <v>39</v>
      </c>
      <c r="K692">
        <v>313</v>
      </c>
      <c r="L692">
        <v>50</v>
      </c>
      <c r="M692">
        <v>17</v>
      </c>
      <c r="N692">
        <v>1995</v>
      </c>
      <c r="O692">
        <v>0.27</v>
      </c>
      <c r="P692">
        <v>2.4700000000000002</v>
      </c>
      <c r="Q692">
        <v>1.4999999999999999E-2</v>
      </c>
      <c r="R692">
        <v>60</v>
      </c>
      <c r="S692">
        <v>700</v>
      </c>
      <c r="T692">
        <v>475</v>
      </c>
      <c r="U692">
        <v>275</v>
      </c>
      <c r="V692">
        <v>370</v>
      </c>
      <c r="W692">
        <v>155</v>
      </c>
    </row>
    <row r="693" spans="1:23">
      <c r="A693">
        <v>347.93352655774987</v>
      </c>
      <c r="B693">
        <v>56.000000000000007</v>
      </c>
      <c r="C693">
        <v>4.3491690819718736</v>
      </c>
      <c r="D693">
        <v>454.71359999999999</v>
      </c>
      <c r="E693">
        <v>690.90991893030855</v>
      </c>
      <c r="F693">
        <v>159.43680000000001</v>
      </c>
      <c r="G693">
        <v>67.531200000000013</v>
      </c>
      <c r="H693">
        <v>8</v>
      </c>
      <c r="I693">
        <v>55</v>
      </c>
      <c r="J693">
        <v>4</v>
      </c>
      <c r="K693">
        <v>306</v>
      </c>
      <c r="L693">
        <v>55</v>
      </c>
      <c r="M693">
        <v>4</v>
      </c>
      <c r="N693">
        <v>1995</v>
      </c>
      <c r="O693">
        <v>0.27</v>
      </c>
      <c r="P693">
        <v>2.4700000000000002</v>
      </c>
      <c r="Q693">
        <v>1.4999999999999999E-2</v>
      </c>
      <c r="R693">
        <v>60</v>
      </c>
      <c r="S693">
        <v>700</v>
      </c>
      <c r="T693">
        <v>475</v>
      </c>
      <c r="U693">
        <v>275</v>
      </c>
      <c r="V693">
        <v>370</v>
      </c>
      <c r="W693">
        <v>155</v>
      </c>
    </row>
    <row r="694" spans="1:23">
      <c r="A694">
        <v>347.85217289790131</v>
      </c>
      <c r="B694">
        <v>55.999999999999993</v>
      </c>
      <c r="C694">
        <v>4.3481521612237666</v>
      </c>
      <c r="D694">
        <v>437.11799999999999</v>
      </c>
      <c r="E694">
        <v>677.37759336099577</v>
      </c>
      <c r="F694">
        <v>161.39400000000001</v>
      </c>
      <c r="G694">
        <v>67.266000000000005</v>
      </c>
      <c r="H694">
        <v>6</v>
      </c>
      <c r="I694">
        <v>53</v>
      </c>
      <c r="J694">
        <v>6</v>
      </c>
      <c r="K694">
        <v>101</v>
      </c>
      <c r="L694">
        <v>60</v>
      </c>
      <c r="M694">
        <v>7</v>
      </c>
      <c r="N694">
        <v>1995</v>
      </c>
      <c r="O694">
        <v>0.27</v>
      </c>
      <c r="P694">
        <v>2.4700000000000002</v>
      </c>
      <c r="Q694">
        <v>1.4999999999999999E-2</v>
      </c>
      <c r="R694">
        <v>60</v>
      </c>
      <c r="S694">
        <v>700</v>
      </c>
      <c r="T694">
        <v>475</v>
      </c>
      <c r="U694">
        <v>275</v>
      </c>
      <c r="V694">
        <v>370</v>
      </c>
      <c r="W694">
        <v>155</v>
      </c>
    </row>
    <row r="695" spans="1:23">
      <c r="A695">
        <v>347.75605500700988</v>
      </c>
      <c r="B695">
        <v>56.000000000000007</v>
      </c>
      <c r="C695">
        <v>4.3469506875876238</v>
      </c>
      <c r="D695">
        <v>383.20159999999998</v>
      </c>
      <c r="E695">
        <v>690.03319502074692</v>
      </c>
      <c r="F695">
        <v>157.6866</v>
      </c>
      <c r="G695">
        <v>67.48060000000001</v>
      </c>
      <c r="H695">
        <v>7</v>
      </c>
      <c r="I695">
        <v>53</v>
      </c>
      <c r="J695">
        <v>5</v>
      </c>
      <c r="K695">
        <v>203</v>
      </c>
      <c r="L695">
        <v>60</v>
      </c>
      <c r="M695">
        <v>24</v>
      </c>
      <c r="N695">
        <v>1995</v>
      </c>
      <c r="O695">
        <v>0.27</v>
      </c>
      <c r="P695">
        <v>2.4700000000000002</v>
      </c>
      <c r="Q695">
        <v>1.4999999999999999E-2</v>
      </c>
      <c r="R695">
        <v>60</v>
      </c>
      <c r="S695">
        <v>700</v>
      </c>
      <c r="T695">
        <v>475</v>
      </c>
      <c r="U695">
        <v>275</v>
      </c>
      <c r="V695">
        <v>370</v>
      </c>
      <c r="W695">
        <v>155</v>
      </c>
    </row>
    <row r="696" spans="1:23">
      <c r="A696">
        <v>347.61019347917897</v>
      </c>
      <c r="B696">
        <v>56</v>
      </c>
      <c r="C696">
        <v>4.3451274184897377</v>
      </c>
      <c r="D696">
        <v>405.61916000000002</v>
      </c>
      <c r="E696">
        <v>692.65477178423237</v>
      </c>
      <c r="F696">
        <v>157.70658</v>
      </c>
      <c r="G696">
        <v>67.500579999999999</v>
      </c>
      <c r="H696">
        <v>7</v>
      </c>
      <c r="I696">
        <v>53</v>
      </c>
      <c r="J696">
        <v>5</v>
      </c>
      <c r="K696">
        <v>252</v>
      </c>
      <c r="L696">
        <v>59</v>
      </c>
      <c r="M696">
        <v>27</v>
      </c>
      <c r="N696">
        <v>1995</v>
      </c>
      <c r="O696">
        <v>0.27</v>
      </c>
      <c r="P696">
        <v>2.4700000000000002</v>
      </c>
      <c r="Q696">
        <v>1.4999999999999999E-2</v>
      </c>
      <c r="R696">
        <v>60</v>
      </c>
      <c r="S696">
        <v>700</v>
      </c>
      <c r="T696">
        <v>475</v>
      </c>
      <c r="U696">
        <v>275</v>
      </c>
      <c r="V696">
        <v>370</v>
      </c>
      <c r="W696">
        <v>155</v>
      </c>
    </row>
    <row r="697" spans="1:23">
      <c r="A697">
        <v>347.58592882310529</v>
      </c>
      <c r="B697">
        <v>56.000000000000007</v>
      </c>
      <c r="C697">
        <v>4.3448241102888163</v>
      </c>
      <c r="D697">
        <v>405.57920000000013</v>
      </c>
      <c r="E697">
        <v>691.8257261410788</v>
      </c>
      <c r="F697">
        <v>157.6866</v>
      </c>
      <c r="G697">
        <v>67.48060000000001</v>
      </c>
      <c r="H697">
        <v>7</v>
      </c>
      <c r="I697">
        <v>53</v>
      </c>
      <c r="J697">
        <v>5</v>
      </c>
      <c r="K697">
        <v>242</v>
      </c>
      <c r="L697">
        <v>60</v>
      </c>
      <c r="M697">
        <v>18</v>
      </c>
      <c r="N697">
        <v>1995</v>
      </c>
      <c r="O697">
        <v>0.27</v>
      </c>
      <c r="P697">
        <v>2.4700000000000002</v>
      </c>
      <c r="Q697">
        <v>1.4999999999999999E-2</v>
      </c>
      <c r="R697">
        <v>60</v>
      </c>
      <c r="S697">
        <v>700</v>
      </c>
      <c r="T697">
        <v>475</v>
      </c>
      <c r="U697">
        <v>275</v>
      </c>
      <c r="V697">
        <v>370</v>
      </c>
      <c r="W697">
        <v>155</v>
      </c>
    </row>
    <row r="698" spans="1:23">
      <c r="A698">
        <v>347.58592882310529</v>
      </c>
      <c r="B698">
        <v>56.000000000000007</v>
      </c>
      <c r="C698">
        <v>4.3448241102888163</v>
      </c>
      <c r="D698">
        <v>405.57920000000013</v>
      </c>
      <c r="E698">
        <v>691.8257261410788</v>
      </c>
      <c r="F698">
        <v>157.6866</v>
      </c>
      <c r="G698">
        <v>67.48060000000001</v>
      </c>
      <c r="H698">
        <v>7</v>
      </c>
      <c r="I698">
        <v>53</v>
      </c>
      <c r="J698">
        <v>5</v>
      </c>
      <c r="K698">
        <v>243</v>
      </c>
      <c r="L698">
        <v>60</v>
      </c>
      <c r="M698">
        <v>18</v>
      </c>
      <c r="N698">
        <v>1995</v>
      </c>
      <c r="O698">
        <v>0.27</v>
      </c>
      <c r="P698">
        <v>2.4700000000000002</v>
      </c>
      <c r="Q698">
        <v>1.4999999999999999E-2</v>
      </c>
      <c r="R698">
        <v>60</v>
      </c>
      <c r="S698">
        <v>700</v>
      </c>
      <c r="T698">
        <v>475</v>
      </c>
      <c r="U698">
        <v>275</v>
      </c>
      <c r="V698">
        <v>370</v>
      </c>
      <c r="W698">
        <v>155</v>
      </c>
    </row>
    <row r="699" spans="1:23">
      <c r="A699">
        <v>325.85169620009867</v>
      </c>
      <c r="B699">
        <v>52.500000000000007</v>
      </c>
      <c r="C699">
        <v>4.3446892826679822</v>
      </c>
      <c r="D699">
        <v>509.32799999999997</v>
      </c>
      <c r="E699">
        <v>689.94334319631002</v>
      </c>
      <c r="F699">
        <v>182.8656</v>
      </c>
      <c r="G699">
        <v>63.228600000000007</v>
      </c>
      <c r="H699">
        <v>147</v>
      </c>
      <c r="I699">
        <v>50</v>
      </c>
      <c r="J699">
        <v>5</v>
      </c>
      <c r="K699">
        <v>111</v>
      </c>
      <c r="L699">
        <v>61</v>
      </c>
      <c r="M699">
        <v>9</v>
      </c>
      <c r="N699">
        <v>1995</v>
      </c>
      <c r="O699">
        <v>0.27</v>
      </c>
      <c r="P699">
        <v>2.4700000000000002</v>
      </c>
      <c r="Q699">
        <v>1.4999999999999999E-2</v>
      </c>
      <c r="R699">
        <v>60</v>
      </c>
      <c r="S699">
        <v>700</v>
      </c>
      <c r="T699">
        <v>475</v>
      </c>
      <c r="U699">
        <v>275</v>
      </c>
      <c r="V699">
        <v>370</v>
      </c>
      <c r="W699">
        <v>155</v>
      </c>
    </row>
    <row r="700" spans="1:23">
      <c r="A700">
        <v>347.52657679912119</v>
      </c>
      <c r="B700">
        <v>56.000000000000007</v>
      </c>
      <c r="C700">
        <v>4.344082209989014</v>
      </c>
      <c r="D700">
        <v>403.12245000000001</v>
      </c>
      <c r="E700">
        <v>692.41239857778532</v>
      </c>
      <c r="F700">
        <v>157.00152</v>
      </c>
      <c r="G700">
        <v>67.479880000000009</v>
      </c>
      <c r="H700">
        <v>9</v>
      </c>
      <c r="I700">
        <v>54</v>
      </c>
      <c r="J700">
        <v>3</v>
      </c>
      <c r="K700">
        <v>146</v>
      </c>
      <c r="L700">
        <v>58</v>
      </c>
      <c r="M700">
        <v>19</v>
      </c>
      <c r="N700">
        <v>1995</v>
      </c>
      <c r="O700">
        <v>0.27</v>
      </c>
      <c r="P700">
        <v>2.4700000000000002</v>
      </c>
      <c r="Q700">
        <v>1.4999999999999999E-2</v>
      </c>
      <c r="R700">
        <v>60</v>
      </c>
      <c r="S700">
        <v>700</v>
      </c>
      <c r="T700">
        <v>475</v>
      </c>
      <c r="U700">
        <v>275</v>
      </c>
      <c r="V700">
        <v>370</v>
      </c>
      <c r="W700">
        <v>155</v>
      </c>
    </row>
    <row r="701" spans="1:23">
      <c r="A701">
        <v>347.50384008552851</v>
      </c>
      <c r="B701">
        <v>56.000000000000007</v>
      </c>
      <c r="C701">
        <v>4.3437980010691053</v>
      </c>
      <c r="D701">
        <v>390.33600000000013</v>
      </c>
      <c r="E701">
        <v>683.18672199170123</v>
      </c>
      <c r="F701">
        <v>159.6</v>
      </c>
      <c r="G701">
        <v>67.305600000000013</v>
      </c>
      <c r="H701">
        <v>8</v>
      </c>
      <c r="I701">
        <v>55</v>
      </c>
      <c r="J701">
        <v>4</v>
      </c>
      <c r="K701">
        <v>261</v>
      </c>
      <c r="L701">
        <v>58</v>
      </c>
      <c r="M701">
        <v>12</v>
      </c>
      <c r="N701">
        <v>1995</v>
      </c>
      <c r="O701">
        <v>0.27</v>
      </c>
      <c r="P701">
        <v>2.4700000000000002</v>
      </c>
      <c r="Q701">
        <v>1.4999999999999999E-2</v>
      </c>
      <c r="R701">
        <v>60</v>
      </c>
      <c r="S701">
        <v>700</v>
      </c>
      <c r="T701">
        <v>475</v>
      </c>
      <c r="U701">
        <v>275</v>
      </c>
      <c r="V701">
        <v>370</v>
      </c>
      <c r="W701">
        <v>155</v>
      </c>
    </row>
    <row r="702" spans="1:23">
      <c r="A702">
        <v>347.4795957069594</v>
      </c>
      <c r="B702">
        <v>56</v>
      </c>
      <c r="C702">
        <v>4.3434949463369934</v>
      </c>
      <c r="D702">
        <v>390.43520000000001</v>
      </c>
      <c r="E702">
        <v>688.82987551867222</v>
      </c>
      <c r="F702">
        <v>159.69919999999999</v>
      </c>
      <c r="G702">
        <v>67.404800000000009</v>
      </c>
      <c r="H702">
        <v>8</v>
      </c>
      <c r="I702">
        <v>55</v>
      </c>
      <c r="J702">
        <v>4</v>
      </c>
      <c r="K702">
        <v>50</v>
      </c>
      <c r="L702">
        <v>52</v>
      </c>
      <c r="M702">
        <v>7</v>
      </c>
      <c r="N702">
        <v>1995</v>
      </c>
      <c r="O702">
        <v>0.27</v>
      </c>
      <c r="P702">
        <v>2.4700000000000002</v>
      </c>
      <c r="Q702">
        <v>1.4999999999999999E-2</v>
      </c>
      <c r="R702">
        <v>60</v>
      </c>
      <c r="S702">
        <v>700</v>
      </c>
      <c r="T702">
        <v>475</v>
      </c>
      <c r="U702">
        <v>275</v>
      </c>
      <c r="V702">
        <v>370</v>
      </c>
      <c r="W702">
        <v>155</v>
      </c>
    </row>
    <row r="703" spans="1:23">
      <c r="A703">
        <v>347.41134041866047</v>
      </c>
      <c r="B703">
        <v>56</v>
      </c>
      <c r="C703">
        <v>4.3426417552332568</v>
      </c>
      <c r="D703">
        <v>389.14380000000011</v>
      </c>
      <c r="E703">
        <v>692.86307053941903</v>
      </c>
      <c r="F703">
        <v>159.37379999999999</v>
      </c>
      <c r="G703">
        <v>67.465800000000016</v>
      </c>
      <c r="H703">
        <v>7</v>
      </c>
      <c r="I703">
        <v>54</v>
      </c>
      <c r="J703">
        <v>5</v>
      </c>
      <c r="K703">
        <v>267</v>
      </c>
      <c r="L703">
        <v>57</v>
      </c>
      <c r="M703">
        <v>20</v>
      </c>
      <c r="N703">
        <v>1995</v>
      </c>
      <c r="O703">
        <v>0.27</v>
      </c>
      <c r="P703">
        <v>2.4700000000000002</v>
      </c>
      <c r="Q703">
        <v>1.4999999999999999E-2</v>
      </c>
      <c r="R703">
        <v>60</v>
      </c>
      <c r="S703">
        <v>700</v>
      </c>
      <c r="T703">
        <v>475</v>
      </c>
      <c r="U703">
        <v>275</v>
      </c>
      <c r="V703">
        <v>370</v>
      </c>
      <c r="W703">
        <v>155</v>
      </c>
    </row>
    <row r="704" spans="1:23">
      <c r="A704">
        <v>347.29354144598909</v>
      </c>
      <c r="B704">
        <v>56.000000000000007</v>
      </c>
      <c r="C704">
        <v>4.3411692680748626</v>
      </c>
      <c r="D704">
        <v>965.66628000000003</v>
      </c>
      <c r="E704">
        <v>682.33195020746894</v>
      </c>
      <c r="F704">
        <v>159.60113999999999</v>
      </c>
      <c r="G704">
        <v>67.249139999999997</v>
      </c>
      <c r="H704">
        <v>2</v>
      </c>
      <c r="I704">
        <v>52</v>
      </c>
      <c r="J704">
        <v>8</v>
      </c>
      <c r="K704">
        <v>331</v>
      </c>
      <c r="L704">
        <v>55</v>
      </c>
      <c r="M704">
        <v>9</v>
      </c>
      <c r="N704">
        <v>1995</v>
      </c>
      <c r="O704">
        <v>0.27</v>
      </c>
      <c r="P704">
        <v>2.4700000000000002</v>
      </c>
      <c r="Q704">
        <v>1.4999999999999999E-2</v>
      </c>
      <c r="R704">
        <v>60</v>
      </c>
      <c r="S704">
        <v>700</v>
      </c>
      <c r="T704">
        <v>475</v>
      </c>
      <c r="U704">
        <v>275</v>
      </c>
      <c r="V704">
        <v>370</v>
      </c>
      <c r="W704">
        <v>155</v>
      </c>
    </row>
    <row r="705" spans="1:23">
      <c r="A705">
        <v>347.1890349792389</v>
      </c>
      <c r="B705">
        <v>55.999999999999993</v>
      </c>
      <c r="C705">
        <v>4.3398629372404871</v>
      </c>
      <c r="D705">
        <v>437.11799999999999</v>
      </c>
      <c r="E705">
        <v>684.34854771784228</v>
      </c>
      <c r="F705">
        <v>161.39400000000001</v>
      </c>
      <c r="G705">
        <v>67.266000000000005</v>
      </c>
      <c r="H705">
        <v>6</v>
      </c>
      <c r="I705">
        <v>53</v>
      </c>
      <c r="J705">
        <v>6</v>
      </c>
      <c r="K705">
        <v>70</v>
      </c>
      <c r="L705">
        <v>60</v>
      </c>
      <c r="M705">
        <v>7</v>
      </c>
      <c r="N705">
        <v>1995</v>
      </c>
      <c r="O705">
        <v>0.27</v>
      </c>
      <c r="P705">
        <v>2.4700000000000002</v>
      </c>
      <c r="Q705">
        <v>1.4999999999999999E-2</v>
      </c>
      <c r="R705">
        <v>60</v>
      </c>
      <c r="S705">
        <v>700</v>
      </c>
      <c r="T705">
        <v>475</v>
      </c>
      <c r="U705">
        <v>275</v>
      </c>
      <c r="V705">
        <v>370</v>
      </c>
      <c r="W705">
        <v>155</v>
      </c>
    </row>
    <row r="706" spans="1:23">
      <c r="A706">
        <v>347.10999461956487</v>
      </c>
      <c r="B706">
        <v>56.000000000000007</v>
      </c>
      <c r="C706">
        <v>4.3388749327445613</v>
      </c>
      <c r="D706">
        <v>384.39596</v>
      </c>
      <c r="E706">
        <v>691.37759336099577</v>
      </c>
      <c r="F706">
        <v>157.95596</v>
      </c>
      <c r="G706">
        <v>67.379960000000011</v>
      </c>
      <c r="H706">
        <v>6</v>
      </c>
      <c r="I706">
        <v>51</v>
      </c>
      <c r="J706">
        <v>6</v>
      </c>
      <c r="K706">
        <v>205</v>
      </c>
      <c r="L706">
        <v>59</v>
      </c>
      <c r="M706">
        <v>23</v>
      </c>
      <c r="N706">
        <v>1995</v>
      </c>
      <c r="O706">
        <v>0.27</v>
      </c>
      <c r="P706">
        <v>2.4700000000000002</v>
      </c>
      <c r="Q706">
        <v>1.4999999999999999E-2</v>
      </c>
      <c r="R706">
        <v>60</v>
      </c>
      <c r="S706">
        <v>700</v>
      </c>
      <c r="T706">
        <v>475</v>
      </c>
      <c r="U706">
        <v>275</v>
      </c>
      <c r="V706">
        <v>370</v>
      </c>
      <c r="W706">
        <v>155</v>
      </c>
    </row>
    <row r="707" spans="1:23">
      <c r="A707">
        <v>346.97088341035533</v>
      </c>
      <c r="B707">
        <v>56</v>
      </c>
      <c r="C707">
        <v>4.3371360426294414</v>
      </c>
      <c r="D707">
        <v>384.39596</v>
      </c>
      <c r="E707">
        <v>692.84647302904568</v>
      </c>
      <c r="F707">
        <v>157.95596</v>
      </c>
      <c r="G707">
        <v>67.379959999999997</v>
      </c>
      <c r="H707">
        <v>6</v>
      </c>
      <c r="I707">
        <v>51</v>
      </c>
      <c r="J707">
        <v>6</v>
      </c>
      <c r="K707">
        <v>266</v>
      </c>
      <c r="L707">
        <v>59</v>
      </c>
      <c r="M707">
        <v>22</v>
      </c>
      <c r="N707">
        <v>1995</v>
      </c>
      <c r="O707">
        <v>0.27</v>
      </c>
      <c r="P707">
        <v>2.4700000000000002</v>
      </c>
      <c r="Q707">
        <v>1.4999999999999999E-2</v>
      </c>
      <c r="R707">
        <v>60</v>
      </c>
      <c r="S707">
        <v>700</v>
      </c>
      <c r="T707">
        <v>475</v>
      </c>
      <c r="U707">
        <v>275</v>
      </c>
      <c r="V707">
        <v>370</v>
      </c>
      <c r="W707">
        <v>155</v>
      </c>
    </row>
    <row r="708" spans="1:23">
      <c r="A708">
        <v>346.71539163561118</v>
      </c>
      <c r="B708">
        <v>56.000000000000007</v>
      </c>
      <c r="C708">
        <v>4.3339423954451401</v>
      </c>
      <c r="D708">
        <v>425.1096500000001</v>
      </c>
      <c r="E708">
        <v>691.78091286307051</v>
      </c>
      <c r="F708">
        <v>156.73755</v>
      </c>
      <c r="G708">
        <v>67.310769999999991</v>
      </c>
      <c r="H708">
        <v>7</v>
      </c>
      <c r="I708">
        <v>53</v>
      </c>
      <c r="J708">
        <v>5</v>
      </c>
      <c r="K708">
        <v>99</v>
      </c>
      <c r="L708">
        <v>57</v>
      </c>
      <c r="M708">
        <v>9</v>
      </c>
      <c r="N708">
        <v>1995</v>
      </c>
      <c r="O708">
        <v>0.27</v>
      </c>
      <c r="P708">
        <v>2.4700000000000002</v>
      </c>
      <c r="Q708">
        <v>1.4999999999999999E-2</v>
      </c>
      <c r="R708">
        <v>60</v>
      </c>
      <c r="S708">
        <v>700</v>
      </c>
      <c r="T708">
        <v>475</v>
      </c>
      <c r="U708">
        <v>275</v>
      </c>
      <c r="V708">
        <v>370</v>
      </c>
      <c r="W708">
        <v>155</v>
      </c>
    </row>
    <row r="709" spans="1:23">
      <c r="A709">
        <v>346.48740674669227</v>
      </c>
      <c r="B709">
        <v>56.000000000000007</v>
      </c>
      <c r="C709">
        <v>4.3310925843336543</v>
      </c>
      <c r="D709">
        <v>406.26</v>
      </c>
      <c r="E709">
        <v>689.57650178412325</v>
      </c>
      <c r="F709">
        <v>157.44239999999999</v>
      </c>
      <c r="G709">
        <v>67.226040000000012</v>
      </c>
      <c r="H709">
        <v>6</v>
      </c>
      <c r="I709">
        <v>51</v>
      </c>
      <c r="J709">
        <v>6</v>
      </c>
      <c r="K709">
        <v>187</v>
      </c>
      <c r="L709">
        <v>61</v>
      </c>
      <c r="M709">
        <v>18</v>
      </c>
      <c r="N709">
        <v>1995</v>
      </c>
      <c r="O709">
        <v>0.27</v>
      </c>
      <c r="P709">
        <v>2.4700000000000002</v>
      </c>
      <c r="Q709">
        <v>1.4999999999999999E-2</v>
      </c>
      <c r="R709">
        <v>60</v>
      </c>
      <c r="S709">
        <v>700</v>
      </c>
      <c r="T709">
        <v>475</v>
      </c>
      <c r="U709">
        <v>275</v>
      </c>
      <c r="V709">
        <v>370</v>
      </c>
      <c r="W709">
        <v>155</v>
      </c>
    </row>
    <row r="710" spans="1:23">
      <c r="A710">
        <v>346.42474255488418</v>
      </c>
      <c r="B710">
        <v>56</v>
      </c>
      <c r="C710">
        <v>4.3303092819360529</v>
      </c>
      <c r="D710">
        <v>389.96760000000012</v>
      </c>
      <c r="E710">
        <v>692.48132780082983</v>
      </c>
      <c r="F710">
        <v>159.23159999999999</v>
      </c>
      <c r="G710">
        <v>67.267200000000017</v>
      </c>
      <c r="H710">
        <v>8</v>
      </c>
      <c r="I710">
        <v>55</v>
      </c>
      <c r="J710">
        <v>4</v>
      </c>
      <c r="K710">
        <v>136</v>
      </c>
      <c r="L710">
        <v>64</v>
      </c>
      <c r="M710">
        <v>5</v>
      </c>
      <c r="N710">
        <v>1995</v>
      </c>
      <c r="O710">
        <v>0.27</v>
      </c>
      <c r="P710">
        <v>2.4700000000000002</v>
      </c>
      <c r="Q710">
        <v>1.4999999999999999E-2</v>
      </c>
      <c r="R710">
        <v>60</v>
      </c>
      <c r="S710">
        <v>700</v>
      </c>
      <c r="T710">
        <v>475</v>
      </c>
      <c r="U710">
        <v>275</v>
      </c>
      <c r="V710">
        <v>370</v>
      </c>
      <c r="W710">
        <v>155</v>
      </c>
    </row>
    <row r="711" spans="1:23">
      <c r="A711">
        <v>346.38772381865812</v>
      </c>
      <c r="B711">
        <v>56.000000000000007</v>
      </c>
      <c r="C711">
        <v>4.3298465477332249</v>
      </c>
      <c r="D711">
        <v>399.38391999999999</v>
      </c>
      <c r="E711">
        <v>691.43671477567125</v>
      </c>
      <c r="F711">
        <v>155.29195999999999</v>
      </c>
      <c r="G711">
        <v>67.240839999999992</v>
      </c>
      <c r="H711">
        <v>6</v>
      </c>
      <c r="I711">
        <v>50</v>
      </c>
      <c r="J711">
        <v>6</v>
      </c>
      <c r="K711">
        <v>211</v>
      </c>
      <c r="L711">
        <v>61</v>
      </c>
      <c r="M711">
        <v>23</v>
      </c>
      <c r="N711">
        <v>1995</v>
      </c>
      <c r="O711">
        <v>0.27</v>
      </c>
      <c r="P711">
        <v>2.4700000000000002</v>
      </c>
      <c r="Q711">
        <v>1.4999999999999999E-2</v>
      </c>
      <c r="R711">
        <v>60</v>
      </c>
      <c r="S711">
        <v>700</v>
      </c>
      <c r="T711">
        <v>475</v>
      </c>
      <c r="U711">
        <v>275</v>
      </c>
      <c r="V711">
        <v>370</v>
      </c>
      <c r="W711">
        <v>155</v>
      </c>
    </row>
    <row r="712" spans="1:23">
      <c r="A712">
        <v>346.25667314290843</v>
      </c>
      <c r="B712">
        <v>56</v>
      </c>
      <c r="C712">
        <v>4.3282084142863546</v>
      </c>
      <c r="D712">
        <v>396.63080000000002</v>
      </c>
      <c r="E712">
        <v>689.65975103734434</v>
      </c>
      <c r="F712">
        <v>161.3108</v>
      </c>
      <c r="G712">
        <v>67.1828</v>
      </c>
      <c r="H712">
        <v>6</v>
      </c>
      <c r="I712">
        <v>53</v>
      </c>
      <c r="J712">
        <v>6</v>
      </c>
      <c r="K712">
        <v>38</v>
      </c>
      <c r="L712">
        <v>53</v>
      </c>
      <c r="M712">
        <v>4</v>
      </c>
      <c r="N712">
        <v>1995</v>
      </c>
      <c r="O712">
        <v>0.27</v>
      </c>
      <c r="P712">
        <v>2.4700000000000002</v>
      </c>
      <c r="Q712">
        <v>1.4999999999999999E-2</v>
      </c>
      <c r="R712">
        <v>60</v>
      </c>
      <c r="S712">
        <v>700</v>
      </c>
      <c r="T712">
        <v>475</v>
      </c>
      <c r="U712">
        <v>275</v>
      </c>
      <c r="V712">
        <v>370</v>
      </c>
      <c r="W712">
        <v>155</v>
      </c>
    </row>
    <row r="713" spans="1:23">
      <c r="A713">
        <v>346.24960586847698</v>
      </c>
      <c r="B713">
        <v>56</v>
      </c>
      <c r="C713">
        <v>4.3281200733559633</v>
      </c>
      <c r="D713">
        <v>432.35759999999999</v>
      </c>
      <c r="E713">
        <v>691.0645023280515</v>
      </c>
      <c r="F713">
        <v>159.5016</v>
      </c>
      <c r="G713">
        <v>67.207200000000014</v>
      </c>
      <c r="H713">
        <v>8</v>
      </c>
      <c r="I713">
        <v>55</v>
      </c>
      <c r="J713">
        <v>4</v>
      </c>
      <c r="K713">
        <v>300</v>
      </c>
      <c r="L713">
        <v>50</v>
      </c>
      <c r="M713">
        <v>3</v>
      </c>
      <c r="N713">
        <v>1995</v>
      </c>
      <c r="O713">
        <v>0.27</v>
      </c>
      <c r="P713">
        <v>2.4700000000000002</v>
      </c>
      <c r="Q713">
        <v>1.4999999999999999E-2</v>
      </c>
      <c r="R713">
        <v>60</v>
      </c>
      <c r="S713">
        <v>700</v>
      </c>
      <c r="T713">
        <v>475</v>
      </c>
      <c r="U713">
        <v>275</v>
      </c>
      <c r="V713">
        <v>370</v>
      </c>
      <c r="W713">
        <v>155</v>
      </c>
    </row>
    <row r="714" spans="1:23">
      <c r="A714">
        <v>362.47453317602981</v>
      </c>
      <c r="B714">
        <v>58.625</v>
      </c>
      <c r="C714">
        <v>4.3280541274749824</v>
      </c>
      <c r="D714">
        <v>432.98880000000003</v>
      </c>
      <c r="E714">
        <v>690.82157676348538</v>
      </c>
      <c r="F714">
        <v>166.41120000000001</v>
      </c>
      <c r="G714">
        <v>70.351799999999997</v>
      </c>
      <c r="H714">
        <v>6</v>
      </c>
      <c r="I714">
        <v>55</v>
      </c>
      <c r="J714">
        <v>6</v>
      </c>
      <c r="K714">
        <v>254</v>
      </c>
      <c r="L714">
        <v>57</v>
      </c>
      <c r="M714">
        <v>15</v>
      </c>
      <c r="N714">
        <v>1995</v>
      </c>
      <c r="O714">
        <v>0.27</v>
      </c>
      <c r="P714">
        <v>2.4700000000000002</v>
      </c>
      <c r="Q714">
        <v>1.4999999999999999E-2</v>
      </c>
      <c r="R714">
        <v>60</v>
      </c>
      <c r="S714">
        <v>700</v>
      </c>
      <c r="T714">
        <v>475</v>
      </c>
      <c r="U714">
        <v>275</v>
      </c>
      <c r="V714">
        <v>370</v>
      </c>
      <c r="W714">
        <v>155</v>
      </c>
    </row>
    <row r="715" spans="1:23">
      <c r="A715">
        <v>346.223036356438</v>
      </c>
      <c r="B715">
        <v>56.000000000000007</v>
      </c>
      <c r="C715">
        <v>4.3277879544554754</v>
      </c>
      <c r="D715">
        <v>432.17516999999998</v>
      </c>
      <c r="E715">
        <v>685.41410788381734</v>
      </c>
      <c r="F715">
        <v>159.45039</v>
      </c>
      <c r="G715">
        <v>67.098389999999995</v>
      </c>
      <c r="H715">
        <v>6</v>
      </c>
      <c r="I715">
        <v>52</v>
      </c>
      <c r="J715">
        <v>6</v>
      </c>
      <c r="K715">
        <v>97</v>
      </c>
      <c r="L715">
        <v>61</v>
      </c>
      <c r="M715">
        <v>9</v>
      </c>
      <c r="N715">
        <v>1995</v>
      </c>
      <c r="O715">
        <v>0.27</v>
      </c>
      <c r="P715">
        <v>2.4700000000000002</v>
      </c>
      <c r="Q715">
        <v>1.4999999999999999E-2</v>
      </c>
      <c r="R715">
        <v>60</v>
      </c>
      <c r="S715">
        <v>700</v>
      </c>
      <c r="T715">
        <v>475</v>
      </c>
      <c r="U715">
        <v>275</v>
      </c>
      <c r="V715">
        <v>370</v>
      </c>
      <c r="W715">
        <v>155</v>
      </c>
    </row>
    <row r="716" spans="1:23">
      <c r="A716">
        <v>311.32756571796108</v>
      </c>
      <c r="B716">
        <v>50.400000000000013</v>
      </c>
      <c r="C716">
        <v>4.3239939683050146</v>
      </c>
      <c r="D716">
        <v>399.32619999999997</v>
      </c>
      <c r="E716">
        <v>691.6</v>
      </c>
      <c r="F716">
        <v>254.08824999999999</v>
      </c>
      <c r="G716">
        <v>60.437650000000012</v>
      </c>
      <c r="H716">
        <v>96</v>
      </c>
      <c r="I716">
        <v>61</v>
      </c>
      <c r="J716">
        <v>39</v>
      </c>
      <c r="K716">
        <v>269</v>
      </c>
      <c r="L716">
        <v>50</v>
      </c>
      <c r="M716">
        <v>13</v>
      </c>
      <c r="N716">
        <v>1995</v>
      </c>
      <c r="O716">
        <v>0.27</v>
      </c>
      <c r="P716">
        <v>2.4700000000000002</v>
      </c>
      <c r="Q716">
        <v>1.4999999999999999E-2</v>
      </c>
      <c r="R716">
        <v>60</v>
      </c>
      <c r="S716">
        <v>700</v>
      </c>
      <c r="T716">
        <v>475</v>
      </c>
      <c r="U716">
        <v>275</v>
      </c>
      <c r="V716">
        <v>370</v>
      </c>
      <c r="W716">
        <v>155</v>
      </c>
    </row>
    <row r="717" spans="1:23">
      <c r="A717">
        <v>345.91626734471362</v>
      </c>
      <c r="B717">
        <v>56</v>
      </c>
      <c r="C717">
        <v>4.3239533418089193</v>
      </c>
      <c r="D717">
        <v>430.86720000000008</v>
      </c>
      <c r="E717">
        <v>689.48775167107215</v>
      </c>
      <c r="F717">
        <v>159.00479999999999</v>
      </c>
      <c r="G717">
        <v>67.113600000000005</v>
      </c>
      <c r="H717">
        <v>8</v>
      </c>
      <c r="I717">
        <v>55</v>
      </c>
      <c r="J717">
        <v>4</v>
      </c>
      <c r="K717">
        <v>299</v>
      </c>
      <c r="L717">
        <v>52</v>
      </c>
      <c r="M717">
        <v>4</v>
      </c>
      <c r="N717">
        <v>1995</v>
      </c>
      <c r="O717">
        <v>0.27</v>
      </c>
      <c r="P717">
        <v>2.4700000000000002</v>
      </c>
      <c r="Q717">
        <v>1.4999999999999999E-2</v>
      </c>
      <c r="R717">
        <v>60</v>
      </c>
      <c r="S717">
        <v>700</v>
      </c>
      <c r="T717">
        <v>475</v>
      </c>
      <c r="U717">
        <v>275</v>
      </c>
      <c r="V717">
        <v>370</v>
      </c>
      <c r="W717">
        <v>155</v>
      </c>
    </row>
    <row r="718" spans="1:23">
      <c r="A718">
        <v>345.53173169700199</v>
      </c>
      <c r="B718">
        <v>56</v>
      </c>
      <c r="C718">
        <v>4.3191466462125252</v>
      </c>
      <c r="D718">
        <v>980.97471999999993</v>
      </c>
      <c r="E718">
        <v>682.5161825726143</v>
      </c>
      <c r="F718">
        <v>161.03935999999999</v>
      </c>
      <c r="G718">
        <v>66.911360000000002</v>
      </c>
      <c r="H718">
        <v>2</v>
      </c>
      <c r="I718">
        <v>53</v>
      </c>
      <c r="J718">
        <v>8</v>
      </c>
      <c r="K718">
        <v>1</v>
      </c>
      <c r="L718">
        <v>52</v>
      </c>
      <c r="M718">
        <v>4</v>
      </c>
      <c r="N718">
        <v>1995</v>
      </c>
      <c r="O718">
        <v>0.27</v>
      </c>
      <c r="P718">
        <v>2.4700000000000002</v>
      </c>
      <c r="Q718">
        <v>1.4999999999999999E-2</v>
      </c>
      <c r="R718">
        <v>60</v>
      </c>
      <c r="S718">
        <v>700</v>
      </c>
      <c r="T718">
        <v>475</v>
      </c>
      <c r="U718">
        <v>275</v>
      </c>
      <c r="V718">
        <v>370</v>
      </c>
      <c r="W718">
        <v>155</v>
      </c>
    </row>
    <row r="719" spans="1:23">
      <c r="A719">
        <v>345.50380834079789</v>
      </c>
      <c r="B719">
        <v>56.000000000000007</v>
      </c>
      <c r="C719">
        <v>4.3187976042599736</v>
      </c>
      <c r="D719">
        <v>403.00200000000001</v>
      </c>
      <c r="E719">
        <v>689.30333458699738</v>
      </c>
      <c r="F719">
        <v>156.9402</v>
      </c>
      <c r="G719">
        <v>67.030199999999994</v>
      </c>
      <c r="H719">
        <v>9</v>
      </c>
      <c r="I719">
        <v>54</v>
      </c>
      <c r="J719">
        <v>3</v>
      </c>
      <c r="K719">
        <v>314</v>
      </c>
      <c r="L719">
        <v>60</v>
      </c>
      <c r="M719">
        <v>18</v>
      </c>
      <c r="N719">
        <v>1995</v>
      </c>
      <c r="O719">
        <v>0.27</v>
      </c>
      <c r="P719">
        <v>2.4700000000000002</v>
      </c>
      <c r="Q719">
        <v>1.4999999999999999E-2</v>
      </c>
      <c r="R719">
        <v>60</v>
      </c>
      <c r="S719">
        <v>700</v>
      </c>
      <c r="T719">
        <v>475</v>
      </c>
      <c r="U719">
        <v>275</v>
      </c>
      <c r="V719">
        <v>370</v>
      </c>
      <c r="W719">
        <v>155</v>
      </c>
    </row>
    <row r="720" spans="1:23">
      <c r="A720">
        <v>345.20437929109312</v>
      </c>
      <c r="B720">
        <v>56</v>
      </c>
      <c r="C720">
        <v>4.3150547411386642</v>
      </c>
      <c r="D720">
        <v>378.21936000000011</v>
      </c>
      <c r="E720">
        <v>687.30290456431544</v>
      </c>
      <c r="F720">
        <v>155.87376</v>
      </c>
      <c r="G720">
        <v>66.935520000000011</v>
      </c>
      <c r="H720">
        <v>8</v>
      </c>
      <c r="I720">
        <v>53</v>
      </c>
      <c r="J720">
        <v>4</v>
      </c>
      <c r="K720">
        <v>270</v>
      </c>
      <c r="L720">
        <v>60</v>
      </c>
      <c r="M720">
        <v>22</v>
      </c>
      <c r="N720">
        <v>1995</v>
      </c>
      <c r="O720">
        <v>0.27</v>
      </c>
      <c r="P720">
        <v>2.4700000000000002</v>
      </c>
      <c r="Q720">
        <v>1.4999999999999999E-2</v>
      </c>
      <c r="R720">
        <v>60</v>
      </c>
      <c r="S720">
        <v>700</v>
      </c>
      <c r="T720">
        <v>475</v>
      </c>
      <c r="U720">
        <v>275</v>
      </c>
      <c r="V720">
        <v>370</v>
      </c>
      <c r="W720">
        <v>155</v>
      </c>
    </row>
    <row r="721" spans="1:23">
      <c r="A721">
        <v>345.0440063802522</v>
      </c>
      <c r="B721">
        <v>56</v>
      </c>
      <c r="C721">
        <v>4.313050079753153</v>
      </c>
      <c r="D721">
        <v>384.07697999999999</v>
      </c>
      <c r="E721">
        <v>688.1472643390382</v>
      </c>
      <c r="F721">
        <v>157.53618</v>
      </c>
      <c r="G721">
        <v>66.919860000000014</v>
      </c>
      <c r="H721">
        <v>8</v>
      </c>
      <c r="I721">
        <v>54</v>
      </c>
      <c r="J721">
        <v>4</v>
      </c>
      <c r="K721">
        <v>230</v>
      </c>
      <c r="L721">
        <v>59</v>
      </c>
      <c r="M721">
        <v>11</v>
      </c>
      <c r="N721">
        <v>1995</v>
      </c>
      <c r="O721">
        <v>0.27</v>
      </c>
      <c r="P721">
        <v>2.4700000000000002</v>
      </c>
      <c r="Q721">
        <v>1.4999999999999999E-2</v>
      </c>
      <c r="R721">
        <v>60</v>
      </c>
      <c r="S721">
        <v>700</v>
      </c>
      <c r="T721">
        <v>475</v>
      </c>
      <c r="U721">
        <v>275</v>
      </c>
      <c r="V721">
        <v>370</v>
      </c>
      <c r="W721">
        <v>155</v>
      </c>
    </row>
    <row r="722" spans="1:23">
      <c r="A722">
        <v>344.59492841339107</v>
      </c>
      <c r="B722">
        <v>56</v>
      </c>
      <c r="C722">
        <v>4.3074366051673882</v>
      </c>
      <c r="D722">
        <v>387.39</v>
      </c>
      <c r="E722">
        <v>690.59751037344404</v>
      </c>
      <c r="F722">
        <v>158.45249999999999</v>
      </c>
      <c r="G722">
        <v>66.877499999999998</v>
      </c>
      <c r="H722">
        <v>9</v>
      </c>
      <c r="I722">
        <v>55</v>
      </c>
      <c r="J722">
        <v>3</v>
      </c>
      <c r="K722">
        <v>191</v>
      </c>
      <c r="L722">
        <v>57</v>
      </c>
      <c r="M722">
        <v>4</v>
      </c>
      <c r="N722">
        <v>1995</v>
      </c>
      <c r="O722">
        <v>0.27</v>
      </c>
      <c r="P722">
        <v>2.4700000000000002</v>
      </c>
      <c r="Q722">
        <v>1.4999999999999999E-2</v>
      </c>
      <c r="R722">
        <v>60</v>
      </c>
      <c r="S722">
        <v>700</v>
      </c>
      <c r="T722">
        <v>475</v>
      </c>
      <c r="U722">
        <v>275</v>
      </c>
      <c r="V722">
        <v>370</v>
      </c>
      <c r="W722">
        <v>155</v>
      </c>
    </row>
    <row r="723" spans="1:23">
      <c r="A723">
        <v>344.41100417224072</v>
      </c>
      <c r="B723">
        <v>56.000000000000007</v>
      </c>
      <c r="C723">
        <v>4.305137552153008</v>
      </c>
      <c r="D723">
        <v>405.44008000000002</v>
      </c>
      <c r="E723">
        <v>691.37759336099577</v>
      </c>
      <c r="F723">
        <v>157.43204</v>
      </c>
      <c r="G723">
        <v>66.856040000000007</v>
      </c>
      <c r="H723">
        <v>6</v>
      </c>
      <c r="I723">
        <v>51</v>
      </c>
      <c r="J723">
        <v>6</v>
      </c>
      <c r="K723">
        <v>258</v>
      </c>
      <c r="L723">
        <v>59</v>
      </c>
      <c r="M723">
        <v>19</v>
      </c>
      <c r="N723">
        <v>1995</v>
      </c>
      <c r="O723">
        <v>0.27</v>
      </c>
      <c r="P723">
        <v>2.4700000000000002</v>
      </c>
      <c r="Q723">
        <v>1.4999999999999999E-2</v>
      </c>
      <c r="R723">
        <v>60</v>
      </c>
      <c r="S723">
        <v>700</v>
      </c>
      <c r="T723">
        <v>475</v>
      </c>
      <c r="U723">
        <v>275</v>
      </c>
      <c r="V723">
        <v>370</v>
      </c>
      <c r="W723">
        <v>155</v>
      </c>
    </row>
    <row r="724" spans="1:23">
      <c r="A724">
        <v>344.34440551652642</v>
      </c>
      <c r="B724">
        <v>56</v>
      </c>
      <c r="C724">
        <v>4.3043050689565803</v>
      </c>
      <c r="D724">
        <v>377.62569999999999</v>
      </c>
      <c r="E724">
        <v>690.42323651452284</v>
      </c>
      <c r="F724">
        <v>155.62569999999999</v>
      </c>
      <c r="G724">
        <v>66.825699999999998</v>
      </c>
      <c r="H724">
        <v>6</v>
      </c>
      <c r="I724">
        <v>50</v>
      </c>
      <c r="J724">
        <v>6</v>
      </c>
      <c r="K724">
        <v>206</v>
      </c>
      <c r="L724">
        <v>58</v>
      </c>
      <c r="M724">
        <v>22</v>
      </c>
      <c r="N724">
        <v>1995</v>
      </c>
      <c r="O724">
        <v>0.27</v>
      </c>
      <c r="P724">
        <v>2.4700000000000002</v>
      </c>
      <c r="Q724">
        <v>1.4999999999999999E-2</v>
      </c>
      <c r="R724">
        <v>60</v>
      </c>
      <c r="S724">
        <v>700</v>
      </c>
      <c r="T724">
        <v>475</v>
      </c>
      <c r="U724">
        <v>275</v>
      </c>
      <c r="V724">
        <v>370</v>
      </c>
      <c r="W724">
        <v>155</v>
      </c>
    </row>
    <row r="725" spans="1:23">
      <c r="A725">
        <v>343.85115355835541</v>
      </c>
      <c r="B725">
        <v>56.000000000000007</v>
      </c>
      <c r="C725">
        <v>4.2981394194794422</v>
      </c>
      <c r="D725">
        <v>952.34814000000006</v>
      </c>
      <c r="E725">
        <v>681.5402489626556</v>
      </c>
      <c r="F725">
        <v>159.80814000000001</v>
      </c>
      <c r="G725">
        <v>66.56814</v>
      </c>
      <c r="H725">
        <v>2</v>
      </c>
      <c r="I725">
        <v>60</v>
      </c>
      <c r="J725">
        <v>7</v>
      </c>
      <c r="K725">
        <v>317</v>
      </c>
      <c r="L725">
        <v>51</v>
      </c>
      <c r="M725">
        <v>4</v>
      </c>
      <c r="N725">
        <v>1995</v>
      </c>
      <c r="O725">
        <v>0.27</v>
      </c>
      <c r="P725">
        <v>2.4700000000000002</v>
      </c>
      <c r="Q725">
        <v>1.4999999999999999E-2</v>
      </c>
      <c r="R725">
        <v>60</v>
      </c>
      <c r="S725">
        <v>700</v>
      </c>
      <c r="T725">
        <v>475</v>
      </c>
      <c r="U725">
        <v>275</v>
      </c>
      <c r="V725">
        <v>370</v>
      </c>
      <c r="W725">
        <v>155</v>
      </c>
    </row>
    <row r="726" spans="1:23">
      <c r="A726">
        <v>343.72672458629557</v>
      </c>
      <c r="B726">
        <v>56</v>
      </c>
      <c r="C726">
        <v>4.2965840573286957</v>
      </c>
      <c r="D726">
        <v>449.77199999999999</v>
      </c>
      <c r="E726">
        <v>687.65975103734445</v>
      </c>
      <c r="F726">
        <v>158.23050000000001</v>
      </c>
      <c r="G726">
        <v>66.655500000000004</v>
      </c>
      <c r="H726">
        <v>9</v>
      </c>
      <c r="I726">
        <v>55</v>
      </c>
      <c r="J726">
        <v>3</v>
      </c>
      <c r="K726">
        <v>59</v>
      </c>
      <c r="L726">
        <v>47</v>
      </c>
      <c r="M726">
        <v>3</v>
      </c>
      <c r="N726">
        <v>1995</v>
      </c>
      <c r="O726">
        <v>0.27</v>
      </c>
      <c r="P726">
        <v>2.4700000000000002</v>
      </c>
      <c r="Q726">
        <v>1.4999999999999999E-2</v>
      </c>
      <c r="R726">
        <v>60</v>
      </c>
      <c r="S726">
        <v>700</v>
      </c>
      <c r="T726">
        <v>475</v>
      </c>
      <c r="U726">
        <v>275</v>
      </c>
      <c r="V726">
        <v>370</v>
      </c>
      <c r="W726">
        <v>155</v>
      </c>
    </row>
    <row r="727" spans="1:23">
      <c r="A727">
        <v>322.18465574117567</v>
      </c>
      <c r="B727">
        <v>52.500000000000007</v>
      </c>
      <c r="C727">
        <v>4.2957954098823414</v>
      </c>
      <c r="D727">
        <v>447.12</v>
      </c>
      <c r="E727">
        <v>690.06028752511986</v>
      </c>
      <c r="F727">
        <v>177.6816</v>
      </c>
      <c r="G727">
        <v>62.519039999999997</v>
      </c>
      <c r="H727">
        <v>147</v>
      </c>
      <c r="I727">
        <v>48</v>
      </c>
      <c r="J727">
        <v>5</v>
      </c>
      <c r="K727">
        <v>165</v>
      </c>
      <c r="L727">
        <v>64</v>
      </c>
      <c r="M727">
        <v>18</v>
      </c>
      <c r="N727">
        <v>1995</v>
      </c>
      <c r="O727">
        <v>0.27</v>
      </c>
      <c r="P727">
        <v>2.4700000000000002</v>
      </c>
      <c r="Q727">
        <v>1.4999999999999999E-2</v>
      </c>
      <c r="R727">
        <v>60</v>
      </c>
      <c r="S727">
        <v>700</v>
      </c>
      <c r="T727">
        <v>475</v>
      </c>
      <c r="U727">
        <v>275</v>
      </c>
      <c r="V727">
        <v>370</v>
      </c>
      <c r="W727">
        <v>155</v>
      </c>
    </row>
    <row r="728" spans="1:23">
      <c r="A728">
        <v>343.62837855706618</v>
      </c>
      <c r="B728">
        <v>56.000000000000007</v>
      </c>
      <c r="C728">
        <v>4.295354731963327</v>
      </c>
      <c r="D728">
        <v>404.43</v>
      </c>
      <c r="E728">
        <v>691.59075219157978</v>
      </c>
      <c r="F728">
        <v>156.92699999999999</v>
      </c>
      <c r="G728">
        <v>66.707999999999998</v>
      </c>
      <c r="H728">
        <v>6</v>
      </c>
      <c r="I728">
        <v>51</v>
      </c>
      <c r="J728">
        <v>6</v>
      </c>
      <c r="K728">
        <v>303</v>
      </c>
      <c r="L728">
        <v>60</v>
      </c>
      <c r="M728">
        <v>14</v>
      </c>
      <c r="N728">
        <v>1995</v>
      </c>
      <c r="O728">
        <v>0.27</v>
      </c>
      <c r="P728">
        <v>2.4700000000000002</v>
      </c>
      <c r="Q728">
        <v>1.4999999999999999E-2</v>
      </c>
      <c r="R728">
        <v>60</v>
      </c>
      <c r="S728">
        <v>700</v>
      </c>
      <c r="T728">
        <v>475</v>
      </c>
      <c r="U728">
        <v>275</v>
      </c>
      <c r="V728">
        <v>370</v>
      </c>
      <c r="W728">
        <v>155</v>
      </c>
    </row>
    <row r="729" spans="1:23">
      <c r="A729">
        <v>343.04481294351478</v>
      </c>
      <c r="B729">
        <v>56.000000000000007</v>
      </c>
      <c r="C729">
        <v>4.2880601617939336</v>
      </c>
      <c r="D729">
        <v>399.11496</v>
      </c>
      <c r="E729">
        <v>688.81822258656598</v>
      </c>
      <c r="F729">
        <v>155.48256000000001</v>
      </c>
      <c r="G729">
        <v>66.544320000000013</v>
      </c>
      <c r="H729">
        <v>8</v>
      </c>
      <c r="I729">
        <v>53</v>
      </c>
      <c r="J729">
        <v>4</v>
      </c>
      <c r="K729">
        <v>144</v>
      </c>
      <c r="L729">
        <v>60</v>
      </c>
      <c r="M729">
        <v>18</v>
      </c>
      <c r="N729">
        <v>1995</v>
      </c>
      <c r="O729">
        <v>0.27</v>
      </c>
      <c r="P729">
        <v>2.4700000000000002</v>
      </c>
      <c r="Q729">
        <v>1.4999999999999999E-2</v>
      </c>
      <c r="R729">
        <v>60</v>
      </c>
      <c r="S729">
        <v>700</v>
      </c>
      <c r="T729">
        <v>475</v>
      </c>
      <c r="U729">
        <v>275</v>
      </c>
      <c r="V729">
        <v>370</v>
      </c>
      <c r="W729">
        <v>155</v>
      </c>
    </row>
    <row r="730" spans="1:23">
      <c r="A730">
        <v>342.96522043544883</v>
      </c>
      <c r="B730">
        <v>56</v>
      </c>
      <c r="C730">
        <v>4.2870652554431086</v>
      </c>
      <c r="D730">
        <v>387.09</v>
      </c>
      <c r="E730">
        <v>691.4937759336101</v>
      </c>
      <c r="F730">
        <v>158.1525</v>
      </c>
      <c r="G730">
        <v>66.577500000000001</v>
      </c>
      <c r="H730">
        <v>9</v>
      </c>
      <c r="I730">
        <v>55</v>
      </c>
      <c r="J730">
        <v>3</v>
      </c>
      <c r="K730">
        <v>48</v>
      </c>
      <c r="L730">
        <v>55</v>
      </c>
      <c r="M730">
        <v>6</v>
      </c>
      <c r="N730">
        <v>1995</v>
      </c>
      <c r="O730">
        <v>0.27</v>
      </c>
      <c r="P730">
        <v>2.4700000000000002</v>
      </c>
      <c r="Q730">
        <v>1.4999999999999999E-2</v>
      </c>
      <c r="R730">
        <v>60</v>
      </c>
      <c r="S730">
        <v>700</v>
      </c>
      <c r="T730">
        <v>475</v>
      </c>
      <c r="U730">
        <v>275</v>
      </c>
      <c r="V730">
        <v>370</v>
      </c>
      <c r="W730">
        <v>155</v>
      </c>
    </row>
    <row r="731" spans="1:23">
      <c r="A731">
        <v>361.10731686466607</v>
      </c>
      <c r="B731">
        <v>59.463917525773198</v>
      </c>
      <c r="C731">
        <v>4.2508992397903649</v>
      </c>
      <c r="D731">
        <v>428.79356000000013</v>
      </c>
      <c r="E731">
        <v>687.9668049792532</v>
      </c>
      <c r="F731">
        <v>165.73246</v>
      </c>
      <c r="G731">
        <v>70.03182000000001</v>
      </c>
      <c r="H731">
        <v>8</v>
      </c>
      <c r="I731">
        <v>58</v>
      </c>
      <c r="J731">
        <v>4</v>
      </c>
      <c r="K731">
        <v>200</v>
      </c>
      <c r="L731">
        <v>55</v>
      </c>
      <c r="M731">
        <v>10</v>
      </c>
      <c r="N731">
        <v>1995</v>
      </c>
      <c r="O731">
        <v>0.27</v>
      </c>
      <c r="P731">
        <v>2.4700000000000002</v>
      </c>
      <c r="Q731">
        <v>1.4999999999999999E-2</v>
      </c>
      <c r="R731">
        <v>60</v>
      </c>
      <c r="S731">
        <v>700</v>
      </c>
      <c r="T731">
        <v>475</v>
      </c>
      <c r="U731">
        <v>275</v>
      </c>
      <c r="V731">
        <v>370</v>
      </c>
      <c r="W731">
        <v>155</v>
      </c>
    </row>
    <row r="732" spans="1:23">
      <c r="A732">
        <v>354.70712448857529</v>
      </c>
      <c r="B732">
        <v>58.52000000000001</v>
      </c>
      <c r="C732">
        <v>4.2429081876623833</v>
      </c>
      <c r="D732">
        <v>419.16</v>
      </c>
      <c r="E732">
        <v>692.72418822980148</v>
      </c>
      <c r="F732">
        <v>160.86000000000001</v>
      </c>
      <c r="G732">
        <v>68.88</v>
      </c>
      <c r="H732">
        <v>9</v>
      </c>
      <c r="I732">
        <v>56</v>
      </c>
      <c r="J732">
        <v>3</v>
      </c>
      <c r="K732">
        <v>302</v>
      </c>
      <c r="L732">
        <v>56</v>
      </c>
      <c r="M732">
        <v>20</v>
      </c>
      <c r="N732">
        <v>1995</v>
      </c>
      <c r="O732">
        <v>0.27</v>
      </c>
      <c r="P732">
        <v>2.4700000000000002</v>
      </c>
      <c r="Q732">
        <v>1.4999999999999999E-2</v>
      </c>
      <c r="R732">
        <v>60</v>
      </c>
      <c r="S732">
        <v>700</v>
      </c>
      <c r="T732">
        <v>475</v>
      </c>
      <c r="U732">
        <v>275</v>
      </c>
      <c r="V732">
        <v>370</v>
      </c>
      <c r="W732">
        <v>155</v>
      </c>
    </row>
    <row r="733" spans="1:23">
      <c r="A733">
        <v>332.89576307434589</v>
      </c>
      <c r="B733">
        <v>55.02</v>
      </c>
      <c r="C733">
        <v>4.2353150518364622</v>
      </c>
      <c r="D733">
        <v>384.95249999999999</v>
      </c>
      <c r="E733">
        <v>692.35639733822791</v>
      </c>
      <c r="F733">
        <v>190.41749999999999</v>
      </c>
      <c r="G733">
        <v>64.638000000000005</v>
      </c>
      <c r="H733">
        <v>22</v>
      </c>
      <c r="I733">
        <v>51</v>
      </c>
      <c r="J733">
        <v>3</v>
      </c>
      <c r="K733">
        <v>302</v>
      </c>
      <c r="L733">
        <v>62</v>
      </c>
      <c r="M733">
        <v>18</v>
      </c>
      <c r="N733">
        <v>1995</v>
      </c>
      <c r="O733">
        <v>0.27</v>
      </c>
      <c r="P733">
        <v>2.4700000000000002</v>
      </c>
      <c r="Q733">
        <v>1.4999999999999999E-2</v>
      </c>
      <c r="R733">
        <v>60</v>
      </c>
      <c r="S733">
        <v>700</v>
      </c>
      <c r="T733">
        <v>475</v>
      </c>
      <c r="U733">
        <v>275</v>
      </c>
      <c r="V733">
        <v>370</v>
      </c>
      <c r="W733">
        <v>155</v>
      </c>
    </row>
    <row r="734" spans="1:23">
      <c r="A734">
        <v>350.87110711186841</v>
      </c>
      <c r="B734">
        <v>58.100000000000023</v>
      </c>
      <c r="C734">
        <v>4.2273627362875708</v>
      </c>
      <c r="D734">
        <v>981.06240000000003</v>
      </c>
      <c r="E734">
        <v>682.75518672199178</v>
      </c>
      <c r="F734">
        <v>161.08320000000001</v>
      </c>
      <c r="G734">
        <v>67.949760000000012</v>
      </c>
      <c r="H734">
        <v>2</v>
      </c>
      <c r="I734">
        <v>53</v>
      </c>
      <c r="J734">
        <v>8</v>
      </c>
      <c r="K734">
        <v>91</v>
      </c>
      <c r="L734">
        <v>56</v>
      </c>
      <c r="M734">
        <v>6</v>
      </c>
      <c r="N734">
        <v>1995</v>
      </c>
      <c r="O734">
        <v>0.27</v>
      </c>
      <c r="P734">
        <v>2.4700000000000002</v>
      </c>
      <c r="Q734">
        <v>1.4999999999999999E-2</v>
      </c>
      <c r="R734">
        <v>60</v>
      </c>
      <c r="S734">
        <v>700</v>
      </c>
      <c r="T734">
        <v>475</v>
      </c>
      <c r="U734">
        <v>275</v>
      </c>
      <c r="V734">
        <v>370</v>
      </c>
      <c r="W734">
        <v>155</v>
      </c>
    </row>
    <row r="735" spans="1:23">
      <c r="A735">
        <v>317.22911623121308</v>
      </c>
      <c r="B735">
        <v>52.92</v>
      </c>
      <c r="C735">
        <v>4.196152331100703</v>
      </c>
      <c r="D735">
        <v>414.64994999999999</v>
      </c>
      <c r="E735">
        <v>691.98457679283615</v>
      </c>
      <c r="F735">
        <v>254.49449999999999</v>
      </c>
      <c r="G735">
        <v>61.58977500000001</v>
      </c>
      <c r="H735">
        <v>96</v>
      </c>
      <c r="I735">
        <v>61</v>
      </c>
      <c r="J735">
        <v>39</v>
      </c>
      <c r="K735">
        <v>302</v>
      </c>
      <c r="L735">
        <v>51</v>
      </c>
      <c r="M735">
        <v>13</v>
      </c>
      <c r="N735">
        <v>1995</v>
      </c>
      <c r="O735">
        <v>0.27</v>
      </c>
      <c r="P735">
        <v>2.4700000000000002</v>
      </c>
      <c r="Q735">
        <v>1.4999999999999999E-2</v>
      </c>
      <c r="R735">
        <v>60</v>
      </c>
      <c r="S735">
        <v>700</v>
      </c>
      <c r="T735">
        <v>475</v>
      </c>
      <c r="U735">
        <v>275</v>
      </c>
      <c r="V735">
        <v>370</v>
      </c>
      <c r="W735">
        <v>155</v>
      </c>
    </row>
    <row r="736" spans="1:23">
      <c r="A736">
        <v>322.04763804441711</v>
      </c>
      <c r="B736">
        <v>53.735294117647058</v>
      </c>
      <c r="C736">
        <v>4.1952565875517926</v>
      </c>
      <c r="D736">
        <v>448.16559999999998</v>
      </c>
      <c r="E736">
        <v>690.33853764105743</v>
      </c>
      <c r="F736">
        <v>175.21830399999999</v>
      </c>
      <c r="G736">
        <v>62.497199999999999</v>
      </c>
      <c r="H736">
        <v>147</v>
      </c>
      <c r="I736">
        <v>47</v>
      </c>
      <c r="J736">
        <v>5</v>
      </c>
      <c r="K736">
        <v>77</v>
      </c>
      <c r="L736">
        <v>60</v>
      </c>
      <c r="M736">
        <v>32</v>
      </c>
      <c r="N736">
        <v>1995</v>
      </c>
      <c r="O736">
        <v>0.27</v>
      </c>
      <c r="P736">
        <v>2.4700000000000002</v>
      </c>
      <c r="Q736">
        <v>1.4999999999999999E-2</v>
      </c>
      <c r="R736">
        <v>60</v>
      </c>
      <c r="S736">
        <v>700</v>
      </c>
      <c r="T736">
        <v>475</v>
      </c>
      <c r="U736">
        <v>275</v>
      </c>
      <c r="V736">
        <v>370</v>
      </c>
      <c r="W736">
        <v>155</v>
      </c>
    </row>
    <row r="737" spans="1:23">
      <c r="A737">
        <v>341.79208926510307</v>
      </c>
      <c r="B737">
        <v>57.344000000000001</v>
      </c>
      <c r="C737">
        <v>4.1722667146619026</v>
      </c>
      <c r="D737">
        <v>831.16800000000001</v>
      </c>
      <c r="E737">
        <v>684.79632591824793</v>
      </c>
      <c r="F737">
        <v>681.69600000000003</v>
      </c>
      <c r="G737">
        <v>66.228480000000005</v>
      </c>
      <c r="H737">
        <v>40</v>
      </c>
      <c r="I737">
        <v>56</v>
      </c>
      <c r="J737">
        <v>12</v>
      </c>
      <c r="K737">
        <v>325</v>
      </c>
      <c r="L737">
        <v>64</v>
      </c>
      <c r="M737">
        <v>19</v>
      </c>
      <c r="N737">
        <v>1995</v>
      </c>
      <c r="O737">
        <v>0.27</v>
      </c>
      <c r="P737">
        <v>2.4700000000000002</v>
      </c>
      <c r="Q737">
        <v>1.4999999999999999E-2</v>
      </c>
      <c r="R737">
        <v>60</v>
      </c>
      <c r="S737">
        <v>700</v>
      </c>
      <c r="T737">
        <v>475</v>
      </c>
      <c r="U737">
        <v>275</v>
      </c>
      <c r="V737">
        <v>370</v>
      </c>
      <c r="W737">
        <v>155</v>
      </c>
    </row>
    <row r="738" spans="1:23">
      <c r="A738">
        <v>349.4211986396283</v>
      </c>
      <c r="B738">
        <v>58.625</v>
      </c>
      <c r="C738">
        <v>4.1721934165925756</v>
      </c>
      <c r="D738">
        <v>409.90080000000012</v>
      </c>
      <c r="E738">
        <v>692.16597510373435</v>
      </c>
      <c r="F738">
        <v>157.75319999999999</v>
      </c>
      <c r="G738">
        <v>67.84320000000001</v>
      </c>
      <c r="H738">
        <v>7</v>
      </c>
      <c r="I738">
        <v>54</v>
      </c>
      <c r="J738">
        <v>5</v>
      </c>
      <c r="K738">
        <v>254</v>
      </c>
      <c r="L738">
        <v>58</v>
      </c>
      <c r="M738">
        <v>15</v>
      </c>
      <c r="N738">
        <v>1995</v>
      </c>
      <c r="O738">
        <v>0.27</v>
      </c>
      <c r="P738">
        <v>2.4700000000000002</v>
      </c>
      <c r="Q738">
        <v>1.4999999999999999E-2</v>
      </c>
      <c r="R738">
        <v>60</v>
      </c>
      <c r="S738">
        <v>700</v>
      </c>
      <c r="T738">
        <v>475</v>
      </c>
      <c r="U738">
        <v>275</v>
      </c>
      <c r="V738">
        <v>370</v>
      </c>
      <c r="W738">
        <v>155</v>
      </c>
    </row>
    <row r="739" spans="1:23">
      <c r="A739">
        <v>407.6803691196024</v>
      </c>
      <c r="B739">
        <v>68.599999999999994</v>
      </c>
      <c r="C739">
        <v>4.1600037665265566</v>
      </c>
      <c r="D739">
        <v>476.6592</v>
      </c>
      <c r="E739">
        <v>689.03965224508329</v>
      </c>
      <c r="F739">
        <v>182.8296</v>
      </c>
      <c r="G739">
        <v>79.08720000000001</v>
      </c>
      <c r="H739">
        <v>9</v>
      </c>
      <c r="I739">
        <v>50</v>
      </c>
      <c r="J739">
        <v>4</v>
      </c>
      <c r="K739">
        <v>325</v>
      </c>
      <c r="L739">
        <v>63</v>
      </c>
      <c r="M739">
        <v>20</v>
      </c>
      <c r="N739">
        <v>1995</v>
      </c>
      <c r="O739">
        <v>0.27</v>
      </c>
      <c r="P739">
        <v>2.4700000000000002</v>
      </c>
      <c r="Q739">
        <v>1.4999999999999999E-2</v>
      </c>
      <c r="R739">
        <v>60</v>
      </c>
      <c r="S739">
        <v>700</v>
      </c>
      <c r="T739">
        <v>475</v>
      </c>
      <c r="U739">
        <v>275</v>
      </c>
      <c r="V739">
        <v>370</v>
      </c>
      <c r="W739">
        <v>155</v>
      </c>
    </row>
    <row r="740" spans="1:23">
      <c r="A740">
        <v>318.84856988475889</v>
      </c>
      <c r="B740">
        <v>53.72972972972974</v>
      </c>
      <c r="C740">
        <v>4.1540130583577737</v>
      </c>
      <c r="D740">
        <v>2004.5542499999999</v>
      </c>
      <c r="E740">
        <v>666.24365550608741</v>
      </c>
      <c r="F740">
        <v>159.698475</v>
      </c>
      <c r="G740">
        <v>61.469324999999998</v>
      </c>
      <c r="H740">
        <v>161</v>
      </c>
      <c r="I740">
        <v>61</v>
      </c>
      <c r="J740">
        <v>45</v>
      </c>
      <c r="K740">
        <v>217</v>
      </c>
      <c r="L740">
        <v>51</v>
      </c>
      <c r="M740">
        <v>19</v>
      </c>
      <c r="N740">
        <v>1995</v>
      </c>
      <c r="O740">
        <v>0.27</v>
      </c>
      <c r="P740">
        <v>2.4700000000000002</v>
      </c>
      <c r="Q740">
        <v>1.4999999999999999E-2</v>
      </c>
      <c r="R740">
        <v>60</v>
      </c>
      <c r="S740">
        <v>700</v>
      </c>
      <c r="T740">
        <v>475</v>
      </c>
      <c r="U740">
        <v>275</v>
      </c>
      <c r="V740">
        <v>370</v>
      </c>
      <c r="W740">
        <v>155</v>
      </c>
    </row>
    <row r="741" spans="1:23">
      <c r="A741">
        <v>331.4464776381015</v>
      </c>
      <c r="B741">
        <v>56.000000000000007</v>
      </c>
      <c r="C741">
        <v>4.1430809704762677</v>
      </c>
      <c r="D741">
        <v>2101.78944</v>
      </c>
      <c r="E741">
        <v>665.37261410788381</v>
      </c>
      <c r="F741">
        <v>167.77871999999999</v>
      </c>
      <c r="G741">
        <v>63.882720000000013</v>
      </c>
      <c r="H741">
        <v>161</v>
      </c>
      <c r="I741">
        <v>65</v>
      </c>
      <c r="J741">
        <v>45</v>
      </c>
      <c r="K741">
        <v>253</v>
      </c>
      <c r="L741">
        <v>48</v>
      </c>
      <c r="M741">
        <v>14</v>
      </c>
      <c r="N741">
        <v>1995</v>
      </c>
      <c r="O741">
        <v>0.27</v>
      </c>
      <c r="P741">
        <v>2.4700000000000002</v>
      </c>
      <c r="Q741">
        <v>1.4999999999999999E-2</v>
      </c>
      <c r="R741">
        <v>60</v>
      </c>
      <c r="S741">
        <v>700</v>
      </c>
      <c r="T741">
        <v>475</v>
      </c>
      <c r="U741">
        <v>275</v>
      </c>
      <c r="V741">
        <v>370</v>
      </c>
      <c r="W741">
        <v>155</v>
      </c>
    </row>
    <row r="742" spans="1:23">
      <c r="A742">
        <v>330.7475560201392</v>
      </c>
      <c r="B742">
        <v>56</v>
      </c>
      <c r="C742">
        <v>4.1343444502517404</v>
      </c>
      <c r="D742">
        <v>2101.46976</v>
      </c>
      <c r="E742">
        <v>663.93858921161825</v>
      </c>
      <c r="F742">
        <v>167.61887999999999</v>
      </c>
      <c r="G742">
        <v>63.722880000000004</v>
      </c>
      <c r="H742">
        <v>161</v>
      </c>
      <c r="I742">
        <v>65</v>
      </c>
      <c r="J742">
        <v>45</v>
      </c>
      <c r="K742">
        <v>247</v>
      </c>
      <c r="L742">
        <v>48</v>
      </c>
      <c r="M742">
        <v>17</v>
      </c>
      <c r="N742">
        <v>1995</v>
      </c>
      <c r="O742">
        <v>0.27</v>
      </c>
      <c r="P742">
        <v>2.4700000000000002</v>
      </c>
      <c r="Q742">
        <v>1.4999999999999999E-2</v>
      </c>
      <c r="R742">
        <v>60</v>
      </c>
      <c r="S742">
        <v>700</v>
      </c>
      <c r="T742">
        <v>475</v>
      </c>
      <c r="U742">
        <v>275</v>
      </c>
      <c r="V742">
        <v>370</v>
      </c>
      <c r="W742">
        <v>155</v>
      </c>
    </row>
    <row r="743" spans="1:23">
      <c r="A743">
        <v>330.62509423849298</v>
      </c>
      <c r="B743">
        <v>56.000000000000007</v>
      </c>
      <c r="C743">
        <v>4.1328136779811633</v>
      </c>
      <c r="D743">
        <v>2102.8395</v>
      </c>
      <c r="E743">
        <v>664.39834024896254</v>
      </c>
      <c r="F743">
        <v>168.27822</v>
      </c>
      <c r="G743">
        <v>63.707340000000002</v>
      </c>
      <c r="H743">
        <v>161</v>
      </c>
      <c r="I743">
        <v>64</v>
      </c>
      <c r="J743">
        <v>46</v>
      </c>
      <c r="K743">
        <v>264</v>
      </c>
      <c r="L743">
        <v>49</v>
      </c>
      <c r="M743">
        <v>14</v>
      </c>
      <c r="N743">
        <v>1995</v>
      </c>
      <c r="O743">
        <v>0.27</v>
      </c>
      <c r="P743">
        <v>2.4700000000000002</v>
      </c>
      <c r="Q743">
        <v>1.4999999999999999E-2</v>
      </c>
      <c r="R743">
        <v>60</v>
      </c>
      <c r="S743">
        <v>700</v>
      </c>
      <c r="T743">
        <v>475</v>
      </c>
      <c r="U743">
        <v>275</v>
      </c>
      <c r="V743">
        <v>370</v>
      </c>
      <c r="W743">
        <v>155</v>
      </c>
    </row>
    <row r="744" spans="1:23">
      <c r="A744">
        <v>330.38229809671509</v>
      </c>
      <c r="B744">
        <v>56.000000000000007</v>
      </c>
      <c r="C744">
        <v>4.1297787262089383</v>
      </c>
      <c r="D744">
        <v>2114.1504</v>
      </c>
      <c r="E744">
        <v>663.90041493775925</v>
      </c>
      <c r="F744">
        <v>168.22272000000001</v>
      </c>
      <c r="G744">
        <v>63.651840000000007</v>
      </c>
      <c r="H744">
        <v>161</v>
      </c>
      <c r="I744">
        <v>64</v>
      </c>
      <c r="J744">
        <v>46</v>
      </c>
      <c r="K744">
        <v>250</v>
      </c>
      <c r="L744">
        <v>48</v>
      </c>
      <c r="M744">
        <v>16</v>
      </c>
      <c r="N744">
        <v>1995</v>
      </c>
      <c r="O744">
        <v>0.27</v>
      </c>
      <c r="P744">
        <v>2.4700000000000002</v>
      </c>
      <c r="Q744">
        <v>1.4999999999999999E-2</v>
      </c>
      <c r="R744">
        <v>60</v>
      </c>
      <c r="S744">
        <v>700</v>
      </c>
      <c r="T744">
        <v>475</v>
      </c>
      <c r="U744">
        <v>275</v>
      </c>
      <c r="V744">
        <v>370</v>
      </c>
      <c r="W744">
        <v>155</v>
      </c>
    </row>
    <row r="745" spans="1:23">
      <c r="A745">
        <v>330.38229809671509</v>
      </c>
      <c r="B745">
        <v>56.000000000000007</v>
      </c>
      <c r="C745">
        <v>4.1297787262089383</v>
      </c>
      <c r="D745">
        <v>2114.1504</v>
      </c>
      <c r="E745">
        <v>663.90041493775925</v>
      </c>
      <c r="F745">
        <v>168.22272000000001</v>
      </c>
      <c r="G745">
        <v>63.651840000000007</v>
      </c>
      <c r="H745">
        <v>161</v>
      </c>
      <c r="I745">
        <v>64</v>
      </c>
      <c r="J745">
        <v>46</v>
      </c>
      <c r="K745">
        <v>251</v>
      </c>
      <c r="L745">
        <v>48</v>
      </c>
      <c r="M745">
        <v>16</v>
      </c>
      <c r="N745">
        <v>1995</v>
      </c>
      <c r="O745">
        <v>0.27</v>
      </c>
      <c r="P745">
        <v>2.4700000000000002</v>
      </c>
      <c r="Q745">
        <v>1.4999999999999999E-2</v>
      </c>
      <c r="R745">
        <v>60</v>
      </c>
      <c r="S745">
        <v>700</v>
      </c>
      <c r="T745">
        <v>475</v>
      </c>
      <c r="U745">
        <v>275</v>
      </c>
      <c r="V745">
        <v>370</v>
      </c>
      <c r="W745">
        <v>155</v>
      </c>
    </row>
    <row r="746" spans="1:23">
      <c r="A746">
        <v>330.25770496511899</v>
      </c>
      <c r="B746">
        <v>56.000000000000007</v>
      </c>
      <c r="C746">
        <v>4.128221312063987</v>
      </c>
      <c r="D746">
        <v>2089.60608</v>
      </c>
      <c r="E746">
        <v>664.25726141078837</v>
      </c>
      <c r="F746">
        <v>167.53008</v>
      </c>
      <c r="G746">
        <v>63.634080000000012</v>
      </c>
      <c r="H746">
        <v>161</v>
      </c>
      <c r="I746">
        <v>65</v>
      </c>
      <c r="J746">
        <v>45</v>
      </c>
      <c r="K746">
        <v>268</v>
      </c>
      <c r="L746">
        <v>48</v>
      </c>
      <c r="M746">
        <v>14</v>
      </c>
      <c r="N746">
        <v>1995</v>
      </c>
      <c r="O746">
        <v>0.27</v>
      </c>
      <c r="P746">
        <v>2.4700000000000002</v>
      </c>
      <c r="Q746">
        <v>1.4999999999999999E-2</v>
      </c>
      <c r="R746">
        <v>60</v>
      </c>
      <c r="S746">
        <v>700</v>
      </c>
      <c r="T746">
        <v>475</v>
      </c>
      <c r="U746">
        <v>275</v>
      </c>
      <c r="V746">
        <v>370</v>
      </c>
      <c r="W746">
        <v>155</v>
      </c>
    </row>
    <row r="747" spans="1:23">
      <c r="A747">
        <v>315.57995840308809</v>
      </c>
      <c r="B747">
        <v>53.666666666666657</v>
      </c>
      <c r="C747">
        <v>4.1162603269968008</v>
      </c>
      <c r="D747">
        <v>400.35599999999999</v>
      </c>
      <c r="E747">
        <v>689.01866141254345</v>
      </c>
      <c r="F747">
        <v>164.376</v>
      </c>
      <c r="G747">
        <v>61.22</v>
      </c>
      <c r="H747">
        <v>164</v>
      </c>
      <c r="I747">
        <v>55</v>
      </c>
      <c r="J747">
        <v>4</v>
      </c>
      <c r="K747">
        <v>308</v>
      </c>
      <c r="L747">
        <v>57</v>
      </c>
      <c r="M747">
        <v>5</v>
      </c>
      <c r="N747">
        <v>1995</v>
      </c>
      <c r="O747">
        <v>0.27</v>
      </c>
      <c r="P747">
        <v>2.4700000000000002</v>
      </c>
      <c r="Q747">
        <v>1.4999999999999999E-2</v>
      </c>
      <c r="R747">
        <v>60</v>
      </c>
      <c r="S747">
        <v>700</v>
      </c>
      <c r="T747">
        <v>475</v>
      </c>
      <c r="U747">
        <v>275</v>
      </c>
      <c r="V747">
        <v>370</v>
      </c>
      <c r="W747">
        <v>155</v>
      </c>
    </row>
    <row r="748" spans="1:23">
      <c r="A748">
        <v>329.11954636438162</v>
      </c>
      <c r="B748">
        <v>56.000000000000007</v>
      </c>
      <c r="C748">
        <v>4.1139943295547692</v>
      </c>
      <c r="D748">
        <v>2102.5472</v>
      </c>
      <c r="E748">
        <v>664.2721991701244</v>
      </c>
      <c r="F748">
        <v>167.98591999999999</v>
      </c>
      <c r="G748">
        <v>63.415039999999998</v>
      </c>
      <c r="H748">
        <v>161</v>
      </c>
      <c r="I748">
        <v>64</v>
      </c>
      <c r="J748">
        <v>46</v>
      </c>
      <c r="K748">
        <v>202</v>
      </c>
      <c r="L748">
        <v>47</v>
      </c>
      <c r="M748">
        <v>16</v>
      </c>
      <c r="N748">
        <v>1995</v>
      </c>
      <c r="O748">
        <v>0.27</v>
      </c>
      <c r="P748">
        <v>2.4700000000000002</v>
      </c>
      <c r="Q748">
        <v>1.4999999999999999E-2</v>
      </c>
      <c r="R748">
        <v>60</v>
      </c>
      <c r="S748">
        <v>700</v>
      </c>
      <c r="T748">
        <v>475</v>
      </c>
      <c r="U748">
        <v>275</v>
      </c>
      <c r="V748">
        <v>370</v>
      </c>
      <c r="W748">
        <v>155</v>
      </c>
    </row>
    <row r="749" spans="1:23">
      <c r="A749">
        <v>328.51822282393363</v>
      </c>
      <c r="B749">
        <v>56.000000000000007</v>
      </c>
      <c r="C749">
        <v>4.1064777852991687</v>
      </c>
      <c r="D749">
        <v>2089.2864</v>
      </c>
      <c r="E749">
        <v>665.14679970674058</v>
      </c>
      <c r="F749">
        <v>167.21039999999999</v>
      </c>
      <c r="G749">
        <v>63.314400000000013</v>
      </c>
      <c r="H749">
        <v>161</v>
      </c>
      <c r="I749">
        <v>65</v>
      </c>
      <c r="J749">
        <v>45</v>
      </c>
      <c r="K749">
        <v>292</v>
      </c>
      <c r="L749">
        <v>48</v>
      </c>
      <c r="M749">
        <v>16</v>
      </c>
      <c r="N749">
        <v>1995</v>
      </c>
      <c r="O749">
        <v>0.27</v>
      </c>
      <c r="P749">
        <v>2.4700000000000002</v>
      </c>
      <c r="Q749">
        <v>1.4999999999999999E-2</v>
      </c>
      <c r="R749">
        <v>60</v>
      </c>
      <c r="S749">
        <v>700</v>
      </c>
      <c r="T749">
        <v>475</v>
      </c>
      <c r="U749">
        <v>275</v>
      </c>
      <c r="V749">
        <v>370</v>
      </c>
      <c r="W749">
        <v>155</v>
      </c>
    </row>
    <row r="750" spans="1:23">
      <c r="A750">
        <v>427.96969538060642</v>
      </c>
      <c r="B750">
        <v>73.381443298969074</v>
      </c>
      <c r="C750">
        <v>4.0824869789748766</v>
      </c>
      <c r="D750">
        <v>371.71918299999999</v>
      </c>
      <c r="E750">
        <v>692.87450073090361</v>
      </c>
      <c r="F750">
        <v>198.28639269999999</v>
      </c>
      <c r="G750">
        <v>83.110148000000009</v>
      </c>
      <c r="H750">
        <v>52</v>
      </c>
      <c r="I750">
        <v>55</v>
      </c>
      <c r="J750">
        <v>13</v>
      </c>
      <c r="K750">
        <v>79</v>
      </c>
      <c r="L750">
        <v>58</v>
      </c>
      <c r="M750">
        <v>22</v>
      </c>
      <c r="N750">
        <v>1995</v>
      </c>
      <c r="O750">
        <v>0.27</v>
      </c>
      <c r="P750">
        <v>2.4700000000000002</v>
      </c>
      <c r="Q750">
        <v>1.4999999999999999E-2</v>
      </c>
      <c r="R750">
        <v>60</v>
      </c>
      <c r="S750">
        <v>700</v>
      </c>
      <c r="T750">
        <v>475</v>
      </c>
      <c r="U750">
        <v>275</v>
      </c>
      <c r="V750">
        <v>370</v>
      </c>
      <c r="W750">
        <v>155</v>
      </c>
    </row>
    <row r="751" spans="1:23">
      <c r="A751">
        <v>427.85456626587131</v>
      </c>
      <c r="B751">
        <v>73.381443298969074</v>
      </c>
      <c r="C751">
        <v>4.0813887397376591</v>
      </c>
      <c r="D751">
        <v>371.71918299999999</v>
      </c>
      <c r="E751">
        <v>693.86074280850448</v>
      </c>
      <c r="F751">
        <v>198.28639269999999</v>
      </c>
      <c r="G751">
        <v>83.110148000000009</v>
      </c>
      <c r="H751">
        <v>52</v>
      </c>
      <c r="I751">
        <v>55</v>
      </c>
      <c r="J751">
        <v>13</v>
      </c>
      <c r="K751">
        <v>78</v>
      </c>
      <c r="L751">
        <v>58</v>
      </c>
      <c r="M751">
        <v>22</v>
      </c>
      <c r="N751">
        <v>1995</v>
      </c>
      <c r="O751">
        <v>0.27</v>
      </c>
      <c r="P751">
        <v>2.4700000000000002</v>
      </c>
      <c r="Q751">
        <v>1.4999999999999999E-2</v>
      </c>
      <c r="R751">
        <v>60</v>
      </c>
      <c r="S751">
        <v>700</v>
      </c>
      <c r="T751">
        <v>475</v>
      </c>
      <c r="U751">
        <v>275</v>
      </c>
      <c r="V751">
        <v>370</v>
      </c>
      <c r="W751">
        <v>155</v>
      </c>
    </row>
    <row r="752" spans="1:23">
      <c r="A752">
        <v>316.19084576937848</v>
      </c>
      <c r="B752">
        <v>54.320000000000007</v>
      </c>
      <c r="C752">
        <v>4.0746243011517844</v>
      </c>
      <c r="D752">
        <v>1964.0322000000001</v>
      </c>
      <c r="E752">
        <v>666.33947082637394</v>
      </c>
      <c r="F752">
        <v>158.37834000000001</v>
      </c>
      <c r="G752">
        <v>60.958560000000013</v>
      </c>
      <c r="H752">
        <v>161</v>
      </c>
      <c r="I752">
        <v>62</v>
      </c>
      <c r="J752">
        <v>44</v>
      </c>
      <c r="K752">
        <v>237</v>
      </c>
      <c r="L752">
        <v>51</v>
      </c>
      <c r="M752">
        <v>14</v>
      </c>
      <c r="N752">
        <v>1995</v>
      </c>
      <c r="O752">
        <v>0.27</v>
      </c>
      <c r="P752">
        <v>2.4700000000000002</v>
      </c>
      <c r="Q752">
        <v>1.4999999999999999E-2</v>
      </c>
      <c r="R752">
        <v>60</v>
      </c>
      <c r="S752">
        <v>700</v>
      </c>
      <c r="T752">
        <v>475</v>
      </c>
      <c r="U752">
        <v>275</v>
      </c>
      <c r="V752">
        <v>370</v>
      </c>
      <c r="W752">
        <v>155</v>
      </c>
    </row>
    <row r="753" spans="1:23">
      <c r="A753">
        <v>345.94013560651211</v>
      </c>
      <c r="B753">
        <v>59.463917525773198</v>
      </c>
      <c r="C753">
        <v>4.0723535380863689</v>
      </c>
      <c r="D753">
        <v>405.779</v>
      </c>
      <c r="E753">
        <v>691.4937759336101</v>
      </c>
      <c r="F753">
        <v>157.102</v>
      </c>
      <c r="G753">
        <v>67.155000000000001</v>
      </c>
      <c r="H753">
        <v>9</v>
      </c>
      <c r="I753">
        <v>55</v>
      </c>
      <c r="J753">
        <v>3</v>
      </c>
      <c r="K753">
        <v>200</v>
      </c>
      <c r="L753">
        <v>55</v>
      </c>
      <c r="M753">
        <v>10</v>
      </c>
      <c r="N753">
        <v>1995</v>
      </c>
      <c r="O753">
        <v>0.27</v>
      </c>
      <c r="P753">
        <v>2.4700000000000002</v>
      </c>
      <c r="Q753">
        <v>1.4999999999999999E-2</v>
      </c>
      <c r="R753">
        <v>60</v>
      </c>
      <c r="S753">
        <v>700</v>
      </c>
      <c r="T753">
        <v>475</v>
      </c>
      <c r="U753">
        <v>275</v>
      </c>
      <c r="V753">
        <v>370</v>
      </c>
      <c r="W753">
        <v>155</v>
      </c>
    </row>
    <row r="754" spans="1:23">
      <c r="A754">
        <v>425.57880792702463</v>
      </c>
      <c r="B754">
        <v>73.38144329896906</v>
      </c>
      <c r="C754">
        <v>4.059679833976535</v>
      </c>
      <c r="D754">
        <v>537.98375399999998</v>
      </c>
      <c r="E754">
        <v>690.91510164339479</v>
      </c>
      <c r="F754">
        <v>192.09338260000001</v>
      </c>
      <c r="G754">
        <v>82.601663999999985</v>
      </c>
      <c r="H754">
        <v>8</v>
      </c>
      <c r="I754">
        <v>56</v>
      </c>
      <c r="J754">
        <v>5</v>
      </c>
      <c r="K754">
        <v>79</v>
      </c>
      <c r="L754">
        <v>57</v>
      </c>
      <c r="M754">
        <v>24</v>
      </c>
      <c r="N754">
        <v>1995</v>
      </c>
      <c r="O754">
        <v>0.27</v>
      </c>
      <c r="P754">
        <v>2.4700000000000002</v>
      </c>
      <c r="Q754">
        <v>1.4999999999999999E-2</v>
      </c>
      <c r="R754">
        <v>60</v>
      </c>
      <c r="S754">
        <v>700</v>
      </c>
      <c r="T754">
        <v>475</v>
      </c>
      <c r="U754">
        <v>275</v>
      </c>
      <c r="V754">
        <v>370</v>
      </c>
      <c r="W754">
        <v>155</v>
      </c>
    </row>
    <row r="755" spans="1:23">
      <c r="A755">
        <v>322.6233771967913</v>
      </c>
      <c r="B755">
        <v>56</v>
      </c>
      <c r="C755">
        <v>4.0327922149598914</v>
      </c>
      <c r="D755">
        <v>1963.52118</v>
      </c>
      <c r="E755">
        <v>667.84232365145226</v>
      </c>
      <c r="F755">
        <v>159.72677999999999</v>
      </c>
      <c r="G755">
        <v>62.224379999999996</v>
      </c>
      <c r="H755">
        <v>161</v>
      </c>
      <c r="I755">
        <v>61</v>
      </c>
      <c r="J755">
        <v>45</v>
      </c>
      <c r="K755">
        <v>208</v>
      </c>
      <c r="L755">
        <v>51</v>
      </c>
      <c r="M755">
        <v>17</v>
      </c>
      <c r="N755">
        <v>1995</v>
      </c>
      <c r="O755">
        <v>0.27</v>
      </c>
      <c r="P755">
        <v>2.4700000000000002</v>
      </c>
      <c r="Q755">
        <v>1.4999999999999999E-2</v>
      </c>
      <c r="R755">
        <v>60</v>
      </c>
      <c r="S755">
        <v>700</v>
      </c>
      <c r="T755">
        <v>475</v>
      </c>
      <c r="U755">
        <v>275</v>
      </c>
      <c r="V755">
        <v>370</v>
      </c>
      <c r="W755">
        <v>155</v>
      </c>
    </row>
    <row r="756" spans="1:23">
      <c r="A756">
        <v>421.03202936661211</v>
      </c>
      <c r="B756">
        <v>73.381443298969089</v>
      </c>
      <c r="C756">
        <v>4.0163072202856078</v>
      </c>
      <c r="D756">
        <v>537.98375399999998</v>
      </c>
      <c r="E756">
        <v>685.89268705072197</v>
      </c>
      <c r="F756">
        <v>192.09338260000001</v>
      </c>
      <c r="G756">
        <v>81.607128000000003</v>
      </c>
      <c r="H756">
        <v>8</v>
      </c>
      <c r="I756">
        <v>56</v>
      </c>
      <c r="J756">
        <v>5</v>
      </c>
      <c r="K756">
        <v>78</v>
      </c>
      <c r="L756">
        <v>57</v>
      </c>
      <c r="M756">
        <v>23</v>
      </c>
      <c r="N756">
        <v>1995</v>
      </c>
      <c r="O756">
        <v>0.27</v>
      </c>
      <c r="P756">
        <v>2.4700000000000002</v>
      </c>
      <c r="Q756">
        <v>1.4999999999999999E-2</v>
      </c>
      <c r="R756">
        <v>60</v>
      </c>
      <c r="S756">
        <v>700</v>
      </c>
      <c r="T756">
        <v>475</v>
      </c>
      <c r="U756">
        <v>275</v>
      </c>
      <c r="V756">
        <v>370</v>
      </c>
      <c r="W756">
        <v>155</v>
      </c>
    </row>
    <row r="757" spans="1:23">
      <c r="A757">
        <v>320.01590438773923</v>
      </c>
      <c r="B757">
        <v>56.000000000000007</v>
      </c>
      <c r="C757">
        <v>4.0001988048467414</v>
      </c>
      <c r="D757">
        <v>1986.0204000000001</v>
      </c>
      <c r="E757">
        <v>665.14845679876112</v>
      </c>
      <c r="F757">
        <v>159.71100000000001</v>
      </c>
      <c r="G757">
        <v>61.675800000000002</v>
      </c>
      <c r="H757">
        <v>161</v>
      </c>
      <c r="I757">
        <v>60</v>
      </c>
      <c r="J757">
        <v>46</v>
      </c>
      <c r="K757">
        <v>313</v>
      </c>
      <c r="L757">
        <v>51</v>
      </c>
      <c r="M757">
        <v>17</v>
      </c>
      <c r="N757">
        <v>1995</v>
      </c>
      <c r="O757">
        <v>0.27</v>
      </c>
      <c r="P757">
        <v>2.4700000000000002</v>
      </c>
      <c r="Q757">
        <v>1.4999999999999999E-2</v>
      </c>
      <c r="R757">
        <v>60</v>
      </c>
      <c r="S757">
        <v>700</v>
      </c>
      <c r="T757">
        <v>475</v>
      </c>
      <c r="U757">
        <v>275</v>
      </c>
      <c r="V757">
        <v>370</v>
      </c>
      <c r="W757">
        <v>155</v>
      </c>
    </row>
    <row r="758" spans="1:23">
      <c r="A758">
        <v>422.2234484988428</v>
      </c>
      <c r="B758">
        <v>74</v>
      </c>
      <c r="C758">
        <v>3.9940055939079731</v>
      </c>
      <c r="D758">
        <v>539.4144</v>
      </c>
      <c r="E758">
        <v>689.41255101733191</v>
      </c>
      <c r="F758">
        <v>192.4272</v>
      </c>
      <c r="G758">
        <v>81.916800000000009</v>
      </c>
      <c r="H758">
        <v>8</v>
      </c>
      <c r="I758">
        <v>56</v>
      </c>
      <c r="J758">
        <v>5</v>
      </c>
      <c r="K758">
        <v>116</v>
      </c>
      <c r="L758">
        <v>56</v>
      </c>
      <c r="M758">
        <v>23</v>
      </c>
      <c r="N758">
        <v>1995</v>
      </c>
      <c r="O758">
        <v>0.27</v>
      </c>
      <c r="P758">
        <v>2.4700000000000002</v>
      </c>
      <c r="Q758">
        <v>1.4999999999999999E-2</v>
      </c>
      <c r="R758">
        <v>60</v>
      </c>
      <c r="S758">
        <v>700</v>
      </c>
      <c r="T758">
        <v>475</v>
      </c>
      <c r="U758">
        <v>275</v>
      </c>
      <c r="V758">
        <v>370</v>
      </c>
      <c r="W758">
        <v>155</v>
      </c>
    </row>
    <row r="759" spans="1:23">
      <c r="A759">
        <v>325.64758061376858</v>
      </c>
      <c r="B759">
        <v>57.577333333333343</v>
      </c>
      <c r="C759">
        <v>3.9590806526232201</v>
      </c>
      <c r="D759">
        <v>452.25599999999997</v>
      </c>
      <c r="E759">
        <v>688.17952723442863</v>
      </c>
      <c r="F759">
        <v>353.08512000000002</v>
      </c>
      <c r="G759">
        <v>63.158560000000008</v>
      </c>
      <c r="H759">
        <v>330</v>
      </c>
      <c r="I759">
        <v>61</v>
      </c>
      <c r="J759">
        <v>2</v>
      </c>
      <c r="K759">
        <v>40</v>
      </c>
      <c r="L759">
        <v>54</v>
      </c>
      <c r="M759">
        <v>6</v>
      </c>
      <c r="N759">
        <v>1995</v>
      </c>
      <c r="O759">
        <v>0.27</v>
      </c>
      <c r="P759">
        <v>2.4700000000000002</v>
      </c>
      <c r="Q759">
        <v>1.4999999999999999E-2</v>
      </c>
      <c r="R759">
        <v>60</v>
      </c>
      <c r="S759">
        <v>700</v>
      </c>
      <c r="T759">
        <v>475</v>
      </c>
      <c r="U759">
        <v>275</v>
      </c>
      <c r="V759">
        <v>370</v>
      </c>
      <c r="W759">
        <v>155</v>
      </c>
    </row>
    <row r="760" spans="1:23">
      <c r="A760">
        <v>387.47376943156019</v>
      </c>
      <c r="B760">
        <v>68.599999999999994</v>
      </c>
      <c r="C760">
        <v>3.9538139737914308</v>
      </c>
      <c r="D760">
        <v>463.80799999999999</v>
      </c>
      <c r="E760">
        <v>691.25796633673906</v>
      </c>
      <c r="F760">
        <v>178.03200000000001</v>
      </c>
      <c r="G760">
        <v>75.212800000000001</v>
      </c>
      <c r="H760">
        <v>6</v>
      </c>
      <c r="I760">
        <v>52</v>
      </c>
      <c r="J760">
        <v>7</v>
      </c>
      <c r="K760">
        <v>325</v>
      </c>
      <c r="L760">
        <v>57</v>
      </c>
      <c r="M760">
        <v>20</v>
      </c>
      <c r="N760">
        <v>1995</v>
      </c>
      <c r="O760">
        <v>0.27</v>
      </c>
      <c r="P760">
        <v>2.4700000000000002</v>
      </c>
      <c r="Q760">
        <v>1.4999999999999999E-2</v>
      </c>
      <c r="R760">
        <v>60</v>
      </c>
      <c r="S760">
        <v>700</v>
      </c>
      <c r="T760">
        <v>475</v>
      </c>
      <c r="U760">
        <v>275</v>
      </c>
      <c r="V760">
        <v>370</v>
      </c>
      <c r="W760">
        <v>155</v>
      </c>
    </row>
    <row r="761" spans="1:23">
      <c r="A761">
        <v>315.5237355904809</v>
      </c>
      <c r="B761">
        <v>56.000000000000007</v>
      </c>
      <c r="C761">
        <v>3.9440466948810111</v>
      </c>
      <c r="D761">
        <v>1962.5952</v>
      </c>
      <c r="E761">
        <v>665.68701800928659</v>
      </c>
      <c r="F761">
        <v>157.04272</v>
      </c>
      <c r="G761">
        <v>60.819040000000001</v>
      </c>
      <c r="H761">
        <v>161</v>
      </c>
      <c r="I761">
        <v>63</v>
      </c>
      <c r="J761">
        <v>43</v>
      </c>
      <c r="K761">
        <v>141</v>
      </c>
      <c r="L761">
        <v>55</v>
      </c>
      <c r="M761">
        <v>19</v>
      </c>
      <c r="N761">
        <v>1995</v>
      </c>
      <c r="O761">
        <v>0.27</v>
      </c>
      <c r="P761">
        <v>2.4700000000000002</v>
      </c>
      <c r="Q761">
        <v>1.4999999999999999E-2</v>
      </c>
      <c r="R761">
        <v>60</v>
      </c>
      <c r="S761">
        <v>700</v>
      </c>
      <c r="T761">
        <v>475</v>
      </c>
      <c r="U761">
        <v>275</v>
      </c>
      <c r="V761">
        <v>370</v>
      </c>
      <c r="W761">
        <v>155</v>
      </c>
    </row>
    <row r="762" spans="1:23">
      <c r="A762">
        <v>339.23049729073762</v>
      </c>
      <c r="B762">
        <v>62.125443298969067</v>
      </c>
      <c r="C762">
        <v>3.822288188122382</v>
      </c>
      <c r="D762">
        <v>850.7204549999999</v>
      </c>
      <c r="E762">
        <v>684.1306582494617</v>
      </c>
      <c r="F762">
        <v>668.94943949999993</v>
      </c>
      <c r="G762">
        <v>65.720160000000007</v>
      </c>
      <c r="H762">
        <v>40</v>
      </c>
      <c r="I762">
        <v>60</v>
      </c>
      <c r="J762">
        <v>11</v>
      </c>
      <c r="K762">
        <v>78</v>
      </c>
      <c r="L762">
        <v>60</v>
      </c>
      <c r="M762">
        <v>22</v>
      </c>
      <c r="N762">
        <v>1995</v>
      </c>
      <c r="O762">
        <v>0.27</v>
      </c>
      <c r="P762">
        <v>2.4700000000000002</v>
      </c>
      <c r="Q762">
        <v>1.4999999999999999E-2</v>
      </c>
      <c r="R762">
        <v>60</v>
      </c>
      <c r="S762">
        <v>700</v>
      </c>
      <c r="T762">
        <v>475</v>
      </c>
      <c r="U762">
        <v>275</v>
      </c>
      <c r="V762">
        <v>370</v>
      </c>
      <c r="W762">
        <v>155</v>
      </c>
    </row>
    <row r="763" spans="1:23">
      <c r="A763">
        <v>399.73761150377152</v>
      </c>
      <c r="B763">
        <v>73.381443298969089</v>
      </c>
      <c r="C763">
        <v>3.8131755859941112</v>
      </c>
      <c r="D763">
        <v>509.58267000000001</v>
      </c>
      <c r="E763">
        <v>686.11802602773912</v>
      </c>
      <c r="F763">
        <v>181.80262300000001</v>
      </c>
      <c r="G763">
        <v>77.484479999999991</v>
      </c>
      <c r="H763">
        <v>9</v>
      </c>
      <c r="I763">
        <v>50</v>
      </c>
      <c r="J763">
        <v>4</v>
      </c>
      <c r="K763">
        <v>79</v>
      </c>
      <c r="L763">
        <v>63</v>
      </c>
      <c r="M763">
        <v>20</v>
      </c>
      <c r="N763">
        <v>1995</v>
      </c>
      <c r="O763">
        <v>0.27</v>
      </c>
      <c r="P763">
        <v>2.4700000000000002</v>
      </c>
      <c r="Q763">
        <v>1.4999999999999999E-2</v>
      </c>
      <c r="R763">
        <v>60</v>
      </c>
      <c r="S763">
        <v>700</v>
      </c>
      <c r="T763">
        <v>475</v>
      </c>
      <c r="U763">
        <v>275</v>
      </c>
      <c r="V763">
        <v>370</v>
      </c>
      <c r="W763">
        <v>155</v>
      </c>
    </row>
    <row r="764" spans="1:23">
      <c r="A764">
        <v>399.63122914590781</v>
      </c>
      <c r="B764">
        <v>73.381443298969089</v>
      </c>
      <c r="C764">
        <v>3.8121607837885829</v>
      </c>
      <c r="D764">
        <v>491.82267000000002</v>
      </c>
      <c r="E764">
        <v>687.09190143352055</v>
      </c>
      <c r="F764">
        <v>175.14262299999999</v>
      </c>
      <c r="G764">
        <v>77.484479999999991</v>
      </c>
      <c r="H764">
        <v>9</v>
      </c>
      <c r="I764">
        <v>50</v>
      </c>
      <c r="J764">
        <v>4</v>
      </c>
      <c r="K764">
        <v>78</v>
      </c>
      <c r="L764">
        <v>63</v>
      </c>
      <c r="M764">
        <v>20</v>
      </c>
      <c r="N764">
        <v>1995</v>
      </c>
      <c r="O764">
        <v>0.27</v>
      </c>
      <c r="P764">
        <v>2.4700000000000002</v>
      </c>
      <c r="Q764">
        <v>1.4999999999999999E-2</v>
      </c>
      <c r="R764">
        <v>60</v>
      </c>
      <c r="S764">
        <v>700</v>
      </c>
      <c r="T764">
        <v>475</v>
      </c>
      <c r="U764">
        <v>275</v>
      </c>
      <c r="V764">
        <v>370</v>
      </c>
      <c r="W764">
        <v>155</v>
      </c>
    </row>
    <row r="765" spans="1:23">
      <c r="A765">
        <v>337.34406934492011</v>
      </c>
      <c r="B765">
        <v>62.125443298969067</v>
      </c>
      <c r="C765">
        <v>3.8010328136421139</v>
      </c>
      <c r="D765">
        <v>863.788455</v>
      </c>
      <c r="E765">
        <v>685.81263183686769</v>
      </c>
      <c r="F765">
        <v>679.83943950000003</v>
      </c>
      <c r="G765">
        <v>65.38476</v>
      </c>
      <c r="H765">
        <v>40</v>
      </c>
      <c r="I765">
        <v>61</v>
      </c>
      <c r="J765">
        <v>11</v>
      </c>
      <c r="K765">
        <v>79</v>
      </c>
      <c r="L765">
        <v>60</v>
      </c>
      <c r="M765">
        <v>21</v>
      </c>
      <c r="N765">
        <v>1995</v>
      </c>
      <c r="O765">
        <v>0.27</v>
      </c>
      <c r="P765">
        <v>2.4700000000000002</v>
      </c>
      <c r="Q765">
        <v>1.4999999999999999E-2</v>
      </c>
      <c r="R765">
        <v>60</v>
      </c>
      <c r="S765">
        <v>700</v>
      </c>
      <c r="T765">
        <v>475</v>
      </c>
      <c r="U765">
        <v>275</v>
      </c>
      <c r="V765">
        <v>370</v>
      </c>
      <c r="W765">
        <v>155</v>
      </c>
    </row>
    <row r="766" spans="1:23">
      <c r="A766">
        <v>401.90981715769288</v>
      </c>
      <c r="B766">
        <v>74.152284263959388</v>
      </c>
      <c r="C766">
        <v>3.7940418802057678</v>
      </c>
      <c r="D766">
        <v>450.40622400000012</v>
      </c>
      <c r="E766">
        <v>688.57886377086209</v>
      </c>
      <c r="F766">
        <v>176.2134768</v>
      </c>
      <c r="G766">
        <v>77.957940000000008</v>
      </c>
      <c r="H766">
        <v>8</v>
      </c>
      <c r="I766">
        <v>52</v>
      </c>
      <c r="J766">
        <v>5</v>
      </c>
      <c r="K766">
        <v>152</v>
      </c>
      <c r="L766">
        <v>61</v>
      </c>
      <c r="M766">
        <v>27</v>
      </c>
      <c r="N766">
        <v>1995</v>
      </c>
      <c r="O766">
        <v>0.27</v>
      </c>
      <c r="P766">
        <v>2.4700000000000002</v>
      </c>
      <c r="Q766">
        <v>1.4999999999999999E-2</v>
      </c>
      <c r="R766">
        <v>60</v>
      </c>
      <c r="S766">
        <v>700</v>
      </c>
      <c r="T766">
        <v>475</v>
      </c>
      <c r="U766">
        <v>275</v>
      </c>
      <c r="V766">
        <v>370</v>
      </c>
      <c r="W766">
        <v>155</v>
      </c>
    </row>
    <row r="767" spans="1:23">
      <c r="A767">
        <v>400.96534722873349</v>
      </c>
      <c r="B767">
        <v>74</v>
      </c>
      <c r="C767">
        <v>3.7929154467582902</v>
      </c>
      <c r="D767">
        <v>493.2</v>
      </c>
      <c r="E767">
        <v>690.70915294070858</v>
      </c>
      <c r="F767">
        <v>175.464</v>
      </c>
      <c r="G767">
        <v>77.819999999999993</v>
      </c>
      <c r="H767">
        <v>9</v>
      </c>
      <c r="I767">
        <v>50</v>
      </c>
      <c r="J767">
        <v>4</v>
      </c>
      <c r="K767">
        <v>116</v>
      </c>
      <c r="L767">
        <v>62</v>
      </c>
      <c r="M767">
        <v>20</v>
      </c>
      <c r="N767">
        <v>1995</v>
      </c>
      <c r="O767">
        <v>0.27</v>
      </c>
      <c r="P767">
        <v>2.4700000000000002</v>
      </c>
      <c r="Q767">
        <v>1.4999999999999999E-2</v>
      </c>
      <c r="R767">
        <v>60</v>
      </c>
      <c r="S767">
        <v>700</v>
      </c>
      <c r="T767">
        <v>475</v>
      </c>
      <c r="U767">
        <v>275</v>
      </c>
      <c r="V767">
        <v>370</v>
      </c>
      <c r="W767">
        <v>155</v>
      </c>
    </row>
    <row r="768" spans="1:23">
      <c r="A768">
        <v>416.92456050258869</v>
      </c>
      <c r="B768">
        <v>77</v>
      </c>
      <c r="C768">
        <v>3.7902232772962599</v>
      </c>
      <c r="D768">
        <v>391.84199999999998</v>
      </c>
      <c r="E768">
        <v>689.39682841050421</v>
      </c>
      <c r="F768">
        <v>189.74520000000001</v>
      </c>
      <c r="G768">
        <v>80.888400000000004</v>
      </c>
      <c r="H768">
        <v>52</v>
      </c>
      <c r="I768">
        <v>57</v>
      </c>
      <c r="J768">
        <v>12</v>
      </c>
      <c r="K768">
        <v>87</v>
      </c>
      <c r="L768">
        <v>56</v>
      </c>
      <c r="M768">
        <v>25</v>
      </c>
      <c r="N768">
        <v>1995</v>
      </c>
      <c r="O768">
        <v>0.27</v>
      </c>
      <c r="P768">
        <v>2.4700000000000002</v>
      </c>
      <c r="Q768">
        <v>1.4999999999999999E-2</v>
      </c>
      <c r="R768">
        <v>60</v>
      </c>
      <c r="S768">
        <v>700</v>
      </c>
      <c r="T768">
        <v>475</v>
      </c>
      <c r="U768">
        <v>275</v>
      </c>
      <c r="V768">
        <v>370</v>
      </c>
      <c r="W768">
        <v>155</v>
      </c>
    </row>
    <row r="769" spans="1:23">
      <c r="A769">
        <v>337.46822958347178</v>
      </c>
      <c r="B769">
        <v>62.744</v>
      </c>
      <c r="C769">
        <v>3.764945822842507</v>
      </c>
      <c r="D769">
        <v>850.98599999999999</v>
      </c>
      <c r="E769">
        <v>683.57415801758657</v>
      </c>
      <c r="F769">
        <v>669.01139999999998</v>
      </c>
      <c r="G769">
        <v>65.368800000000007</v>
      </c>
      <c r="H769">
        <v>40</v>
      </c>
      <c r="I769">
        <v>60</v>
      </c>
      <c r="J769">
        <v>11</v>
      </c>
      <c r="K769">
        <v>116</v>
      </c>
      <c r="L769">
        <v>60</v>
      </c>
      <c r="M769">
        <v>21</v>
      </c>
      <c r="N769">
        <v>1995</v>
      </c>
      <c r="O769">
        <v>0.27</v>
      </c>
      <c r="P769">
        <v>2.4700000000000002</v>
      </c>
      <c r="Q769">
        <v>1.4999999999999999E-2</v>
      </c>
      <c r="R769">
        <v>60</v>
      </c>
      <c r="S769">
        <v>700</v>
      </c>
      <c r="T769">
        <v>475</v>
      </c>
      <c r="U769">
        <v>275</v>
      </c>
      <c r="V769">
        <v>370</v>
      </c>
      <c r="W769">
        <v>155</v>
      </c>
    </row>
    <row r="770" spans="1:23">
      <c r="A770">
        <v>377.69878536104721</v>
      </c>
      <c r="B770">
        <v>70.5</v>
      </c>
      <c r="C770">
        <v>3.7502007057125248</v>
      </c>
      <c r="D770">
        <v>468.50400000000002</v>
      </c>
      <c r="E770">
        <v>691.18945189601993</v>
      </c>
      <c r="F770">
        <v>215.8776</v>
      </c>
      <c r="G770">
        <v>73.313999999999993</v>
      </c>
      <c r="H770">
        <v>22</v>
      </c>
      <c r="I770">
        <v>45</v>
      </c>
      <c r="J770">
        <v>4</v>
      </c>
      <c r="K770">
        <v>116</v>
      </c>
      <c r="L770">
        <v>59</v>
      </c>
      <c r="M770">
        <v>22</v>
      </c>
      <c r="N770">
        <v>1995</v>
      </c>
      <c r="O770">
        <v>0.27</v>
      </c>
      <c r="P770">
        <v>2.4700000000000002</v>
      </c>
      <c r="Q770">
        <v>1.4999999999999999E-2</v>
      </c>
      <c r="R770">
        <v>60</v>
      </c>
      <c r="S770">
        <v>700</v>
      </c>
      <c r="T770">
        <v>475</v>
      </c>
      <c r="U770">
        <v>275</v>
      </c>
      <c r="V770">
        <v>370</v>
      </c>
      <c r="W770">
        <v>155</v>
      </c>
    </row>
    <row r="771" spans="1:23">
      <c r="A771">
        <v>410.73956123702339</v>
      </c>
      <c r="B771">
        <v>77.000000000000014</v>
      </c>
      <c r="C771">
        <v>3.733996011245666</v>
      </c>
      <c r="D771">
        <v>555.03360000000009</v>
      </c>
      <c r="E771">
        <v>684.15688226453778</v>
      </c>
      <c r="F771">
        <v>185.19839999999999</v>
      </c>
      <c r="G771">
        <v>79.574399999999997</v>
      </c>
      <c r="H771">
        <v>8</v>
      </c>
      <c r="I771">
        <v>54</v>
      </c>
      <c r="J771">
        <v>5</v>
      </c>
      <c r="K771">
        <v>87</v>
      </c>
      <c r="L771">
        <v>59</v>
      </c>
      <c r="M771">
        <v>24</v>
      </c>
      <c r="N771">
        <v>1995</v>
      </c>
      <c r="O771">
        <v>0.27</v>
      </c>
      <c r="P771">
        <v>2.4700000000000002</v>
      </c>
      <c r="Q771">
        <v>1.4999999999999999E-2</v>
      </c>
      <c r="R771">
        <v>60</v>
      </c>
      <c r="S771">
        <v>700</v>
      </c>
      <c r="T771">
        <v>475</v>
      </c>
      <c r="U771">
        <v>275</v>
      </c>
      <c r="V771">
        <v>370</v>
      </c>
      <c r="W771">
        <v>155</v>
      </c>
    </row>
    <row r="772" spans="1:23">
      <c r="A772">
        <v>389.54522044499458</v>
      </c>
      <c r="B772">
        <v>73.381443298969074</v>
      </c>
      <c r="C772">
        <v>3.7159483658633241</v>
      </c>
      <c r="D772">
        <v>481.88668299999989</v>
      </c>
      <c r="E772">
        <v>690.49154313357872</v>
      </c>
      <c r="F772">
        <v>171.1468927</v>
      </c>
      <c r="G772">
        <v>75.599072000000007</v>
      </c>
      <c r="H772">
        <v>6</v>
      </c>
      <c r="I772">
        <v>50</v>
      </c>
      <c r="J772">
        <v>7</v>
      </c>
      <c r="K772">
        <v>79</v>
      </c>
      <c r="L772">
        <v>62</v>
      </c>
      <c r="M772">
        <v>22</v>
      </c>
      <c r="N772">
        <v>1995</v>
      </c>
      <c r="O772">
        <v>0.27</v>
      </c>
      <c r="P772">
        <v>2.4700000000000002</v>
      </c>
      <c r="Q772">
        <v>1.4999999999999999E-2</v>
      </c>
      <c r="R772">
        <v>60</v>
      </c>
      <c r="S772">
        <v>700</v>
      </c>
      <c r="T772">
        <v>475</v>
      </c>
      <c r="U772">
        <v>275</v>
      </c>
      <c r="V772">
        <v>370</v>
      </c>
      <c r="W772">
        <v>155</v>
      </c>
    </row>
    <row r="773" spans="1:23">
      <c r="A773">
        <v>389.4331301430791</v>
      </c>
      <c r="B773">
        <v>73.381443298969074</v>
      </c>
      <c r="C773">
        <v>3.7148791144584248</v>
      </c>
      <c r="D773">
        <v>481.88668299999989</v>
      </c>
      <c r="E773">
        <v>691.54580190618663</v>
      </c>
      <c r="F773">
        <v>171.1468927</v>
      </c>
      <c r="G773">
        <v>75.599072000000007</v>
      </c>
      <c r="H773">
        <v>6</v>
      </c>
      <c r="I773">
        <v>50</v>
      </c>
      <c r="J773">
        <v>7</v>
      </c>
      <c r="K773">
        <v>78</v>
      </c>
      <c r="L773">
        <v>62</v>
      </c>
      <c r="M773">
        <v>22</v>
      </c>
      <c r="N773">
        <v>1995</v>
      </c>
      <c r="O773">
        <v>0.27</v>
      </c>
      <c r="P773">
        <v>2.4700000000000002</v>
      </c>
      <c r="Q773">
        <v>1.4999999999999999E-2</v>
      </c>
      <c r="R773">
        <v>60</v>
      </c>
      <c r="S773">
        <v>700</v>
      </c>
      <c r="T773">
        <v>475</v>
      </c>
      <c r="U773">
        <v>275</v>
      </c>
      <c r="V773">
        <v>370</v>
      </c>
      <c r="W773">
        <v>155</v>
      </c>
    </row>
    <row r="774" spans="1:23">
      <c r="A774">
        <v>407.55103324133438</v>
      </c>
      <c r="B774">
        <v>77.63959390862945</v>
      </c>
      <c r="C774">
        <v>3.6744875765923521</v>
      </c>
      <c r="D774">
        <v>466.44945600000011</v>
      </c>
      <c r="E774">
        <v>688.74115296589378</v>
      </c>
      <c r="F774">
        <v>181.98997919999999</v>
      </c>
      <c r="G774">
        <v>79.055664000000007</v>
      </c>
      <c r="H774">
        <v>8</v>
      </c>
      <c r="I774">
        <v>53</v>
      </c>
      <c r="J774">
        <v>5</v>
      </c>
      <c r="K774">
        <v>151</v>
      </c>
      <c r="L774">
        <v>60</v>
      </c>
      <c r="M774">
        <v>26</v>
      </c>
      <c r="N774">
        <v>1995</v>
      </c>
      <c r="O774">
        <v>0.27</v>
      </c>
      <c r="P774">
        <v>2.4700000000000002</v>
      </c>
      <c r="Q774">
        <v>1.4999999999999999E-2</v>
      </c>
      <c r="R774">
        <v>60</v>
      </c>
      <c r="S774">
        <v>700</v>
      </c>
      <c r="T774">
        <v>475</v>
      </c>
      <c r="U774">
        <v>275</v>
      </c>
      <c r="V774">
        <v>370</v>
      </c>
      <c r="W774">
        <v>155</v>
      </c>
    </row>
    <row r="775" spans="1:23">
      <c r="A775">
        <v>388.35212580883592</v>
      </c>
      <c r="B775">
        <v>74</v>
      </c>
      <c r="C775">
        <v>3.6736011900835832</v>
      </c>
      <c r="D775">
        <v>483.952</v>
      </c>
      <c r="E775">
        <v>691.97245208395748</v>
      </c>
      <c r="F775">
        <v>171.62880000000001</v>
      </c>
      <c r="G775">
        <v>75.397999999999996</v>
      </c>
      <c r="H775">
        <v>6</v>
      </c>
      <c r="I775">
        <v>50</v>
      </c>
      <c r="J775">
        <v>7</v>
      </c>
      <c r="K775">
        <v>116</v>
      </c>
      <c r="L775">
        <v>57</v>
      </c>
      <c r="M775">
        <v>23</v>
      </c>
      <c r="N775">
        <v>1995</v>
      </c>
      <c r="O775">
        <v>0.27</v>
      </c>
      <c r="P775">
        <v>2.4700000000000002</v>
      </c>
      <c r="Q775">
        <v>1.4999999999999999E-2</v>
      </c>
      <c r="R775">
        <v>60</v>
      </c>
      <c r="S775">
        <v>700</v>
      </c>
      <c r="T775">
        <v>475</v>
      </c>
      <c r="U775">
        <v>275</v>
      </c>
      <c r="V775">
        <v>370</v>
      </c>
      <c r="W775">
        <v>155</v>
      </c>
    </row>
    <row r="776" spans="1:23">
      <c r="A776">
        <v>402.45832796350732</v>
      </c>
      <c r="B776">
        <v>77</v>
      </c>
      <c r="C776">
        <v>3.6587120723955211</v>
      </c>
      <c r="D776">
        <v>378</v>
      </c>
      <c r="E776">
        <v>691.18935953083621</v>
      </c>
      <c r="F776">
        <v>181.44</v>
      </c>
      <c r="G776">
        <v>78.12</v>
      </c>
      <c r="H776">
        <v>53</v>
      </c>
      <c r="I776">
        <v>56</v>
      </c>
      <c r="J776">
        <v>12</v>
      </c>
      <c r="K776">
        <v>87</v>
      </c>
      <c r="L776">
        <v>56</v>
      </c>
      <c r="M776">
        <v>25</v>
      </c>
      <c r="N776">
        <v>1995</v>
      </c>
      <c r="O776">
        <v>0.27</v>
      </c>
      <c r="P776">
        <v>2.4700000000000002</v>
      </c>
      <c r="Q776">
        <v>1.4999999999999999E-2</v>
      </c>
      <c r="R776">
        <v>60</v>
      </c>
      <c r="S776">
        <v>700</v>
      </c>
      <c r="T776">
        <v>475</v>
      </c>
      <c r="U776">
        <v>275</v>
      </c>
      <c r="V776">
        <v>370</v>
      </c>
      <c r="W776">
        <v>155</v>
      </c>
    </row>
    <row r="777" spans="1:23">
      <c r="A777">
        <v>402.43396156025278</v>
      </c>
      <c r="B777">
        <v>77</v>
      </c>
      <c r="C777">
        <v>3.658490559638663</v>
      </c>
      <c r="D777">
        <v>565.95339999999999</v>
      </c>
      <c r="E777">
        <v>688.10201734541181</v>
      </c>
      <c r="F777">
        <v>175.65112999999999</v>
      </c>
      <c r="G777">
        <v>78.049440000000004</v>
      </c>
      <c r="H777">
        <v>8</v>
      </c>
      <c r="I777">
        <v>52</v>
      </c>
      <c r="J777">
        <v>5</v>
      </c>
      <c r="K777">
        <v>82</v>
      </c>
      <c r="L777">
        <v>61</v>
      </c>
      <c r="M777">
        <v>32</v>
      </c>
      <c r="N777">
        <v>1995</v>
      </c>
      <c r="O777">
        <v>0.27</v>
      </c>
      <c r="P777">
        <v>2.4700000000000002</v>
      </c>
      <c r="Q777">
        <v>1.4999999999999999E-2</v>
      </c>
      <c r="R777">
        <v>60</v>
      </c>
      <c r="S777">
        <v>700</v>
      </c>
      <c r="T777">
        <v>475</v>
      </c>
      <c r="U777">
        <v>275</v>
      </c>
      <c r="V777">
        <v>370</v>
      </c>
      <c r="W777">
        <v>155</v>
      </c>
    </row>
    <row r="778" spans="1:23">
      <c r="A778">
        <v>384.88038775217728</v>
      </c>
      <c r="B778">
        <v>74.152284263959402</v>
      </c>
      <c r="C778">
        <v>3.633283507052659</v>
      </c>
      <c r="D778">
        <v>430.97582399999999</v>
      </c>
      <c r="E778">
        <v>691.87991309446375</v>
      </c>
      <c r="F778">
        <v>168.92707680000001</v>
      </c>
      <c r="G778">
        <v>74.722080000000005</v>
      </c>
      <c r="H778">
        <v>9</v>
      </c>
      <c r="I778">
        <v>46</v>
      </c>
      <c r="J778">
        <v>4</v>
      </c>
      <c r="K778">
        <v>152</v>
      </c>
      <c r="L778">
        <v>64</v>
      </c>
      <c r="M778">
        <v>26</v>
      </c>
      <c r="N778">
        <v>1995</v>
      </c>
      <c r="O778">
        <v>0.27</v>
      </c>
      <c r="P778">
        <v>2.4700000000000002</v>
      </c>
      <c r="Q778">
        <v>1.4999999999999999E-2</v>
      </c>
      <c r="R778">
        <v>60</v>
      </c>
      <c r="S778">
        <v>700</v>
      </c>
      <c r="T778">
        <v>475</v>
      </c>
      <c r="U778">
        <v>275</v>
      </c>
      <c r="V778">
        <v>370</v>
      </c>
      <c r="W778">
        <v>155</v>
      </c>
    </row>
    <row r="779" spans="1:23">
      <c r="A779">
        <v>323.92178852394619</v>
      </c>
      <c r="B779">
        <v>62.896284263959402</v>
      </c>
      <c r="C779">
        <v>3.6050659370460001</v>
      </c>
      <c r="D779">
        <v>754.30382400000008</v>
      </c>
      <c r="E779">
        <v>684.78107244926582</v>
      </c>
      <c r="F779">
        <v>625.58707680000009</v>
      </c>
      <c r="G779">
        <v>62.765520000000002</v>
      </c>
      <c r="H779">
        <v>40</v>
      </c>
      <c r="I779">
        <v>56</v>
      </c>
      <c r="J779">
        <v>11</v>
      </c>
      <c r="K779">
        <v>152</v>
      </c>
      <c r="L779">
        <v>62</v>
      </c>
      <c r="M779">
        <v>26</v>
      </c>
      <c r="N779">
        <v>1995</v>
      </c>
      <c r="O779">
        <v>0.27</v>
      </c>
      <c r="P779">
        <v>2.4700000000000002</v>
      </c>
      <c r="Q779">
        <v>1.4999999999999999E-2</v>
      </c>
      <c r="R779">
        <v>60</v>
      </c>
      <c r="S779">
        <v>700</v>
      </c>
      <c r="T779">
        <v>475</v>
      </c>
      <c r="U779">
        <v>275</v>
      </c>
      <c r="V779">
        <v>370</v>
      </c>
      <c r="W779">
        <v>155</v>
      </c>
    </row>
    <row r="780" spans="1:23">
      <c r="A780">
        <v>394.62623414249992</v>
      </c>
      <c r="B780">
        <v>76.999999999999986</v>
      </c>
      <c r="C780">
        <v>3.587511219477272</v>
      </c>
      <c r="D780">
        <v>403.82400000000001</v>
      </c>
      <c r="E780">
        <v>692.74537420407182</v>
      </c>
      <c r="F780">
        <v>172.97214</v>
      </c>
      <c r="G780">
        <v>76.632270000000005</v>
      </c>
      <c r="H780">
        <v>53</v>
      </c>
      <c r="I780">
        <v>53</v>
      </c>
      <c r="J780">
        <v>12</v>
      </c>
      <c r="K780">
        <v>82</v>
      </c>
      <c r="L780">
        <v>59</v>
      </c>
      <c r="M780">
        <v>34</v>
      </c>
      <c r="N780">
        <v>1995</v>
      </c>
      <c r="O780">
        <v>0.27</v>
      </c>
      <c r="P780">
        <v>2.4700000000000002</v>
      </c>
      <c r="Q780">
        <v>1.4999999999999999E-2</v>
      </c>
      <c r="R780">
        <v>60</v>
      </c>
      <c r="S780">
        <v>700</v>
      </c>
      <c r="T780">
        <v>475</v>
      </c>
      <c r="U780">
        <v>275</v>
      </c>
      <c r="V780">
        <v>370</v>
      </c>
      <c r="W780">
        <v>155</v>
      </c>
    </row>
    <row r="781" spans="1:23">
      <c r="A781">
        <v>393.98920180032411</v>
      </c>
      <c r="B781">
        <v>77</v>
      </c>
      <c r="C781">
        <v>3.581720016366583</v>
      </c>
      <c r="D781">
        <v>524.44799999999998</v>
      </c>
      <c r="E781">
        <v>689.74827793453494</v>
      </c>
      <c r="F781">
        <v>174.5712</v>
      </c>
      <c r="G781">
        <v>76.445999999999998</v>
      </c>
      <c r="H781">
        <v>9</v>
      </c>
      <c r="I781">
        <v>48</v>
      </c>
      <c r="J781">
        <v>4</v>
      </c>
      <c r="K781">
        <v>87</v>
      </c>
      <c r="L781">
        <v>65</v>
      </c>
      <c r="M781">
        <v>22</v>
      </c>
      <c r="N781">
        <v>1995</v>
      </c>
      <c r="O781">
        <v>0.27</v>
      </c>
      <c r="P781">
        <v>2.4700000000000002</v>
      </c>
      <c r="Q781">
        <v>1.4999999999999999E-2</v>
      </c>
      <c r="R781">
        <v>60</v>
      </c>
      <c r="S781">
        <v>700</v>
      </c>
      <c r="T781">
        <v>475</v>
      </c>
      <c r="U781">
        <v>275</v>
      </c>
      <c r="V781">
        <v>370</v>
      </c>
      <c r="W781">
        <v>155</v>
      </c>
    </row>
    <row r="782" spans="1:23">
      <c r="A782">
        <v>428.17624692801348</v>
      </c>
      <c r="B782">
        <v>84</v>
      </c>
      <c r="C782">
        <v>3.5681353910667788</v>
      </c>
      <c r="D782">
        <v>370.91800000000001</v>
      </c>
      <c r="E782">
        <v>689.55714101533704</v>
      </c>
      <c r="F782">
        <v>195.8766</v>
      </c>
      <c r="G782">
        <v>83.075000000000017</v>
      </c>
      <c r="H782">
        <v>52</v>
      </c>
      <c r="I782">
        <v>55</v>
      </c>
      <c r="J782">
        <v>13</v>
      </c>
      <c r="K782">
        <v>81</v>
      </c>
      <c r="L782">
        <v>58</v>
      </c>
      <c r="M782">
        <v>21</v>
      </c>
      <c r="N782">
        <v>1995</v>
      </c>
      <c r="O782">
        <v>0.27</v>
      </c>
      <c r="P782">
        <v>2.4700000000000002</v>
      </c>
      <c r="Q782">
        <v>1.4999999999999999E-2</v>
      </c>
      <c r="R782">
        <v>60</v>
      </c>
      <c r="S782">
        <v>700</v>
      </c>
      <c r="T782">
        <v>475</v>
      </c>
      <c r="U782">
        <v>275</v>
      </c>
      <c r="V782">
        <v>370</v>
      </c>
      <c r="W782">
        <v>155</v>
      </c>
    </row>
    <row r="783" spans="1:23">
      <c r="A783">
        <v>426.22046384124019</v>
      </c>
      <c r="B783">
        <v>84</v>
      </c>
      <c r="C783">
        <v>3.551837198677001</v>
      </c>
      <c r="D783">
        <v>540.38040000000001</v>
      </c>
      <c r="E783">
        <v>687.91927539513381</v>
      </c>
      <c r="F783">
        <v>190.30199999999999</v>
      </c>
      <c r="G783">
        <v>82.658550000000005</v>
      </c>
      <c r="H783">
        <v>8</v>
      </c>
      <c r="I783">
        <v>56</v>
      </c>
      <c r="J783">
        <v>5</v>
      </c>
      <c r="K783">
        <v>81</v>
      </c>
      <c r="L783">
        <v>57</v>
      </c>
      <c r="M783">
        <v>23</v>
      </c>
      <c r="N783">
        <v>1995</v>
      </c>
      <c r="O783">
        <v>0.27</v>
      </c>
      <c r="P783">
        <v>2.4700000000000002</v>
      </c>
      <c r="Q783">
        <v>1.4999999999999999E-2</v>
      </c>
      <c r="R783">
        <v>60</v>
      </c>
      <c r="S783">
        <v>700</v>
      </c>
      <c r="T783">
        <v>475</v>
      </c>
      <c r="U783">
        <v>275</v>
      </c>
      <c r="V783">
        <v>370</v>
      </c>
      <c r="W783">
        <v>155</v>
      </c>
    </row>
    <row r="784" spans="1:23">
      <c r="A784">
        <v>374.52878806272929</v>
      </c>
      <c r="B784">
        <v>74</v>
      </c>
      <c r="C784">
        <v>3.5428398870798721</v>
      </c>
      <c r="D784">
        <v>457.60800000000012</v>
      </c>
      <c r="E784">
        <v>691.20551958943668</v>
      </c>
      <c r="F784">
        <v>161.74979999999999</v>
      </c>
      <c r="G784">
        <v>72.698999999999998</v>
      </c>
      <c r="H784">
        <v>7</v>
      </c>
      <c r="I784">
        <v>57</v>
      </c>
      <c r="J784">
        <v>5</v>
      </c>
      <c r="K784">
        <v>116</v>
      </c>
      <c r="L784">
        <v>56</v>
      </c>
      <c r="M784">
        <v>24</v>
      </c>
      <c r="N784">
        <v>1995</v>
      </c>
      <c r="O784">
        <v>0.27</v>
      </c>
      <c r="P784">
        <v>2.4700000000000002</v>
      </c>
      <c r="Q784">
        <v>1.4999999999999999E-2</v>
      </c>
      <c r="R784">
        <v>60</v>
      </c>
      <c r="S784">
        <v>700</v>
      </c>
      <c r="T784">
        <v>475</v>
      </c>
      <c r="U784">
        <v>275</v>
      </c>
      <c r="V784">
        <v>370</v>
      </c>
      <c r="W784">
        <v>155</v>
      </c>
    </row>
    <row r="785" spans="1:23">
      <c r="A785">
        <v>388.99009989059732</v>
      </c>
      <c r="B785">
        <v>77.63959390862945</v>
      </c>
      <c r="C785">
        <v>3.5071418617138521</v>
      </c>
      <c r="D785">
        <v>438.99059999999997</v>
      </c>
      <c r="E785">
        <v>690.36928846262799</v>
      </c>
      <c r="F785">
        <v>171.65142</v>
      </c>
      <c r="G785">
        <v>75.488820000000004</v>
      </c>
      <c r="H785">
        <v>9</v>
      </c>
      <c r="I785">
        <v>47</v>
      </c>
      <c r="J785">
        <v>4</v>
      </c>
      <c r="K785">
        <v>151</v>
      </c>
      <c r="L785">
        <v>62</v>
      </c>
      <c r="M785">
        <v>25</v>
      </c>
      <c r="N785">
        <v>1995</v>
      </c>
      <c r="O785">
        <v>0.27</v>
      </c>
      <c r="P785">
        <v>2.4700000000000002</v>
      </c>
      <c r="Q785">
        <v>1.4999999999999999E-2</v>
      </c>
      <c r="R785">
        <v>60</v>
      </c>
      <c r="S785">
        <v>700</v>
      </c>
      <c r="T785">
        <v>475</v>
      </c>
      <c r="U785">
        <v>275</v>
      </c>
      <c r="V785">
        <v>370</v>
      </c>
      <c r="W785">
        <v>155</v>
      </c>
    </row>
    <row r="786" spans="1:23">
      <c r="A786">
        <v>368.57769508733031</v>
      </c>
      <c r="B786">
        <v>74.152284263959388</v>
      </c>
      <c r="C786">
        <v>3.4793855526110939</v>
      </c>
      <c r="D786">
        <v>413.357664</v>
      </c>
      <c r="E786">
        <v>690.7587033519244</v>
      </c>
      <c r="F786">
        <v>162.36636480000001</v>
      </c>
      <c r="G786">
        <v>71.535119999999992</v>
      </c>
      <c r="H786">
        <v>6</v>
      </c>
      <c r="I786">
        <v>55</v>
      </c>
      <c r="J786">
        <v>6</v>
      </c>
      <c r="K786">
        <v>152</v>
      </c>
      <c r="L786">
        <v>57</v>
      </c>
      <c r="M786">
        <v>28</v>
      </c>
      <c r="N786">
        <v>1995</v>
      </c>
      <c r="O786">
        <v>0.27</v>
      </c>
      <c r="P786">
        <v>2.4700000000000002</v>
      </c>
      <c r="Q786">
        <v>1.4999999999999999E-2</v>
      </c>
      <c r="R786">
        <v>60</v>
      </c>
      <c r="S786">
        <v>700</v>
      </c>
      <c r="T786">
        <v>475</v>
      </c>
      <c r="U786">
        <v>275</v>
      </c>
      <c r="V786">
        <v>370</v>
      </c>
      <c r="W786">
        <v>155</v>
      </c>
    </row>
    <row r="787" spans="1:23">
      <c r="A787">
        <v>365.89321089122461</v>
      </c>
      <c r="B787">
        <v>74.139593908629436</v>
      </c>
      <c r="C787">
        <v>3.4546351567491622</v>
      </c>
      <c r="D787">
        <v>401.06620800000002</v>
      </c>
      <c r="E787">
        <v>692.20378979672205</v>
      </c>
      <c r="F787">
        <v>204.82234560000001</v>
      </c>
      <c r="G787">
        <v>71.042119200000002</v>
      </c>
      <c r="H787">
        <v>22</v>
      </c>
      <c r="I787">
        <v>57</v>
      </c>
      <c r="J787">
        <v>3</v>
      </c>
      <c r="K787">
        <v>151</v>
      </c>
      <c r="L787">
        <v>56</v>
      </c>
      <c r="M787">
        <v>28</v>
      </c>
      <c r="N787">
        <v>1995</v>
      </c>
      <c r="O787">
        <v>0.27</v>
      </c>
      <c r="P787">
        <v>2.4700000000000002</v>
      </c>
      <c r="Q787">
        <v>1.4999999999999999E-2</v>
      </c>
      <c r="R787">
        <v>60</v>
      </c>
      <c r="S787">
        <v>700</v>
      </c>
      <c r="T787">
        <v>475</v>
      </c>
      <c r="U787">
        <v>275</v>
      </c>
      <c r="V787">
        <v>370</v>
      </c>
      <c r="W787">
        <v>155</v>
      </c>
    </row>
    <row r="788" spans="1:23">
      <c r="A788">
        <v>323.37200184012471</v>
      </c>
      <c r="B788">
        <v>65.744</v>
      </c>
      <c r="C788">
        <v>3.4430579412279041</v>
      </c>
      <c r="D788">
        <v>867.58799999999997</v>
      </c>
      <c r="E788">
        <v>682.50401602535931</v>
      </c>
      <c r="F788">
        <v>624.7758</v>
      </c>
      <c r="G788">
        <v>62.619974999999997</v>
      </c>
      <c r="H788">
        <v>40</v>
      </c>
      <c r="I788">
        <v>56</v>
      </c>
      <c r="J788">
        <v>11</v>
      </c>
      <c r="K788">
        <v>82</v>
      </c>
      <c r="L788">
        <v>61</v>
      </c>
      <c r="M788">
        <v>31</v>
      </c>
      <c r="N788">
        <v>1995</v>
      </c>
      <c r="O788">
        <v>0.27</v>
      </c>
      <c r="P788">
        <v>2.4700000000000002</v>
      </c>
      <c r="Q788">
        <v>1.4999999999999999E-2</v>
      </c>
      <c r="R788">
        <v>60</v>
      </c>
      <c r="S788">
        <v>700</v>
      </c>
      <c r="T788">
        <v>475</v>
      </c>
      <c r="U788">
        <v>275</v>
      </c>
      <c r="V788">
        <v>370</v>
      </c>
      <c r="W788">
        <v>155</v>
      </c>
    </row>
    <row r="789" spans="1:23">
      <c r="A789">
        <v>326.47225401419098</v>
      </c>
      <c r="B789">
        <v>66.38359390862945</v>
      </c>
      <c r="C789">
        <v>3.4425761600747888</v>
      </c>
      <c r="D789">
        <v>778.70937600000002</v>
      </c>
      <c r="E789">
        <v>686.5803823652476</v>
      </c>
      <c r="F789">
        <v>646.15576320000002</v>
      </c>
      <c r="G789">
        <v>63.290841600000007</v>
      </c>
      <c r="H789">
        <v>40</v>
      </c>
      <c r="I789">
        <v>58</v>
      </c>
      <c r="J789">
        <v>11</v>
      </c>
      <c r="K789">
        <v>151</v>
      </c>
      <c r="L789">
        <v>61</v>
      </c>
      <c r="M789">
        <v>24</v>
      </c>
      <c r="N789">
        <v>1995</v>
      </c>
      <c r="O789">
        <v>0.27</v>
      </c>
      <c r="P789">
        <v>2.4700000000000002</v>
      </c>
      <c r="Q789">
        <v>1.4999999999999999E-2</v>
      </c>
      <c r="R789">
        <v>60</v>
      </c>
      <c r="S789">
        <v>700</v>
      </c>
      <c r="T789">
        <v>475</v>
      </c>
      <c r="U789">
        <v>275</v>
      </c>
      <c r="V789">
        <v>370</v>
      </c>
      <c r="W789">
        <v>155</v>
      </c>
    </row>
    <row r="790" spans="1:23">
      <c r="A790">
        <v>360.55095468073472</v>
      </c>
      <c r="B790">
        <v>73.499999999999986</v>
      </c>
      <c r="C790">
        <v>3.4338186160069979</v>
      </c>
      <c r="D790">
        <v>514.43399999999997</v>
      </c>
      <c r="E790">
        <v>690.02343381681806</v>
      </c>
      <c r="F790">
        <v>202.04213999999999</v>
      </c>
      <c r="G790">
        <v>69.963209999999989</v>
      </c>
      <c r="H790">
        <v>22</v>
      </c>
      <c r="I790">
        <v>56</v>
      </c>
      <c r="J790">
        <v>3</v>
      </c>
      <c r="K790">
        <v>82</v>
      </c>
      <c r="L790">
        <v>57</v>
      </c>
      <c r="M790">
        <v>34</v>
      </c>
      <c r="N790">
        <v>1995</v>
      </c>
      <c r="O790">
        <v>0.27</v>
      </c>
      <c r="P790">
        <v>2.4700000000000002</v>
      </c>
      <c r="Q790">
        <v>1.4999999999999999E-2</v>
      </c>
      <c r="R790">
        <v>60</v>
      </c>
      <c r="S790">
        <v>700</v>
      </c>
      <c r="T790">
        <v>475</v>
      </c>
      <c r="U790">
        <v>275</v>
      </c>
      <c r="V790">
        <v>370</v>
      </c>
      <c r="W790">
        <v>155</v>
      </c>
    </row>
    <row r="791" spans="1:23">
      <c r="A791">
        <v>478.91481852506502</v>
      </c>
      <c r="B791">
        <v>98</v>
      </c>
      <c r="C791">
        <v>3.420820132321893</v>
      </c>
      <c r="D791">
        <v>481.98</v>
      </c>
      <c r="E791">
        <v>690.65560165975103</v>
      </c>
      <c r="F791">
        <v>188.316</v>
      </c>
      <c r="G791">
        <v>92.947200000000009</v>
      </c>
      <c r="H791">
        <v>8</v>
      </c>
      <c r="I791">
        <v>56</v>
      </c>
      <c r="J791">
        <v>5</v>
      </c>
      <c r="K791">
        <v>320</v>
      </c>
      <c r="L791">
        <v>55</v>
      </c>
      <c r="M791">
        <v>48</v>
      </c>
      <c r="N791">
        <v>1995</v>
      </c>
      <c r="O791">
        <v>0.27</v>
      </c>
      <c r="P791">
        <v>2.4700000000000002</v>
      </c>
      <c r="Q791">
        <v>1.4999999999999999E-2</v>
      </c>
      <c r="R791">
        <v>60</v>
      </c>
      <c r="S791">
        <v>700</v>
      </c>
      <c r="T791">
        <v>475</v>
      </c>
      <c r="U791">
        <v>275</v>
      </c>
      <c r="V791">
        <v>370</v>
      </c>
      <c r="W791">
        <v>155</v>
      </c>
    </row>
    <row r="792" spans="1:23">
      <c r="A792">
        <v>507.44371091512238</v>
      </c>
      <c r="B792">
        <v>105</v>
      </c>
      <c r="C792">
        <v>3.3829580727674839</v>
      </c>
      <c r="D792">
        <v>449.27423999999991</v>
      </c>
      <c r="E792">
        <v>689.02904564315361</v>
      </c>
      <c r="F792">
        <v>157.74144000000001</v>
      </c>
      <c r="G792">
        <v>98.440320000000014</v>
      </c>
      <c r="H792">
        <v>39</v>
      </c>
      <c r="I792">
        <v>52</v>
      </c>
      <c r="J792">
        <v>12</v>
      </c>
      <c r="K792">
        <v>320</v>
      </c>
      <c r="L792">
        <v>58</v>
      </c>
      <c r="M792">
        <v>34</v>
      </c>
      <c r="N792">
        <v>1995</v>
      </c>
      <c r="O792">
        <v>0.27</v>
      </c>
      <c r="P792">
        <v>2.4700000000000002</v>
      </c>
      <c r="Q792">
        <v>1.4999999999999999E-2</v>
      </c>
      <c r="R792">
        <v>60</v>
      </c>
      <c r="S792">
        <v>700</v>
      </c>
      <c r="T792">
        <v>475</v>
      </c>
      <c r="U792">
        <v>275</v>
      </c>
      <c r="V792">
        <v>370</v>
      </c>
      <c r="W792">
        <v>155</v>
      </c>
    </row>
    <row r="793" spans="1:23">
      <c r="A793">
        <v>314.39575059268492</v>
      </c>
      <c r="B793">
        <v>65.099999999999994</v>
      </c>
      <c r="C793">
        <v>3.3805994687385472</v>
      </c>
      <c r="D793">
        <v>429.73200000000003</v>
      </c>
      <c r="E793">
        <v>691.45153810480758</v>
      </c>
      <c r="F793">
        <v>175.17599999999999</v>
      </c>
      <c r="G793">
        <v>61.030800000000013</v>
      </c>
      <c r="H793">
        <v>147</v>
      </c>
      <c r="I793">
        <v>49</v>
      </c>
      <c r="J793">
        <v>5</v>
      </c>
      <c r="K793">
        <v>325</v>
      </c>
      <c r="L793">
        <v>60</v>
      </c>
      <c r="M793">
        <v>19</v>
      </c>
      <c r="N793">
        <v>1995</v>
      </c>
      <c r="O793">
        <v>0.27</v>
      </c>
      <c r="P793">
        <v>2.4700000000000002</v>
      </c>
      <c r="Q793">
        <v>1.4999999999999999E-2</v>
      </c>
      <c r="R793">
        <v>60</v>
      </c>
      <c r="S793">
        <v>700</v>
      </c>
      <c r="T793">
        <v>475</v>
      </c>
      <c r="U793">
        <v>275</v>
      </c>
      <c r="V793">
        <v>370</v>
      </c>
      <c r="W793">
        <v>155</v>
      </c>
    </row>
    <row r="794" spans="1:23">
      <c r="A794">
        <v>404.62768405055681</v>
      </c>
      <c r="B794">
        <v>84</v>
      </c>
      <c r="C794">
        <v>3.3718973670879739</v>
      </c>
      <c r="D794">
        <v>510.79500000000002</v>
      </c>
      <c r="E794">
        <v>689.03965224508329</v>
      </c>
      <c r="F794">
        <v>179.85900000000001</v>
      </c>
      <c r="G794">
        <v>78.495000000000005</v>
      </c>
      <c r="H794">
        <v>9</v>
      </c>
      <c r="I794">
        <v>50</v>
      </c>
      <c r="J794">
        <v>4</v>
      </c>
      <c r="K794">
        <v>81</v>
      </c>
      <c r="L794">
        <v>63</v>
      </c>
      <c r="M794">
        <v>20</v>
      </c>
      <c r="N794">
        <v>1995</v>
      </c>
      <c r="O794">
        <v>0.27</v>
      </c>
      <c r="P794">
        <v>2.4700000000000002</v>
      </c>
      <c r="Q794">
        <v>1.4999999999999999E-2</v>
      </c>
      <c r="R794">
        <v>60</v>
      </c>
      <c r="S794">
        <v>700</v>
      </c>
      <c r="T794">
        <v>475</v>
      </c>
      <c r="U794">
        <v>275</v>
      </c>
      <c r="V794">
        <v>370</v>
      </c>
      <c r="W794">
        <v>155</v>
      </c>
    </row>
    <row r="795" spans="1:23">
      <c r="A795">
        <v>373.4105299249365</v>
      </c>
      <c r="B795">
        <v>77.639593908629479</v>
      </c>
      <c r="C795">
        <v>3.3666761736939339</v>
      </c>
      <c r="D795">
        <v>419.27020800000003</v>
      </c>
      <c r="E795">
        <v>690.86159754108928</v>
      </c>
      <c r="F795">
        <v>164.1963456</v>
      </c>
      <c r="G795">
        <v>72.475132800000011</v>
      </c>
      <c r="H795">
        <v>6</v>
      </c>
      <c r="I795">
        <v>56</v>
      </c>
      <c r="J795">
        <v>6</v>
      </c>
      <c r="K795">
        <v>151</v>
      </c>
      <c r="L795">
        <v>56</v>
      </c>
      <c r="M795">
        <v>27</v>
      </c>
      <c r="N795">
        <v>1995</v>
      </c>
      <c r="O795">
        <v>0.27</v>
      </c>
      <c r="P795">
        <v>2.4700000000000002</v>
      </c>
      <c r="Q795">
        <v>1.4999999999999999E-2</v>
      </c>
      <c r="R795">
        <v>60</v>
      </c>
      <c r="S795">
        <v>700</v>
      </c>
      <c r="T795">
        <v>475</v>
      </c>
      <c r="U795">
        <v>275</v>
      </c>
      <c r="V795">
        <v>370</v>
      </c>
      <c r="W795">
        <v>155</v>
      </c>
    </row>
    <row r="796" spans="1:23">
      <c r="A796">
        <v>368.3708273849719</v>
      </c>
      <c r="B796">
        <v>77</v>
      </c>
      <c r="C796">
        <v>3.3488257034997448</v>
      </c>
      <c r="D796">
        <v>523.33799999999997</v>
      </c>
      <c r="E796">
        <v>686.07810117707891</v>
      </c>
      <c r="F796">
        <v>159.22542000000001</v>
      </c>
      <c r="G796">
        <v>71.403614999999988</v>
      </c>
      <c r="H796">
        <v>6</v>
      </c>
      <c r="I796">
        <v>54</v>
      </c>
      <c r="J796">
        <v>6</v>
      </c>
      <c r="K796">
        <v>82</v>
      </c>
      <c r="L796">
        <v>59</v>
      </c>
      <c r="M796">
        <v>33</v>
      </c>
      <c r="N796">
        <v>1995</v>
      </c>
      <c r="O796">
        <v>0.27</v>
      </c>
      <c r="P796">
        <v>2.4700000000000002</v>
      </c>
      <c r="Q796">
        <v>1.4999999999999999E-2</v>
      </c>
      <c r="R796">
        <v>60</v>
      </c>
      <c r="S796">
        <v>700</v>
      </c>
      <c r="T796">
        <v>475</v>
      </c>
      <c r="U796">
        <v>275</v>
      </c>
      <c r="V796">
        <v>370</v>
      </c>
      <c r="W796">
        <v>155</v>
      </c>
    </row>
    <row r="797" spans="1:23">
      <c r="A797">
        <v>364.49004527865958</v>
      </c>
      <c r="B797">
        <v>77</v>
      </c>
      <c r="C797">
        <v>3.3135458661696329</v>
      </c>
      <c r="D797">
        <v>482.04800000000012</v>
      </c>
      <c r="E797">
        <v>690.7187486570167</v>
      </c>
      <c r="F797">
        <v>158.08799999999999</v>
      </c>
      <c r="G797">
        <v>70.741</v>
      </c>
      <c r="H797">
        <v>7</v>
      </c>
      <c r="I797">
        <v>56</v>
      </c>
      <c r="J797">
        <v>5</v>
      </c>
      <c r="K797">
        <v>87</v>
      </c>
      <c r="L797">
        <v>57</v>
      </c>
      <c r="M797">
        <v>25</v>
      </c>
      <c r="N797">
        <v>1995</v>
      </c>
      <c r="O797">
        <v>0.27</v>
      </c>
      <c r="P797">
        <v>2.4700000000000002</v>
      </c>
      <c r="Q797">
        <v>1.4999999999999999E-2</v>
      </c>
      <c r="R797">
        <v>60</v>
      </c>
      <c r="S797">
        <v>700</v>
      </c>
      <c r="T797">
        <v>475</v>
      </c>
      <c r="U797">
        <v>275</v>
      </c>
      <c r="V797">
        <v>370</v>
      </c>
      <c r="W797">
        <v>155</v>
      </c>
    </row>
    <row r="798" spans="1:23">
      <c r="A798">
        <v>337.2374011860876</v>
      </c>
      <c r="B798">
        <v>72.744</v>
      </c>
      <c r="C798">
        <v>3.245163598788372</v>
      </c>
      <c r="D798">
        <v>862.84799999999996</v>
      </c>
      <c r="E798">
        <v>682.24175534900246</v>
      </c>
      <c r="F798">
        <v>677.43</v>
      </c>
      <c r="G798">
        <v>65.300280000000001</v>
      </c>
      <c r="H798">
        <v>40</v>
      </c>
      <c r="I798">
        <v>61</v>
      </c>
      <c r="J798">
        <v>11</v>
      </c>
      <c r="K798">
        <v>81</v>
      </c>
      <c r="L798">
        <v>60</v>
      </c>
      <c r="M798">
        <v>20</v>
      </c>
      <c r="N798">
        <v>1995</v>
      </c>
      <c r="O798">
        <v>0.27</v>
      </c>
      <c r="P798">
        <v>2.4700000000000002</v>
      </c>
      <c r="Q798">
        <v>1.4999999999999999E-2</v>
      </c>
      <c r="R798">
        <v>60</v>
      </c>
      <c r="S798">
        <v>700</v>
      </c>
      <c r="T798">
        <v>475</v>
      </c>
      <c r="U798">
        <v>275</v>
      </c>
      <c r="V798">
        <v>370</v>
      </c>
      <c r="W798">
        <v>155</v>
      </c>
    </row>
    <row r="799" spans="1:23">
      <c r="A799">
        <v>388.70628675653859</v>
      </c>
      <c r="B799">
        <v>84</v>
      </c>
      <c r="C799">
        <v>3.2392190563044889</v>
      </c>
      <c r="D799">
        <v>489.37349999999998</v>
      </c>
      <c r="E799">
        <v>691.04943397460852</v>
      </c>
      <c r="F799">
        <v>171.8451</v>
      </c>
      <c r="G799">
        <v>75.447749999999999</v>
      </c>
      <c r="H799">
        <v>6</v>
      </c>
      <c r="I799">
        <v>51</v>
      </c>
      <c r="J799">
        <v>7</v>
      </c>
      <c r="K799">
        <v>81</v>
      </c>
      <c r="L799">
        <v>59</v>
      </c>
      <c r="M799">
        <v>21</v>
      </c>
      <c r="N799">
        <v>1995</v>
      </c>
      <c r="O799">
        <v>0.27</v>
      </c>
      <c r="P799">
        <v>2.4700000000000002</v>
      </c>
      <c r="Q799">
        <v>1.4999999999999999E-2</v>
      </c>
      <c r="R799">
        <v>60</v>
      </c>
      <c r="S799">
        <v>700</v>
      </c>
      <c r="T799">
        <v>475</v>
      </c>
      <c r="U799">
        <v>275</v>
      </c>
      <c r="V799">
        <v>370</v>
      </c>
      <c r="W799">
        <v>155</v>
      </c>
    </row>
    <row r="800" spans="1:23">
      <c r="A800">
        <v>417.57680084489812</v>
      </c>
      <c r="B800">
        <v>90.633846153846136</v>
      </c>
      <c r="C800">
        <v>3.2251059951186289</v>
      </c>
      <c r="D800">
        <v>471.81180000000012</v>
      </c>
      <c r="E800">
        <v>687.81054425543084</v>
      </c>
      <c r="F800">
        <v>180.31950000000001</v>
      </c>
      <c r="G800">
        <v>80.979845999999995</v>
      </c>
      <c r="H800">
        <v>8</v>
      </c>
      <c r="I800">
        <v>53</v>
      </c>
      <c r="J800">
        <v>5</v>
      </c>
      <c r="K800">
        <v>150</v>
      </c>
      <c r="L800">
        <v>61</v>
      </c>
      <c r="M800">
        <v>39</v>
      </c>
      <c r="N800">
        <v>1995</v>
      </c>
      <c r="O800">
        <v>0.27</v>
      </c>
      <c r="P800">
        <v>2.4700000000000002</v>
      </c>
      <c r="Q800">
        <v>1.4999999999999999E-2</v>
      </c>
      <c r="R800">
        <v>60</v>
      </c>
      <c r="S800">
        <v>700</v>
      </c>
      <c r="T800">
        <v>475</v>
      </c>
      <c r="U800">
        <v>275</v>
      </c>
      <c r="V800">
        <v>370</v>
      </c>
      <c r="W800">
        <v>155</v>
      </c>
    </row>
    <row r="801" spans="1:23">
      <c r="A801">
        <v>430.9312414908498</v>
      </c>
      <c r="B801">
        <v>98.000000000000014</v>
      </c>
      <c r="C801">
        <v>3.078080296363213</v>
      </c>
      <c r="D801">
        <v>482.29104000000001</v>
      </c>
      <c r="E801">
        <v>690.69211618257259</v>
      </c>
      <c r="F801">
        <v>188.14104</v>
      </c>
      <c r="G801">
        <v>83.635440000000003</v>
      </c>
      <c r="H801">
        <v>9</v>
      </c>
      <c r="I801">
        <v>53</v>
      </c>
      <c r="J801">
        <v>4</v>
      </c>
      <c r="K801">
        <v>320</v>
      </c>
      <c r="L801">
        <v>58</v>
      </c>
      <c r="M801">
        <v>33</v>
      </c>
      <c r="N801">
        <v>1995</v>
      </c>
      <c r="O801">
        <v>0.27</v>
      </c>
      <c r="P801">
        <v>2.4700000000000002</v>
      </c>
      <c r="Q801">
        <v>1.4999999999999999E-2</v>
      </c>
      <c r="R801">
        <v>60</v>
      </c>
      <c r="S801">
        <v>700</v>
      </c>
      <c r="T801">
        <v>475</v>
      </c>
      <c r="U801">
        <v>275</v>
      </c>
      <c r="V801">
        <v>370</v>
      </c>
      <c r="W801">
        <v>155</v>
      </c>
    </row>
    <row r="802" spans="1:23">
      <c r="A802">
        <v>336.9099236096007</v>
      </c>
      <c r="B802">
        <v>76.664000000000001</v>
      </c>
      <c r="C802">
        <v>3.076241084821044</v>
      </c>
      <c r="D802">
        <v>423.72</v>
      </c>
      <c r="E802">
        <v>690.60718177788863</v>
      </c>
      <c r="F802">
        <v>336.6</v>
      </c>
      <c r="G802">
        <v>65.386200000000002</v>
      </c>
      <c r="H802">
        <v>275</v>
      </c>
      <c r="I802">
        <v>62</v>
      </c>
      <c r="J802">
        <v>5</v>
      </c>
      <c r="K802">
        <v>40</v>
      </c>
      <c r="L802">
        <v>63</v>
      </c>
      <c r="M802">
        <v>5</v>
      </c>
      <c r="N802">
        <v>1995</v>
      </c>
      <c r="O802">
        <v>0.27</v>
      </c>
      <c r="P802">
        <v>2.4700000000000002</v>
      </c>
      <c r="Q802">
        <v>1.4999999999999999E-2</v>
      </c>
      <c r="R802">
        <v>60</v>
      </c>
      <c r="S802">
        <v>700</v>
      </c>
      <c r="T802">
        <v>475</v>
      </c>
      <c r="U802">
        <v>275</v>
      </c>
      <c r="V802">
        <v>370</v>
      </c>
      <c r="W802">
        <v>155</v>
      </c>
    </row>
    <row r="803" spans="1:23">
      <c r="A803">
        <v>397.24347071461108</v>
      </c>
      <c r="B803">
        <v>90.633846153846136</v>
      </c>
      <c r="C803">
        <v>3.068063877905149</v>
      </c>
      <c r="D803">
        <v>452.3544</v>
      </c>
      <c r="E803">
        <v>691.02822846784761</v>
      </c>
      <c r="F803">
        <v>172.8972</v>
      </c>
      <c r="G803">
        <v>77.104368000000008</v>
      </c>
      <c r="H803">
        <v>9</v>
      </c>
      <c r="I803">
        <v>48</v>
      </c>
      <c r="J803">
        <v>4</v>
      </c>
      <c r="K803">
        <v>150</v>
      </c>
      <c r="L803">
        <v>62</v>
      </c>
      <c r="M803">
        <v>36</v>
      </c>
      <c r="N803">
        <v>1995</v>
      </c>
      <c r="O803">
        <v>0.27</v>
      </c>
      <c r="P803">
        <v>2.4700000000000002</v>
      </c>
      <c r="Q803">
        <v>1.4999999999999999E-2</v>
      </c>
      <c r="R803">
        <v>60</v>
      </c>
      <c r="S803">
        <v>700</v>
      </c>
      <c r="T803">
        <v>475</v>
      </c>
      <c r="U803">
        <v>275</v>
      </c>
      <c r="V803">
        <v>370</v>
      </c>
      <c r="W803">
        <v>155</v>
      </c>
    </row>
    <row r="804" spans="1:23">
      <c r="A804">
        <v>379.97681522359522</v>
      </c>
      <c r="B804">
        <v>87.92</v>
      </c>
      <c r="C804">
        <v>3.0252931148375408</v>
      </c>
      <c r="D804">
        <v>446.63616000000002</v>
      </c>
      <c r="E804">
        <v>691.79236563271115</v>
      </c>
      <c r="F804">
        <v>170.45856000000001</v>
      </c>
      <c r="G804">
        <v>73.768320000000003</v>
      </c>
      <c r="H804">
        <v>8</v>
      </c>
      <c r="I804">
        <v>63</v>
      </c>
      <c r="J804">
        <v>4</v>
      </c>
      <c r="K804">
        <v>275</v>
      </c>
      <c r="L804">
        <v>48</v>
      </c>
      <c r="M804">
        <v>3</v>
      </c>
      <c r="N804">
        <v>1995</v>
      </c>
      <c r="O804">
        <v>0.27</v>
      </c>
      <c r="P804">
        <v>2.4700000000000002</v>
      </c>
      <c r="Q804">
        <v>1.4999999999999999E-2</v>
      </c>
      <c r="R804">
        <v>60</v>
      </c>
      <c r="S804">
        <v>700</v>
      </c>
      <c r="T804">
        <v>475</v>
      </c>
      <c r="U804">
        <v>275</v>
      </c>
      <c r="V804">
        <v>370</v>
      </c>
      <c r="W804">
        <v>155</v>
      </c>
    </row>
    <row r="805" spans="1:23">
      <c r="A805">
        <v>429.97961574210899</v>
      </c>
      <c r="B805">
        <v>99.714285714285708</v>
      </c>
      <c r="C805">
        <v>3.0184815431752652</v>
      </c>
      <c r="D805">
        <v>495.45231000000013</v>
      </c>
      <c r="E805">
        <v>690.79668049792531</v>
      </c>
      <c r="F805">
        <v>188.35149749999999</v>
      </c>
      <c r="G805">
        <v>83.453130000000002</v>
      </c>
      <c r="H805">
        <v>8</v>
      </c>
      <c r="I805">
        <v>48</v>
      </c>
      <c r="J805">
        <v>6</v>
      </c>
      <c r="K805">
        <v>321</v>
      </c>
      <c r="L805">
        <v>57</v>
      </c>
      <c r="M805">
        <v>21</v>
      </c>
      <c r="N805">
        <v>1995</v>
      </c>
      <c r="O805">
        <v>0.27</v>
      </c>
      <c r="P805">
        <v>2.4700000000000002</v>
      </c>
      <c r="Q805">
        <v>1.4999999999999999E-2</v>
      </c>
      <c r="R805">
        <v>60</v>
      </c>
      <c r="S805">
        <v>700</v>
      </c>
      <c r="T805">
        <v>475</v>
      </c>
      <c r="U805">
        <v>275</v>
      </c>
      <c r="V805">
        <v>370</v>
      </c>
      <c r="W805">
        <v>155</v>
      </c>
    </row>
    <row r="806" spans="1:23">
      <c r="A806">
        <v>406.88202364361632</v>
      </c>
      <c r="B806">
        <v>94.500000000000014</v>
      </c>
      <c r="C806">
        <v>3.013940915878639</v>
      </c>
      <c r="D806">
        <v>437.70312000000001</v>
      </c>
      <c r="E806">
        <v>691.83734439834029</v>
      </c>
      <c r="F806">
        <v>224.58312000000001</v>
      </c>
      <c r="G806">
        <v>78.992639999999994</v>
      </c>
      <c r="H806">
        <v>22</v>
      </c>
      <c r="I806">
        <v>48</v>
      </c>
      <c r="J806">
        <v>4</v>
      </c>
      <c r="K806">
        <v>320</v>
      </c>
      <c r="L806">
        <v>62</v>
      </c>
      <c r="M806">
        <v>32</v>
      </c>
      <c r="N806">
        <v>1995</v>
      </c>
      <c r="O806">
        <v>0.27</v>
      </c>
      <c r="P806">
        <v>2.4700000000000002</v>
      </c>
      <c r="Q806">
        <v>1.4999999999999999E-2</v>
      </c>
      <c r="R806">
        <v>60</v>
      </c>
      <c r="S806">
        <v>700</v>
      </c>
      <c r="T806">
        <v>475</v>
      </c>
      <c r="U806">
        <v>275</v>
      </c>
      <c r="V806">
        <v>370</v>
      </c>
      <c r="W806">
        <v>155</v>
      </c>
    </row>
    <row r="807" spans="1:23">
      <c r="A807">
        <v>416.45641165234417</v>
      </c>
      <c r="B807">
        <v>98</v>
      </c>
      <c r="C807">
        <v>2.9746886546596012</v>
      </c>
      <c r="D807">
        <v>522.85500000000002</v>
      </c>
      <c r="E807">
        <v>687.44023363260089</v>
      </c>
      <c r="F807">
        <v>181.53450000000001</v>
      </c>
      <c r="G807">
        <v>80.754400000000004</v>
      </c>
      <c r="H807">
        <v>8</v>
      </c>
      <c r="I807">
        <v>54</v>
      </c>
      <c r="J807">
        <v>5</v>
      </c>
      <c r="K807">
        <v>83</v>
      </c>
      <c r="L807">
        <v>59</v>
      </c>
      <c r="M807">
        <v>28</v>
      </c>
      <c r="N807">
        <v>1995</v>
      </c>
      <c r="O807">
        <v>0.27</v>
      </c>
      <c r="P807">
        <v>2.4700000000000002</v>
      </c>
      <c r="Q807">
        <v>1.4999999999999999E-2</v>
      </c>
      <c r="R807">
        <v>60</v>
      </c>
      <c r="S807">
        <v>700</v>
      </c>
      <c r="T807">
        <v>475</v>
      </c>
      <c r="U807">
        <v>275</v>
      </c>
      <c r="V807">
        <v>370</v>
      </c>
      <c r="W807">
        <v>155</v>
      </c>
    </row>
    <row r="808" spans="1:23">
      <c r="A808">
        <v>426.7313909423537</v>
      </c>
      <c r="B808">
        <v>100.5846153846154</v>
      </c>
      <c r="C808">
        <v>2.9697580740099561</v>
      </c>
      <c r="D808">
        <v>493.20389999999998</v>
      </c>
      <c r="E808">
        <v>689.46124478762113</v>
      </c>
      <c r="F808">
        <v>187.86914999999999</v>
      </c>
      <c r="G808">
        <v>82.792500000000004</v>
      </c>
      <c r="H808">
        <v>8</v>
      </c>
      <c r="I808">
        <v>56</v>
      </c>
      <c r="J808">
        <v>5</v>
      </c>
      <c r="K808">
        <v>149</v>
      </c>
      <c r="L808">
        <v>57</v>
      </c>
      <c r="M808">
        <v>35</v>
      </c>
      <c r="N808">
        <v>1995</v>
      </c>
      <c r="O808">
        <v>0.27</v>
      </c>
      <c r="P808">
        <v>2.4700000000000002</v>
      </c>
      <c r="Q808">
        <v>1.4999999999999999E-2</v>
      </c>
      <c r="R808">
        <v>60</v>
      </c>
      <c r="S808">
        <v>700</v>
      </c>
      <c r="T808">
        <v>475</v>
      </c>
      <c r="U808">
        <v>275</v>
      </c>
      <c r="V808">
        <v>370</v>
      </c>
      <c r="W808">
        <v>155</v>
      </c>
    </row>
    <row r="809" spans="1:23">
      <c r="A809">
        <v>336.22575068978631</v>
      </c>
      <c r="B809">
        <v>79.37784615384615</v>
      </c>
      <c r="C809">
        <v>2.965034161127166</v>
      </c>
      <c r="D809">
        <v>783.00540000000001</v>
      </c>
      <c r="E809">
        <v>686.23896335475479</v>
      </c>
      <c r="F809">
        <v>644.15069999999992</v>
      </c>
      <c r="G809">
        <v>65.175600000000003</v>
      </c>
      <c r="H809">
        <v>40</v>
      </c>
      <c r="I809">
        <v>58</v>
      </c>
      <c r="J809">
        <v>11</v>
      </c>
      <c r="K809">
        <v>150</v>
      </c>
      <c r="L809">
        <v>64</v>
      </c>
      <c r="M809">
        <v>35</v>
      </c>
      <c r="N809">
        <v>1995</v>
      </c>
      <c r="O809">
        <v>0.27</v>
      </c>
      <c r="P809">
        <v>2.4700000000000002</v>
      </c>
      <c r="Q809">
        <v>1.4999999999999999E-2</v>
      </c>
      <c r="R809">
        <v>60</v>
      </c>
      <c r="S809">
        <v>700</v>
      </c>
      <c r="T809">
        <v>475</v>
      </c>
      <c r="U809">
        <v>275</v>
      </c>
      <c r="V809">
        <v>370</v>
      </c>
      <c r="W809">
        <v>155</v>
      </c>
    </row>
    <row r="810" spans="1:23">
      <c r="A810">
        <v>383.78785960019349</v>
      </c>
      <c r="B810">
        <v>90.63384615384615</v>
      </c>
      <c r="C810">
        <v>2.964141025904536</v>
      </c>
      <c r="D810">
        <v>424.2894</v>
      </c>
      <c r="E810">
        <v>690.98033712009203</v>
      </c>
      <c r="F810">
        <v>162.41669999999999</v>
      </c>
      <c r="G810">
        <v>74.491679999999988</v>
      </c>
      <c r="H810">
        <v>6</v>
      </c>
      <c r="I810">
        <v>56</v>
      </c>
      <c r="J810">
        <v>6</v>
      </c>
      <c r="K810">
        <v>150</v>
      </c>
      <c r="L810">
        <v>58</v>
      </c>
      <c r="M810">
        <v>40</v>
      </c>
      <c r="N810">
        <v>1995</v>
      </c>
      <c r="O810">
        <v>0.27</v>
      </c>
      <c r="P810">
        <v>2.4700000000000002</v>
      </c>
      <c r="Q810">
        <v>1.4999999999999999E-2</v>
      </c>
      <c r="R810">
        <v>60</v>
      </c>
      <c r="S810">
        <v>700</v>
      </c>
      <c r="T810">
        <v>475</v>
      </c>
      <c r="U810">
        <v>275</v>
      </c>
      <c r="V810">
        <v>370</v>
      </c>
      <c r="W810">
        <v>155</v>
      </c>
    </row>
    <row r="811" spans="1:23">
      <c r="A811">
        <v>413.74233090816728</v>
      </c>
      <c r="B811">
        <v>98</v>
      </c>
      <c r="C811">
        <v>2.9553023636297659</v>
      </c>
      <c r="D811">
        <v>484.00500000000011</v>
      </c>
      <c r="E811">
        <v>686.93311670276807</v>
      </c>
      <c r="F811">
        <v>184.3185</v>
      </c>
      <c r="G811">
        <v>80.216999999999999</v>
      </c>
      <c r="H811">
        <v>8</v>
      </c>
      <c r="I811">
        <v>55</v>
      </c>
      <c r="J811">
        <v>5</v>
      </c>
      <c r="K811">
        <v>66</v>
      </c>
      <c r="L811">
        <v>58</v>
      </c>
      <c r="M811">
        <v>21</v>
      </c>
      <c r="N811">
        <v>1995</v>
      </c>
      <c r="O811">
        <v>0.27</v>
      </c>
      <c r="P811">
        <v>2.4700000000000002</v>
      </c>
      <c r="Q811">
        <v>1.4999999999999999E-2</v>
      </c>
      <c r="R811">
        <v>60</v>
      </c>
      <c r="S811">
        <v>700</v>
      </c>
      <c r="T811">
        <v>475</v>
      </c>
      <c r="U811">
        <v>275</v>
      </c>
      <c r="V811">
        <v>370</v>
      </c>
      <c r="W811">
        <v>155</v>
      </c>
    </row>
    <row r="812" spans="1:23">
      <c r="A812">
        <v>429.46940604745453</v>
      </c>
      <c r="B812">
        <v>102.2352941176471</v>
      </c>
      <c r="C812">
        <v>2.940555772131594</v>
      </c>
      <c r="D812">
        <v>534.77760000000001</v>
      </c>
      <c r="E812">
        <v>690.91510164339479</v>
      </c>
      <c r="F812">
        <v>187.23398399999999</v>
      </c>
      <c r="G812">
        <v>83.356800000000007</v>
      </c>
      <c r="H812">
        <v>8</v>
      </c>
      <c r="I812">
        <v>56</v>
      </c>
      <c r="J812">
        <v>5</v>
      </c>
      <c r="K812">
        <v>110</v>
      </c>
      <c r="L812">
        <v>57</v>
      </c>
      <c r="M812">
        <v>24</v>
      </c>
      <c r="N812">
        <v>1995</v>
      </c>
      <c r="O812">
        <v>0.27</v>
      </c>
      <c r="P812">
        <v>2.4700000000000002</v>
      </c>
      <c r="Q812">
        <v>1.4999999999999999E-2</v>
      </c>
      <c r="R812">
        <v>60</v>
      </c>
      <c r="S812">
        <v>700</v>
      </c>
      <c r="T812">
        <v>475</v>
      </c>
      <c r="U812">
        <v>275</v>
      </c>
      <c r="V812">
        <v>370</v>
      </c>
      <c r="W812">
        <v>155</v>
      </c>
    </row>
    <row r="813" spans="1:23">
      <c r="A813">
        <v>410.16835538383742</v>
      </c>
      <c r="B813">
        <v>98.000000000000014</v>
      </c>
      <c r="C813">
        <v>2.9297739670274101</v>
      </c>
      <c r="D813">
        <v>459.37151999999998</v>
      </c>
      <c r="E813">
        <v>689.64647302904564</v>
      </c>
      <c r="F813">
        <v>179.65152</v>
      </c>
      <c r="G813">
        <v>79.583040000000011</v>
      </c>
      <c r="H813">
        <v>6</v>
      </c>
      <c r="I813">
        <v>54</v>
      </c>
      <c r="J813">
        <v>7</v>
      </c>
      <c r="K813">
        <v>320</v>
      </c>
      <c r="L813">
        <v>57</v>
      </c>
      <c r="M813">
        <v>32</v>
      </c>
      <c r="N813">
        <v>1995</v>
      </c>
      <c r="O813">
        <v>0.27</v>
      </c>
      <c r="P813">
        <v>2.4700000000000002</v>
      </c>
      <c r="Q813">
        <v>1.4999999999999999E-2</v>
      </c>
      <c r="R813">
        <v>60</v>
      </c>
      <c r="S813">
        <v>700</v>
      </c>
      <c r="T813">
        <v>475</v>
      </c>
      <c r="U813">
        <v>275</v>
      </c>
      <c r="V813">
        <v>370</v>
      </c>
      <c r="W813">
        <v>155</v>
      </c>
    </row>
    <row r="814" spans="1:23">
      <c r="A814">
        <v>358.8351256856588</v>
      </c>
      <c r="B814">
        <v>86.744</v>
      </c>
      <c r="C814">
        <v>2.895699852208351</v>
      </c>
      <c r="D814">
        <v>852.57359999999994</v>
      </c>
      <c r="E814">
        <v>683.02904564315349</v>
      </c>
      <c r="F814">
        <v>712.38959999999997</v>
      </c>
      <c r="G814">
        <v>69.497280000000003</v>
      </c>
      <c r="H814">
        <v>40</v>
      </c>
      <c r="I814">
        <v>59</v>
      </c>
      <c r="J814">
        <v>12</v>
      </c>
      <c r="K814">
        <v>320</v>
      </c>
      <c r="L814">
        <v>59</v>
      </c>
      <c r="M814">
        <v>31</v>
      </c>
      <c r="N814">
        <v>1995</v>
      </c>
      <c r="O814">
        <v>0.27</v>
      </c>
      <c r="P814">
        <v>2.4700000000000002</v>
      </c>
      <c r="Q814">
        <v>1.4999999999999999E-2</v>
      </c>
      <c r="R814">
        <v>60</v>
      </c>
      <c r="S814">
        <v>700</v>
      </c>
      <c r="T814">
        <v>475</v>
      </c>
      <c r="U814">
        <v>275</v>
      </c>
      <c r="V814">
        <v>370</v>
      </c>
      <c r="W814">
        <v>155</v>
      </c>
    </row>
    <row r="815" spans="1:23">
      <c r="A815">
        <v>360.9299359656049</v>
      </c>
      <c r="B815">
        <v>87.92</v>
      </c>
      <c r="C815">
        <v>2.8736459869873001</v>
      </c>
      <c r="D815">
        <v>416.7</v>
      </c>
      <c r="E815">
        <v>689.47701293561568</v>
      </c>
      <c r="F815">
        <v>159.23249999999999</v>
      </c>
      <c r="G815">
        <v>70.026300000000006</v>
      </c>
      <c r="H815">
        <v>9</v>
      </c>
      <c r="I815">
        <v>59</v>
      </c>
      <c r="J815">
        <v>3</v>
      </c>
      <c r="K815">
        <v>275</v>
      </c>
      <c r="L815">
        <v>48</v>
      </c>
      <c r="M815">
        <v>3</v>
      </c>
      <c r="N815">
        <v>1995</v>
      </c>
      <c r="O815">
        <v>0.27</v>
      </c>
      <c r="P815">
        <v>2.4700000000000002</v>
      </c>
      <c r="Q815">
        <v>1.4999999999999999E-2</v>
      </c>
      <c r="R815">
        <v>60</v>
      </c>
      <c r="S815">
        <v>700</v>
      </c>
      <c r="T815">
        <v>475</v>
      </c>
      <c r="U815">
        <v>275</v>
      </c>
      <c r="V815">
        <v>370</v>
      </c>
      <c r="W815">
        <v>155</v>
      </c>
    </row>
    <row r="816" spans="1:23">
      <c r="A816">
        <v>408.6813490669893</v>
      </c>
      <c r="B816">
        <v>99.714285714285708</v>
      </c>
      <c r="C816">
        <v>2.868966490584882</v>
      </c>
      <c r="D816">
        <v>465.57925</v>
      </c>
      <c r="E816">
        <v>691.05394190871368</v>
      </c>
      <c r="F816">
        <v>177.07383250000001</v>
      </c>
      <c r="G816">
        <v>79.325000000000003</v>
      </c>
      <c r="H816">
        <v>9</v>
      </c>
      <c r="I816">
        <v>51</v>
      </c>
      <c r="J816">
        <v>4</v>
      </c>
      <c r="K816">
        <v>321</v>
      </c>
      <c r="L816">
        <v>59</v>
      </c>
      <c r="M816">
        <v>20</v>
      </c>
      <c r="N816">
        <v>1995</v>
      </c>
      <c r="O816">
        <v>0.27</v>
      </c>
      <c r="P816">
        <v>2.4700000000000002</v>
      </c>
      <c r="Q816">
        <v>1.4999999999999999E-2</v>
      </c>
      <c r="R816">
        <v>60</v>
      </c>
      <c r="S816">
        <v>700</v>
      </c>
      <c r="T816">
        <v>475</v>
      </c>
      <c r="U816">
        <v>275</v>
      </c>
      <c r="V816">
        <v>370</v>
      </c>
      <c r="W816">
        <v>155</v>
      </c>
    </row>
    <row r="817" spans="1:23">
      <c r="A817">
        <v>396.96821729663549</v>
      </c>
      <c r="B817">
        <v>98</v>
      </c>
      <c r="C817">
        <v>2.835487266404539</v>
      </c>
      <c r="D817">
        <v>494.13</v>
      </c>
      <c r="E817">
        <v>688.84396505773793</v>
      </c>
      <c r="F817">
        <v>171.155</v>
      </c>
      <c r="G817">
        <v>77.004999999999995</v>
      </c>
      <c r="H817">
        <v>9</v>
      </c>
      <c r="I817">
        <v>48</v>
      </c>
      <c r="J817">
        <v>4</v>
      </c>
      <c r="K817">
        <v>83</v>
      </c>
      <c r="L817">
        <v>65</v>
      </c>
      <c r="M817">
        <v>25</v>
      </c>
      <c r="N817">
        <v>1995</v>
      </c>
      <c r="O817">
        <v>0.27</v>
      </c>
      <c r="P817">
        <v>2.4700000000000002</v>
      </c>
      <c r="Q817">
        <v>1.4999999999999999E-2</v>
      </c>
      <c r="R817">
        <v>60</v>
      </c>
      <c r="S817">
        <v>700</v>
      </c>
      <c r="T817">
        <v>475</v>
      </c>
      <c r="U817">
        <v>275</v>
      </c>
      <c r="V817">
        <v>370</v>
      </c>
      <c r="W817">
        <v>155</v>
      </c>
    </row>
    <row r="818" spans="1:23">
      <c r="A818">
        <v>394.45350820786132</v>
      </c>
      <c r="B818">
        <v>98</v>
      </c>
      <c r="C818">
        <v>2.8175250586275808</v>
      </c>
      <c r="D818">
        <v>448.03300000000002</v>
      </c>
      <c r="E818">
        <v>689.67221520574674</v>
      </c>
      <c r="F818">
        <v>170.73650000000001</v>
      </c>
      <c r="G818">
        <v>76.534499999999994</v>
      </c>
      <c r="H818">
        <v>9</v>
      </c>
      <c r="I818">
        <v>49</v>
      </c>
      <c r="J818">
        <v>4</v>
      </c>
      <c r="K818">
        <v>66</v>
      </c>
      <c r="L818">
        <v>63</v>
      </c>
      <c r="M818">
        <v>19</v>
      </c>
      <c r="N818">
        <v>1995</v>
      </c>
      <c r="O818">
        <v>0.27</v>
      </c>
      <c r="P818">
        <v>2.4700000000000002</v>
      </c>
      <c r="Q818">
        <v>1.4999999999999999E-2</v>
      </c>
      <c r="R818">
        <v>60</v>
      </c>
      <c r="S818">
        <v>700</v>
      </c>
      <c r="T818">
        <v>475</v>
      </c>
      <c r="U818">
        <v>275</v>
      </c>
      <c r="V818">
        <v>370</v>
      </c>
      <c r="W818">
        <v>155</v>
      </c>
    </row>
    <row r="819" spans="1:23">
      <c r="A819">
        <v>393.59670686933998</v>
      </c>
      <c r="B819">
        <v>98</v>
      </c>
      <c r="C819">
        <v>2.8114050490667148</v>
      </c>
      <c r="D819">
        <v>436.47023999999999</v>
      </c>
      <c r="E819">
        <v>691.40912863070537</v>
      </c>
      <c r="F819">
        <v>170.95823999999999</v>
      </c>
      <c r="G819">
        <v>76.404480000000007</v>
      </c>
      <c r="H819">
        <v>7</v>
      </c>
      <c r="I819">
        <v>52</v>
      </c>
      <c r="J819">
        <v>6</v>
      </c>
      <c r="K819">
        <v>320</v>
      </c>
      <c r="L819">
        <v>58</v>
      </c>
      <c r="M819">
        <v>31</v>
      </c>
      <c r="N819">
        <v>1995</v>
      </c>
      <c r="O819">
        <v>0.27</v>
      </c>
      <c r="P819">
        <v>2.4700000000000002</v>
      </c>
      <c r="Q819">
        <v>1.4999999999999999E-2</v>
      </c>
      <c r="R819">
        <v>60</v>
      </c>
      <c r="S819">
        <v>700</v>
      </c>
      <c r="T819">
        <v>475</v>
      </c>
      <c r="U819">
        <v>275</v>
      </c>
      <c r="V819">
        <v>370</v>
      </c>
      <c r="W819">
        <v>155</v>
      </c>
    </row>
    <row r="820" spans="1:23">
      <c r="A820">
        <v>403.64215427706949</v>
      </c>
      <c r="B820">
        <v>100.5846153846154</v>
      </c>
      <c r="C820">
        <v>2.809072808138064</v>
      </c>
      <c r="D820">
        <v>465.762</v>
      </c>
      <c r="E820">
        <v>688.55271454219269</v>
      </c>
      <c r="F820">
        <v>177.381</v>
      </c>
      <c r="G820">
        <v>78.293399999999991</v>
      </c>
      <c r="H820">
        <v>9</v>
      </c>
      <c r="I820">
        <v>50</v>
      </c>
      <c r="J820">
        <v>4</v>
      </c>
      <c r="K820">
        <v>149</v>
      </c>
      <c r="L820">
        <v>63</v>
      </c>
      <c r="M820">
        <v>30</v>
      </c>
      <c r="N820">
        <v>1995</v>
      </c>
      <c r="O820">
        <v>0.27</v>
      </c>
      <c r="P820">
        <v>2.4700000000000002</v>
      </c>
      <c r="Q820">
        <v>1.4999999999999999E-2</v>
      </c>
      <c r="R820">
        <v>60</v>
      </c>
      <c r="S820">
        <v>700</v>
      </c>
      <c r="T820">
        <v>475</v>
      </c>
      <c r="U820">
        <v>275</v>
      </c>
      <c r="V820">
        <v>370</v>
      </c>
      <c r="W820">
        <v>155</v>
      </c>
    </row>
    <row r="821" spans="1:23">
      <c r="A821">
        <v>391.08519267770498</v>
      </c>
      <c r="B821">
        <v>98</v>
      </c>
      <c r="C821">
        <v>2.7934656619836078</v>
      </c>
      <c r="D821">
        <v>485.25</v>
      </c>
      <c r="E821">
        <v>690.34992421564959</v>
      </c>
      <c r="F821">
        <v>167.82499999999999</v>
      </c>
      <c r="G821">
        <v>75.894999999999996</v>
      </c>
      <c r="H821">
        <v>9</v>
      </c>
      <c r="I821">
        <v>47</v>
      </c>
      <c r="J821">
        <v>4</v>
      </c>
      <c r="K821">
        <v>80</v>
      </c>
      <c r="L821">
        <v>65</v>
      </c>
      <c r="M821">
        <v>25</v>
      </c>
      <c r="N821">
        <v>1995</v>
      </c>
      <c r="O821">
        <v>0.27</v>
      </c>
      <c r="P821">
        <v>2.4700000000000002</v>
      </c>
      <c r="Q821">
        <v>1.4999999999999999E-2</v>
      </c>
      <c r="R821">
        <v>60</v>
      </c>
      <c r="S821">
        <v>700</v>
      </c>
      <c r="T821">
        <v>475</v>
      </c>
      <c r="U821">
        <v>275</v>
      </c>
      <c r="V821">
        <v>370</v>
      </c>
      <c r="W821">
        <v>155</v>
      </c>
    </row>
    <row r="822" spans="1:23">
      <c r="A822">
        <v>390.86980550979632</v>
      </c>
      <c r="B822">
        <v>98</v>
      </c>
      <c r="C822">
        <v>2.79192718221283</v>
      </c>
      <c r="D822">
        <v>486.18</v>
      </c>
      <c r="E822">
        <v>690.19534081790653</v>
      </c>
      <c r="F822">
        <v>167.98</v>
      </c>
      <c r="G822">
        <v>75.849999999999994</v>
      </c>
      <c r="H822">
        <v>9</v>
      </c>
      <c r="I822">
        <v>47</v>
      </c>
      <c r="J822">
        <v>4</v>
      </c>
      <c r="K822">
        <v>64</v>
      </c>
      <c r="L822">
        <v>64</v>
      </c>
      <c r="M822">
        <v>25</v>
      </c>
      <c r="N822">
        <v>1995</v>
      </c>
      <c r="O822">
        <v>0.27</v>
      </c>
      <c r="P822">
        <v>2.4700000000000002</v>
      </c>
      <c r="Q822">
        <v>1.4999999999999999E-2</v>
      </c>
      <c r="R822">
        <v>60</v>
      </c>
      <c r="S822">
        <v>700</v>
      </c>
      <c r="T822">
        <v>475</v>
      </c>
      <c r="U822">
        <v>275</v>
      </c>
      <c r="V822">
        <v>370</v>
      </c>
      <c r="W822">
        <v>155</v>
      </c>
    </row>
    <row r="823" spans="1:23">
      <c r="A823">
        <v>390.86980550979632</v>
      </c>
      <c r="B823">
        <v>98</v>
      </c>
      <c r="C823">
        <v>2.79192718221283</v>
      </c>
      <c r="D823">
        <v>440.3</v>
      </c>
      <c r="E823">
        <v>690.19534081790653</v>
      </c>
      <c r="F823">
        <v>167.98</v>
      </c>
      <c r="G823">
        <v>75.849999999999994</v>
      </c>
      <c r="H823">
        <v>9</v>
      </c>
      <c r="I823">
        <v>47</v>
      </c>
      <c r="J823">
        <v>4</v>
      </c>
      <c r="K823">
        <v>72</v>
      </c>
      <c r="L823">
        <v>64</v>
      </c>
      <c r="M823">
        <v>25</v>
      </c>
      <c r="N823">
        <v>1995</v>
      </c>
      <c r="O823">
        <v>0.27</v>
      </c>
      <c r="P823">
        <v>2.4700000000000002</v>
      </c>
      <c r="Q823">
        <v>1.4999999999999999E-2</v>
      </c>
      <c r="R823">
        <v>60</v>
      </c>
      <c r="S823">
        <v>700</v>
      </c>
      <c r="T823">
        <v>475</v>
      </c>
      <c r="U823">
        <v>275</v>
      </c>
      <c r="V823">
        <v>370</v>
      </c>
      <c r="W823">
        <v>155</v>
      </c>
    </row>
    <row r="824" spans="1:23">
      <c r="A824">
        <v>379.86136261374787</v>
      </c>
      <c r="B824">
        <v>96.214285714285708</v>
      </c>
      <c r="C824">
        <v>2.7636535661579278</v>
      </c>
      <c r="D824">
        <v>438.93925000000002</v>
      </c>
      <c r="E824">
        <v>691.95850622406635</v>
      </c>
      <c r="F824">
        <v>219.25383249999999</v>
      </c>
      <c r="G824">
        <v>73.749250000000004</v>
      </c>
      <c r="H824">
        <v>22</v>
      </c>
      <c r="I824">
        <v>47</v>
      </c>
      <c r="J824">
        <v>4</v>
      </c>
      <c r="K824">
        <v>321</v>
      </c>
      <c r="L824">
        <v>59</v>
      </c>
      <c r="M824">
        <v>19</v>
      </c>
      <c r="N824">
        <v>1995</v>
      </c>
      <c r="O824">
        <v>0.27</v>
      </c>
      <c r="P824">
        <v>2.4700000000000002</v>
      </c>
      <c r="Q824">
        <v>1.4999999999999999E-2</v>
      </c>
      <c r="R824">
        <v>60</v>
      </c>
      <c r="S824">
        <v>700</v>
      </c>
      <c r="T824">
        <v>475</v>
      </c>
      <c r="U824">
        <v>275</v>
      </c>
      <c r="V824">
        <v>370</v>
      </c>
      <c r="W824">
        <v>155</v>
      </c>
    </row>
    <row r="825" spans="1:23">
      <c r="A825">
        <v>403.32575591092382</v>
      </c>
      <c r="B825">
        <v>102.2352941176471</v>
      </c>
      <c r="C825">
        <v>2.7615514932911349</v>
      </c>
      <c r="D825">
        <v>505.488</v>
      </c>
      <c r="E825">
        <v>686.11802602773912</v>
      </c>
      <c r="F825">
        <v>176.95295999999999</v>
      </c>
      <c r="G825">
        <v>78.180000000000007</v>
      </c>
      <c r="H825">
        <v>9</v>
      </c>
      <c r="I825">
        <v>50</v>
      </c>
      <c r="J825">
        <v>4</v>
      </c>
      <c r="K825">
        <v>110</v>
      </c>
      <c r="L825">
        <v>63</v>
      </c>
      <c r="M825">
        <v>20</v>
      </c>
      <c r="N825">
        <v>1995</v>
      </c>
      <c r="O825">
        <v>0.27</v>
      </c>
      <c r="P825">
        <v>2.4700000000000002</v>
      </c>
      <c r="Q825">
        <v>1.4999999999999999E-2</v>
      </c>
      <c r="R825">
        <v>60</v>
      </c>
      <c r="S825">
        <v>700</v>
      </c>
      <c r="T825">
        <v>475</v>
      </c>
      <c r="U825">
        <v>275</v>
      </c>
      <c r="V825">
        <v>370</v>
      </c>
      <c r="W825">
        <v>155</v>
      </c>
    </row>
    <row r="826" spans="1:23">
      <c r="A826">
        <v>385.28772282420988</v>
      </c>
      <c r="B826">
        <v>98</v>
      </c>
      <c r="C826">
        <v>2.7520551630300711</v>
      </c>
      <c r="D826">
        <v>462.74340000000001</v>
      </c>
      <c r="E826">
        <v>691.0539419087138</v>
      </c>
      <c r="F826">
        <v>168.12585000000001</v>
      </c>
      <c r="G826">
        <v>74.784300000000002</v>
      </c>
      <c r="H826">
        <v>8</v>
      </c>
      <c r="I826">
        <v>50</v>
      </c>
      <c r="J826">
        <v>5</v>
      </c>
      <c r="K826">
        <v>256</v>
      </c>
      <c r="L826">
        <v>61</v>
      </c>
      <c r="M826">
        <v>15</v>
      </c>
      <c r="N826">
        <v>1995</v>
      </c>
      <c r="O826">
        <v>0.27</v>
      </c>
      <c r="P826">
        <v>2.4700000000000002</v>
      </c>
      <c r="Q826">
        <v>1.4999999999999999E-2</v>
      </c>
      <c r="R826">
        <v>60</v>
      </c>
      <c r="S826">
        <v>700</v>
      </c>
      <c r="T826">
        <v>475</v>
      </c>
      <c r="U826">
        <v>275</v>
      </c>
      <c r="V826">
        <v>370</v>
      </c>
      <c r="W826">
        <v>155</v>
      </c>
    </row>
    <row r="827" spans="1:23">
      <c r="A827">
        <v>384.12548838566431</v>
      </c>
      <c r="B827">
        <v>98.000000000000014</v>
      </c>
      <c r="C827">
        <v>2.74375348846903</v>
      </c>
      <c r="D827">
        <v>434.3064</v>
      </c>
      <c r="E827">
        <v>691.51037344398333</v>
      </c>
      <c r="F827">
        <v>165.762</v>
      </c>
      <c r="G827">
        <v>74.568000000000012</v>
      </c>
      <c r="H827">
        <v>8</v>
      </c>
      <c r="I827">
        <v>49</v>
      </c>
      <c r="J827">
        <v>5</v>
      </c>
      <c r="K827">
        <v>201</v>
      </c>
      <c r="L827">
        <v>60</v>
      </c>
      <c r="M827">
        <v>29</v>
      </c>
      <c r="N827">
        <v>1995</v>
      </c>
      <c r="O827">
        <v>0.27</v>
      </c>
      <c r="P827">
        <v>2.4700000000000002</v>
      </c>
      <c r="Q827">
        <v>1.4999999999999999E-2</v>
      </c>
      <c r="R827">
        <v>60</v>
      </c>
      <c r="S827">
        <v>700</v>
      </c>
      <c r="T827">
        <v>475</v>
      </c>
      <c r="U827">
        <v>275</v>
      </c>
      <c r="V827">
        <v>370</v>
      </c>
      <c r="W827">
        <v>155</v>
      </c>
    </row>
    <row r="828" spans="1:23">
      <c r="A828">
        <v>390.62587758371052</v>
      </c>
      <c r="B828">
        <v>99.714285714285708</v>
      </c>
      <c r="C828">
        <v>2.7422160460747591</v>
      </c>
      <c r="D828">
        <v>452.92099999999999</v>
      </c>
      <c r="E828">
        <v>690.88796680497921</v>
      </c>
      <c r="F828">
        <v>172.36904999999999</v>
      </c>
      <c r="G828">
        <v>75.816999999999993</v>
      </c>
      <c r="H828">
        <v>6</v>
      </c>
      <c r="I828">
        <v>52</v>
      </c>
      <c r="J828">
        <v>7</v>
      </c>
      <c r="K828">
        <v>321</v>
      </c>
      <c r="L828">
        <v>57</v>
      </c>
      <c r="M828">
        <v>20</v>
      </c>
      <c r="N828">
        <v>1995</v>
      </c>
      <c r="O828">
        <v>0.27</v>
      </c>
      <c r="P828">
        <v>2.4700000000000002</v>
      </c>
      <c r="Q828">
        <v>1.4999999999999999E-2</v>
      </c>
      <c r="R828">
        <v>60</v>
      </c>
      <c r="S828">
        <v>700</v>
      </c>
      <c r="T828">
        <v>475</v>
      </c>
      <c r="U828">
        <v>275</v>
      </c>
      <c r="V828">
        <v>370</v>
      </c>
      <c r="W828">
        <v>155</v>
      </c>
    </row>
    <row r="829" spans="1:23">
      <c r="A829">
        <v>369.64868886974313</v>
      </c>
      <c r="B829">
        <v>94.5</v>
      </c>
      <c r="C829">
        <v>2.738138436072171</v>
      </c>
      <c r="D829">
        <v>421.06</v>
      </c>
      <c r="E829">
        <v>692.64871917071468</v>
      </c>
      <c r="F829">
        <v>210.53</v>
      </c>
      <c r="G829">
        <v>71.78</v>
      </c>
      <c r="H829">
        <v>22</v>
      </c>
      <c r="I829">
        <v>45</v>
      </c>
      <c r="J829">
        <v>4</v>
      </c>
      <c r="K829">
        <v>66</v>
      </c>
      <c r="L829">
        <v>59</v>
      </c>
      <c r="M829">
        <v>20</v>
      </c>
      <c r="N829">
        <v>1995</v>
      </c>
      <c r="O829">
        <v>0.27</v>
      </c>
      <c r="P829">
        <v>2.4700000000000002</v>
      </c>
      <c r="Q829">
        <v>1.4999999999999999E-2</v>
      </c>
      <c r="R829">
        <v>60</v>
      </c>
      <c r="S829">
        <v>700</v>
      </c>
      <c r="T829">
        <v>475</v>
      </c>
      <c r="U829">
        <v>275</v>
      </c>
      <c r="V829">
        <v>370</v>
      </c>
      <c r="W829">
        <v>155</v>
      </c>
    </row>
    <row r="830" spans="1:23">
      <c r="A830">
        <v>382.85754159929547</v>
      </c>
      <c r="B830">
        <v>98.000000000000014</v>
      </c>
      <c r="C830">
        <v>2.7346967257092532</v>
      </c>
      <c r="D830">
        <v>473.60640000000001</v>
      </c>
      <c r="E830">
        <v>691.73412938437968</v>
      </c>
      <c r="F830">
        <v>163.2944</v>
      </c>
      <c r="G830">
        <v>74.326399999999992</v>
      </c>
      <c r="H830">
        <v>6</v>
      </c>
      <c r="I830">
        <v>57</v>
      </c>
      <c r="J830">
        <v>6</v>
      </c>
      <c r="K830">
        <v>83</v>
      </c>
      <c r="L830">
        <v>56</v>
      </c>
      <c r="M830">
        <v>29</v>
      </c>
      <c r="N830">
        <v>1995</v>
      </c>
      <c r="O830">
        <v>0.27</v>
      </c>
      <c r="P830">
        <v>2.4700000000000002</v>
      </c>
      <c r="Q830">
        <v>1.4999999999999999E-2</v>
      </c>
      <c r="R830">
        <v>60</v>
      </c>
      <c r="S830">
        <v>700</v>
      </c>
      <c r="T830">
        <v>475</v>
      </c>
      <c r="U830">
        <v>275</v>
      </c>
      <c r="V830">
        <v>370</v>
      </c>
      <c r="W830">
        <v>155</v>
      </c>
    </row>
    <row r="831" spans="1:23">
      <c r="A831">
        <v>381.95903646756221</v>
      </c>
      <c r="B831">
        <v>98</v>
      </c>
      <c r="C831">
        <v>2.7282788319111591</v>
      </c>
      <c r="D831">
        <v>1006.6776</v>
      </c>
      <c r="E831">
        <v>682.40663900414938</v>
      </c>
      <c r="F831">
        <v>161.30160000000001</v>
      </c>
      <c r="G831">
        <v>73.963200000000001</v>
      </c>
      <c r="H831">
        <v>2</v>
      </c>
      <c r="I831">
        <v>56</v>
      </c>
      <c r="J831">
        <v>8</v>
      </c>
      <c r="K831">
        <v>320</v>
      </c>
      <c r="L831">
        <v>55</v>
      </c>
      <c r="M831">
        <v>34</v>
      </c>
      <c r="N831">
        <v>1995</v>
      </c>
      <c r="O831">
        <v>0.27</v>
      </c>
      <c r="P831">
        <v>2.4700000000000002</v>
      </c>
      <c r="Q831">
        <v>1.4999999999999999E-2</v>
      </c>
      <c r="R831">
        <v>60</v>
      </c>
      <c r="S831">
        <v>700</v>
      </c>
      <c r="T831">
        <v>475</v>
      </c>
      <c r="U831">
        <v>275</v>
      </c>
      <c r="V831">
        <v>370</v>
      </c>
      <c r="W831">
        <v>155</v>
      </c>
    </row>
    <row r="832" spans="1:23">
      <c r="A832">
        <v>391.97853788943559</v>
      </c>
      <c r="B832">
        <v>100.5846153846154</v>
      </c>
      <c r="C832">
        <v>2.7279020302797981</v>
      </c>
      <c r="D832">
        <v>436.79379999999998</v>
      </c>
      <c r="E832">
        <v>690.75510782673064</v>
      </c>
      <c r="F832">
        <v>166.59690000000001</v>
      </c>
      <c r="G832">
        <v>76.076779999999999</v>
      </c>
      <c r="H832">
        <v>6</v>
      </c>
      <c r="I832">
        <v>50</v>
      </c>
      <c r="J832">
        <v>7</v>
      </c>
      <c r="K832">
        <v>149</v>
      </c>
      <c r="L832">
        <v>61</v>
      </c>
      <c r="M832">
        <v>33</v>
      </c>
      <c r="N832">
        <v>1995</v>
      </c>
      <c r="O832">
        <v>0.27</v>
      </c>
      <c r="P832">
        <v>2.4700000000000002</v>
      </c>
      <c r="Q832">
        <v>1.4999999999999999E-2</v>
      </c>
      <c r="R832">
        <v>60</v>
      </c>
      <c r="S832">
        <v>700</v>
      </c>
      <c r="T832">
        <v>475</v>
      </c>
      <c r="U832">
        <v>275</v>
      </c>
      <c r="V832">
        <v>370</v>
      </c>
      <c r="W832">
        <v>155</v>
      </c>
    </row>
    <row r="833" spans="1:23">
      <c r="A833">
        <v>368.14772325193383</v>
      </c>
      <c r="B833">
        <v>94.500000000000014</v>
      </c>
      <c r="C833">
        <v>2.7270201722365459</v>
      </c>
      <c r="D833">
        <v>402.82639999999998</v>
      </c>
      <c r="E833">
        <v>692.60586429117097</v>
      </c>
      <c r="F833">
        <v>201.41319999999999</v>
      </c>
      <c r="G833">
        <v>71.487700000000004</v>
      </c>
      <c r="H833">
        <v>22</v>
      </c>
      <c r="I833">
        <v>57</v>
      </c>
      <c r="J833">
        <v>3</v>
      </c>
      <c r="K833">
        <v>72</v>
      </c>
      <c r="L833">
        <v>56</v>
      </c>
      <c r="M833">
        <v>29</v>
      </c>
      <c r="N833">
        <v>1995</v>
      </c>
      <c r="O833">
        <v>0.27</v>
      </c>
      <c r="P833">
        <v>2.4700000000000002</v>
      </c>
      <c r="Q833">
        <v>1.4999999999999999E-2</v>
      </c>
      <c r="R833">
        <v>60</v>
      </c>
      <c r="S833">
        <v>700</v>
      </c>
      <c r="T833">
        <v>475</v>
      </c>
      <c r="U833">
        <v>275</v>
      </c>
      <c r="V833">
        <v>370</v>
      </c>
      <c r="W833">
        <v>155</v>
      </c>
    </row>
    <row r="834" spans="1:23">
      <c r="A834">
        <v>381.63836636979443</v>
      </c>
      <c r="B834">
        <v>98</v>
      </c>
      <c r="C834">
        <v>2.7259883312128181</v>
      </c>
      <c r="D834">
        <v>428.25650000000002</v>
      </c>
      <c r="E834">
        <v>690.95699438560791</v>
      </c>
      <c r="F834">
        <v>163.36425</v>
      </c>
      <c r="G834">
        <v>74.073999999999998</v>
      </c>
      <c r="H834">
        <v>6</v>
      </c>
      <c r="I834">
        <v>49</v>
      </c>
      <c r="J834">
        <v>7</v>
      </c>
      <c r="K834">
        <v>66</v>
      </c>
      <c r="L834">
        <v>60</v>
      </c>
      <c r="M834">
        <v>21</v>
      </c>
      <c r="N834">
        <v>1995</v>
      </c>
      <c r="O834">
        <v>0.27</v>
      </c>
      <c r="P834">
        <v>2.4700000000000002</v>
      </c>
      <c r="Q834">
        <v>1.4999999999999999E-2</v>
      </c>
      <c r="R834">
        <v>60</v>
      </c>
      <c r="S834">
        <v>700</v>
      </c>
      <c r="T834">
        <v>475</v>
      </c>
      <c r="U834">
        <v>275</v>
      </c>
      <c r="V834">
        <v>370</v>
      </c>
      <c r="W834">
        <v>155</v>
      </c>
    </row>
    <row r="835" spans="1:23">
      <c r="A835">
        <v>366.7262715015201</v>
      </c>
      <c r="B835">
        <v>94.500000000000014</v>
      </c>
      <c r="C835">
        <v>2.7164909000112591</v>
      </c>
      <c r="D835">
        <v>448.29840000000002</v>
      </c>
      <c r="E835">
        <v>690.0954299118232</v>
      </c>
      <c r="F835">
        <v>201.25640000000001</v>
      </c>
      <c r="G835">
        <v>71.162899999999993</v>
      </c>
      <c r="H835">
        <v>22</v>
      </c>
      <c r="I835">
        <v>57</v>
      </c>
      <c r="J835">
        <v>3</v>
      </c>
      <c r="K835">
        <v>80</v>
      </c>
      <c r="L835">
        <v>56</v>
      </c>
      <c r="M835">
        <v>29</v>
      </c>
      <c r="N835">
        <v>1995</v>
      </c>
      <c r="O835">
        <v>0.27</v>
      </c>
      <c r="P835">
        <v>2.4700000000000002</v>
      </c>
      <c r="Q835">
        <v>1.4999999999999999E-2</v>
      </c>
      <c r="R835">
        <v>60</v>
      </c>
      <c r="S835">
        <v>700</v>
      </c>
      <c r="T835">
        <v>475</v>
      </c>
      <c r="U835">
        <v>275</v>
      </c>
      <c r="V835">
        <v>370</v>
      </c>
      <c r="W835">
        <v>155</v>
      </c>
    </row>
    <row r="836" spans="1:23">
      <c r="A836">
        <v>334.66169850877651</v>
      </c>
      <c r="B836">
        <v>86.744</v>
      </c>
      <c r="C836">
        <v>2.7006270053968411</v>
      </c>
      <c r="D836">
        <v>826.27200000000005</v>
      </c>
      <c r="E836">
        <v>682.21361167752491</v>
      </c>
      <c r="F836">
        <v>643.00800000000004</v>
      </c>
      <c r="G836">
        <v>64.80104</v>
      </c>
      <c r="H836">
        <v>40</v>
      </c>
      <c r="I836">
        <v>58</v>
      </c>
      <c r="J836">
        <v>11</v>
      </c>
      <c r="K836">
        <v>83</v>
      </c>
      <c r="L836">
        <v>62</v>
      </c>
      <c r="M836">
        <v>26</v>
      </c>
      <c r="N836">
        <v>1995</v>
      </c>
      <c r="O836">
        <v>0.27</v>
      </c>
      <c r="P836">
        <v>2.4700000000000002</v>
      </c>
      <c r="Q836">
        <v>1.4999999999999999E-2</v>
      </c>
      <c r="R836">
        <v>60</v>
      </c>
      <c r="S836">
        <v>700</v>
      </c>
      <c r="T836">
        <v>475</v>
      </c>
      <c r="U836">
        <v>275</v>
      </c>
      <c r="V836">
        <v>370</v>
      </c>
      <c r="W836">
        <v>155</v>
      </c>
    </row>
    <row r="837" spans="1:23">
      <c r="A837">
        <v>378.07807227405522</v>
      </c>
      <c r="B837">
        <v>98.000000000000014</v>
      </c>
      <c r="C837">
        <v>2.7005576591003941</v>
      </c>
      <c r="D837">
        <v>432.44160000000011</v>
      </c>
      <c r="E837">
        <v>692.48625266111151</v>
      </c>
      <c r="F837">
        <v>164.8296</v>
      </c>
      <c r="G837">
        <v>73.413600000000002</v>
      </c>
      <c r="H837">
        <v>8</v>
      </c>
      <c r="I837">
        <v>49</v>
      </c>
      <c r="J837">
        <v>5</v>
      </c>
      <c r="K837">
        <v>67</v>
      </c>
      <c r="L837">
        <v>62</v>
      </c>
      <c r="M837">
        <v>16</v>
      </c>
      <c r="N837">
        <v>1995</v>
      </c>
      <c r="O837">
        <v>0.27</v>
      </c>
      <c r="P837">
        <v>2.4700000000000002</v>
      </c>
      <c r="Q837">
        <v>1.4999999999999999E-2</v>
      </c>
      <c r="R837">
        <v>60</v>
      </c>
      <c r="S837">
        <v>700</v>
      </c>
      <c r="T837">
        <v>475</v>
      </c>
      <c r="U837">
        <v>275</v>
      </c>
      <c r="V837">
        <v>370</v>
      </c>
      <c r="W837">
        <v>155</v>
      </c>
    </row>
    <row r="838" spans="1:23">
      <c r="A838">
        <v>378.07807227405522</v>
      </c>
      <c r="B838">
        <v>98.000000000000014</v>
      </c>
      <c r="C838">
        <v>2.7005576591003941</v>
      </c>
      <c r="D838">
        <v>432.44160000000011</v>
      </c>
      <c r="E838">
        <v>692.48625266111151</v>
      </c>
      <c r="F838">
        <v>164.8296</v>
      </c>
      <c r="G838">
        <v>73.413600000000002</v>
      </c>
      <c r="H838">
        <v>8</v>
      </c>
      <c r="I838">
        <v>49</v>
      </c>
      <c r="J838">
        <v>5</v>
      </c>
      <c r="K838">
        <v>213</v>
      </c>
      <c r="L838">
        <v>62</v>
      </c>
      <c r="M838">
        <v>16</v>
      </c>
      <c r="N838">
        <v>1995</v>
      </c>
      <c r="O838">
        <v>0.27</v>
      </c>
      <c r="P838">
        <v>2.4700000000000002</v>
      </c>
      <c r="Q838">
        <v>1.4999999999999999E-2</v>
      </c>
      <c r="R838">
        <v>60</v>
      </c>
      <c r="S838">
        <v>700</v>
      </c>
      <c r="T838">
        <v>475</v>
      </c>
      <c r="U838">
        <v>275</v>
      </c>
      <c r="V838">
        <v>370</v>
      </c>
      <c r="W838">
        <v>155</v>
      </c>
    </row>
    <row r="839" spans="1:23">
      <c r="A839">
        <v>364.4735878622069</v>
      </c>
      <c r="B839">
        <v>94.5</v>
      </c>
      <c r="C839">
        <v>2.6998043545348658</v>
      </c>
      <c r="D839">
        <v>449.23919999999998</v>
      </c>
      <c r="E839">
        <v>686.63276180237824</v>
      </c>
      <c r="F839">
        <v>201.41319999999999</v>
      </c>
      <c r="G839">
        <v>70.658899999999988</v>
      </c>
      <c r="H839">
        <v>22</v>
      </c>
      <c r="I839">
        <v>57</v>
      </c>
      <c r="J839">
        <v>3</v>
      </c>
      <c r="K839">
        <v>64</v>
      </c>
      <c r="L839">
        <v>56</v>
      </c>
      <c r="M839">
        <v>28</v>
      </c>
      <c r="N839">
        <v>1995</v>
      </c>
      <c r="O839">
        <v>0.27</v>
      </c>
      <c r="P839">
        <v>2.4700000000000002</v>
      </c>
      <c r="Q839">
        <v>1.4999999999999999E-2</v>
      </c>
      <c r="R839">
        <v>60</v>
      </c>
      <c r="S839">
        <v>700</v>
      </c>
      <c r="T839">
        <v>475</v>
      </c>
      <c r="U839">
        <v>275</v>
      </c>
      <c r="V839">
        <v>370</v>
      </c>
      <c r="W839">
        <v>155</v>
      </c>
    </row>
    <row r="840" spans="1:23">
      <c r="A840">
        <v>393.42489113379901</v>
      </c>
      <c r="B840">
        <v>102.2352941176471</v>
      </c>
      <c r="C840">
        <v>2.6937607620783708</v>
      </c>
      <c r="D840">
        <v>478.71039999999999</v>
      </c>
      <c r="E840">
        <v>690.49154313357872</v>
      </c>
      <c r="F840">
        <v>166.33276799999999</v>
      </c>
      <c r="G840">
        <v>76.352000000000004</v>
      </c>
      <c r="H840">
        <v>6</v>
      </c>
      <c r="I840">
        <v>50</v>
      </c>
      <c r="J840">
        <v>7</v>
      </c>
      <c r="K840">
        <v>110</v>
      </c>
      <c r="L840">
        <v>62</v>
      </c>
      <c r="M840">
        <v>22</v>
      </c>
      <c r="N840">
        <v>1995</v>
      </c>
      <c r="O840">
        <v>0.27</v>
      </c>
      <c r="P840">
        <v>2.4700000000000002</v>
      </c>
      <c r="Q840">
        <v>1.4999999999999999E-2</v>
      </c>
      <c r="R840">
        <v>60</v>
      </c>
      <c r="S840">
        <v>700</v>
      </c>
      <c r="T840">
        <v>475</v>
      </c>
      <c r="U840">
        <v>275</v>
      </c>
      <c r="V840">
        <v>370</v>
      </c>
      <c r="W840">
        <v>155</v>
      </c>
    </row>
    <row r="841" spans="1:23">
      <c r="A841">
        <v>343.46101031859553</v>
      </c>
      <c r="B841">
        <v>89.328615384615375</v>
      </c>
      <c r="C841">
        <v>2.6914411041506381</v>
      </c>
      <c r="D841">
        <v>805.84199999999998</v>
      </c>
      <c r="E841">
        <v>685.66103388711815</v>
      </c>
      <c r="F841">
        <v>664.28099999999995</v>
      </c>
      <c r="G841">
        <v>66.567599999999999</v>
      </c>
      <c r="H841">
        <v>40</v>
      </c>
      <c r="I841">
        <v>60</v>
      </c>
      <c r="J841">
        <v>11</v>
      </c>
      <c r="K841">
        <v>149</v>
      </c>
      <c r="L841">
        <v>60</v>
      </c>
      <c r="M841">
        <v>33</v>
      </c>
      <c r="N841">
        <v>1995</v>
      </c>
      <c r="O841">
        <v>0.27</v>
      </c>
      <c r="P841">
        <v>2.4700000000000002</v>
      </c>
      <c r="Q841">
        <v>1.4999999999999999E-2</v>
      </c>
      <c r="R841">
        <v>60</v>
      </c>
      <c r="S841">
        <v>700</v>
      </c>
      <c r="T841">
        <v>475</v>
      </c>
      <c r="U841">
        <v>275</v>
      </c>
      <c r="V841">
        <v>370</v>
      </c>
      <c r="W841">
        <v>155</v>
      </c>
    </row>
    <row r="842" spans="1:23">
      <c r="A842">
        <v>339.75696598563081</v>
      </c>
      <c r="B842">
        <v>88.458285714285708</v>
      </c>
      <c r="C842">
        <v>2.688610504595534</v>
      </c>
      <c r="D842">
        <v>834.17124999999999</v>
      </c>
      <c r="E842">
        <v>684.03153526970959</v>
      </c>
      <c r="F842">
        <v>687.73383250000006</v>
      </c>
      <c r="G842">
        <v>65.820369999999997</v>
      </c>
      <c r="H842">
        <v>40</v>
      </c>
      <c r="I842">
        <v>57</v>
      </c>
      <c r="J842">
        <v>12</v>
      </c>
      <c r="K842">
        <v>321</v>
      </c>
      <c r="L842">
        <v>59</v>
      </c>
      <c r="M842">
        <v>19</v>
      </c>
      <c r="N842">
        <v>1995</v>
      </c>
      <c r="O842">
        <v>0.27</v>
      </c>
      <c r="P842">
        <v>2.4700000000000002</v>
      </c>
      <c r="Q842">
        <v>1.4999999999999999E-2</v>
      </c>
      <c r="R842">
        <v>60</v>
      </c>
      <c r="S842">
        <v>700</v>
      </c>
      <c r="T842">
        <v>475</v>
      </c>
      <c r="U842">
        <v>275</v>
      </c>
      <c r="V842">
        <v>370</v>
      </c>
      <c r="W842">
        <v>155</v>
      </c>
    </row>
    <row r="843" spans="1:23">
      <c r="A843">
        <v>376.1522350252518</v>
      </c>
      <c r="B843">
        <v>98</v>
      </c>
      <c r="C843">
        <v>2.6868016787517992</v>
      </c>
      <c r="D843">
        <v>466.50240000000002</v>
      </c>
      <c r="E843">
        <v>691.98203753746725</v>
      </c>
      <c r="F843">
        <v>160.63040000000001</v>
      </c>
      <c r="G843">
        <v>73.029600000000002</v>
      </c>
      <c r="H843">
        <v>6</v>
      </c>
      <c r="I843">
        <v>56</v>
      </c>
      <c r="J843">
        <v>6</v>
      </c>
      <c r="K843">
        <v>80</v>
      </c>
      <c r="L843">
        <v>57</v>
      </c>
      <c r="M843">
        <v>28</v>
      </c>
      <c r="N843">
        <v>1995</v>
      </c>
      <c r="O843">
        <v>0.27</v>
      </c>
      <c r="P843">
        <v>2.4700000000000002</v>
      </c>
      <c r="Q843">
        <v>1.4999999999999999E-2</v>
      </c>
      <c r="R843">
        <v>60</v>
      </c>
      <c r="S843">
        <v>700</v>
      </c>
      <c r="T843">
        <v>475</v>
      </c>
      <c r="U843">
        <v>275</v>
      </c>
      <c r="V843">
        <v>370</v>
      </c>
      <c r="W843">
        <v>155</v>
      </c>
    </row>
    <row r="844" spans="1:23">
      <c r="A844">
        <v>385.61839025627791</v>
      </c>
      <c r="B844">
        <v>100.52</v>
      </c>
      <c r="C844">
        <v>2.6853648346537451</v>
      </c>
      <c r="D844">
        <v>430.16950000000008</v>
      </c>
      <c r="E844">
        <v>686.22406639004157</v>
      </c>
      <c r="F844">
        <v>167.96950000000001</v>
      </c>
      <c r="G844">
        <v>74.749800000000008</v>
      </c>
      <c r="H844">
        <v>8</v>
      </c>
      <c r="I844">
        <v>50</v>
      </c>
      <c r="J844">
        <v>5</v>
      </c>
      <c r="K844">
        <v>322</v>
      </c>
      <c r="L844">
        <v>60</v>
      </c>
      <c r="M844">
        <v>19</v>
      </c>
      <c r="N844">
        <v>1995</v>
      </c>
      <c r="O844">
        <v>0.27</v>
      </c>
      <c r="P844">
        <v>2.4700000000000002</v>
      </c>
      <c r="Q844">
        <v>1.4999999999999999E-2</v>
      </c>
      <c r="R844">
        <v>60</v>
      </c>
      <c r="S844">
        <v>700</v>
      </c>
      <c r="T844">
        <v>475</v>
      </c>
      <c r="U844">
        <v>275</v>
      </c>
      <c r="V844">
        <v>370</v>
      </c>
      <c r="W844">
        <v>155</v>
      </c>
    </row>
    <row r="845" spans="1:23">
      <c r="A845">
        <v>375.71514654443052</v>
      </c>
      <c r="B845">
        <v>98</v>
      </c>
      <c r="C845">
        <v>2.6836796181745042</v>
      </c>
      <c r="D845">
        <v>467.44319999999999</v>
      </c>
      <c r="E845">
        <v>691.46263732105047</v>
      </c>
      <c r="F845">
        <v>160.78720000000001</v>
      </c>
      <c r="G845">
        <v>72.934399999999997</v>
      </c>
      <c r="H845">
        <v>6</v>
      </c>
      <c r="I845">
        <v>56</v>
      </c>
      <c r="J845">
        <v>6</v>
      </c>
      <c r="K845">
        <v>64</v>
      </c>
      <c r="L845">
        <v>56</v>
      </c>
      <c r="M845">
        <v>28</v>
      </c>
      <c r="N845">
        <v>1995</v>
      </c>
      <c r="O845">
        <v>0.27</v>
      </c>
      <c r="P845">
        <v>2.4700000000000002</v>
      </c>
      <c r="Q845">
        <v>1.4999999999999999E-2</v>
      </c>
      <c r="R845">
        <v>60</v>
      </c>
      <c r="S845">
        <v>700</v>
      </c>
      <c r="T845">
        <v>475</v>
      </c>
      <c r="U845">
        <v>275</v>
      </c>
      <c r="V845">
        <v>370</v>
      </c>
      <c r="W845">
        <v>155</v>
      </c>
    </row>
    <row r="846" spans="1:23">
      <c r="A846">
        <v>375.71514654443052</v>
      </c>
      <c r="B846">
        <v>98</v>
      </c>
      <c r="C846">
        <v>2.6836796181745042</v>
      </c>
      <c r="D846">
        <v>421.03039999999999</v>
      </c>
      <c r="E846">
        <v>691.46263732105047</v>
      </c>
      <c r="F846">
        <v>160.78720000000001</v>
      </c>
      <c r="G846">
        <v>72.934399999999997</v>
      </c>
      <c r="H846">
        <v>6</v>
      </c>
      <c r="I846">
        <v>56</v>
      </c>
      <c r="J846">
        <v>6</v>
      </c>
      <c r="K846">
        <v>72</v>
      </c>
      <c r="L846">
        <v>56</v>
      </c>
      <c r="M846">
        <v>28</v>
      </c>
      <c r="N846">
        <v>1995</v>
      </c>
      <c r="O846">
        <v>0.27</v>
      </c>
      <c r="P846">
        <v>2.4700000000000002</v>
      </c>
      <c r="Q846">
        <v>1.4999999999999999E-2</v>
      </c>
      <c r="R846">
        <v>60</v>
      </c>
      <c r="S846">
        <v>700</v>
      </c>
      <c r="T846">
        <v>475</v>
      </c>
      <c r="U846">
        <v>275</v>
      </c>
      <c r="V846">
        <v>370</v>
      </c>
      <c r="W846">
        <v>155</v>
      </c>
    </row>
    <row r="847" spans="1:23">
      <c r="A847">
        <v>329.64843889364352</v>
      </c>
      <c r="B847">
        <v>86.744</v>
      </c>
      <c r="C847">
        <v>2.660171391975819</v>
      </c>
      <c r="D847">
        <v>812.58600000000001</v>
      </c>
      <c r="E847">
        <v>684.16280210310401</v>
      </c>
      <c r="F847">
        <v>632.01499999999999</v>
      </c>
      <c r="G847">
        <v>63.864359999999998</v>
      </c>
      <c r="H847">
        <v>40</v>
      </c>
      <c r="I847">
        <v>57</v>
      </c>
      <c r="J847">
        <v>11</v>
      </c>
      <c r="K847">
        <v>64</v>
      </c>
      <c r="L847">
        <v>63</v>
      </c>
      <c r="M847">
        <v>25</v>
      </c>
      <c r="N847">
        <v>1995</v>
      </c>
      <c r="O847">
        <v>0.27</v>
      </c>
      <c r="P847">
        <v>2.4700000000000002</v>
      </c>
      <c r="Q847">
        <v>1.4999999999999999E-2</v>
      </c>
      <c r="R847">
        <v>60</v>
      </c>
      <c r="S847">
        <v>700</v>
      </c>
      <c r="T847">
        <v>475</v>
      </c>
      <c r="U847">
        <v>275</v>
      </c>
      <c r="V847">
        <v>370</v>
      </c>
      <c r="W847">
        <v>155</v>
      </c>
    </row>
    <row r="848" spans="1:23">
      <c r="A848">
        <v>329.64843889364352</v>
      </c>
      <c r="B848">
        <v>86.744</v>
      </c>
      <c r="C848">
        <v>2.660171391975819</v>
      </c>
      <c r="D848">
        <v>767.44600000000003</v>
      </c>
      <c r="E848">
        <v>684.16280210310401</v>
      </c>
      <c r="F848">
        <v>632.01499999999999</v>
      </c>
      <c r="G848">
        <v>63.864359999999998</v>
      </c>
      <c r="H848">
        <v>40</v>
      </c>
      <c r="I848">
        <v>57</v>
      </c>
      <c r="J848">
        <v>11</v>
      </c>
      <c r="K848">
        <v>72</v>
      </c>
      <c r="L848">
        <v>63</v>
      </c>
      <c r="M848">
        <v>25</v>
      </c>
      <c r="N848">
        <v>1995</v>
      </c>
      <c r="O848">
        <v>0.27</v>
      </c>
      <c r="P848">
        <v>2.4700000000000002</v>
      </c>
      <c r="Q848">
        <v>1.4999999999999999E-2</v>
      </c>
      <c r="R848">
        <v>60</v>
      </c>
      <c r="S848">
        <v>700</v>
      </c>
      <c r="T848">
        <v>475</v>
      </c>
      <c r="U848">
        <v>275</v>
      </c>
      <c r="V848">
        <v>370</v>
      </c>
      <c r="W848">
        <v>155</v>
      </c>
    </row>
    <row r="849" spans="1:23">
      <c r="A849">
        <v>378.86745432960328</v>
      </c>
      <c r="B849">
        <v>99.714285714285708</v>
      </c>
      <c r="C849">
        <v>2.6596712409957828</v>
      </c>
      <c r="D849">
        <v>422.25540000000001</v>
      </c>
      <c r="E849">
        <v>690.34024896265566</v>
      </c>
      <c r="F849">
        <v>160.86945</v>
      </c>
      <c r="G849">
        <v>73.523800000000008</v>
      </c>
      <c r="H849">
        <v>7</v>
      </c>
      <c r="I849">
        <v>49</v>
      </c>
      <c r="J849">
        <v>6</v>
      </c>
      <c r="K849">
        <v>321</v>
      </c>
      <c r="L849">
        <v>61</v>
      </c>
      <c r="M849">
        <v>20</v>
      </c>
      <c r="N849">
        <v>1995</v>
      </c>
      <c r="O849">
        <v>0.27</v>
      </c>
      <c r="P849">
        <v>2.4700000000000002</v>
      </c>
      <c r="Q849">
        <v>1.4999999999999999E-2</v>
      </c>
      <c r="R849">
        <v>60</v>
      </c>
      <c r="S849">
        <v>700</v>
      </c>
      <c r="T849">
        <v>475</v>
      </c>
      <c r="U849">
        <v>275</v>
      </c>
      <c r="V849">
        <v>370</v>
      </c>
      <c r="W849">
        <v>155</v>
      </c>
    </row>
    <row r="850" spans="1:23">
      <c r="A850">
        <v>329.19299741327092</v>
      </c>
      <c r="B850">
        <v>86.744</v>
      </c>
      <c r="C850">
        <v>2.6564961056590608</v>
      </c>
      <c r="D850">
        <v>805.17</v>
      </c>
      <c r="E850">
        <v>684.31615832675334</v>
      </c>
      <c r="F850">
        <v>663.94500000000005</v>
      </c>
      <c r="G850">
        <v>63.778799999999997</v>
      </c>
      <c r="H850">
        <v>40</v>
      </c>
      <c r="I850">
        <v>60</v>
      </c>
      <c r="J850">
        <v>11</v>
      </c>
      <c r="K850">
        <v>66</v>
      </c>
      <c r="L850">
        <v>60</v>
      </c>
      <c r="M850">
        <v>19</v>
      </c>
      <c r="N850">
        <v>1995</v>
      </c>
      <c r="O850">
        <v>0.27</v>
      </c>
      <c r="P850">
        <v>2.4700000000000002</v>
      </c>
      <c r="Q850">
        <v>1.4999999999999999E-2</v>
      </c>
      <c r="R850">
        <v>60</v>
      </c>
      <c r="S850">
        <v>700</v>
      </c>
      <c r="T850">
        <v>475</v>
      </c>
      <c r="U850">
        <v>275</v>
      </c>
      <c r="V850">
        <v>370</v>
      </c>
      <c r="W850">
        <v>155</v>
      </c>
    </row>
    <row r="851" spans="1:23">
      <c r="A851">
        <v>328.241066835737</v>
      </c>
      <c r="B851">
        <v>86.744</v>
      </c>
      <c r="C851">
        <v>2.6488142901528171</v>
      </c>
      <c r="D851">
        <v>812.76599999999996</v>
      </c>
      <c r="E851">
        <v>681.72811358865056</v>
      </c>
      <c r="F851">
        <v>632.04499999999996</v>
      </c>
      <c r="G851">
        <v>63.54936</v>
      </c>
      <c r="H851">
        <v>40</v>
      </c>
      <c r="I851">
        <v>57</v>
      </c>
      <c r="J851">
        <v>11</v>
      </c>
      <c r="K851">
        <v>80</v>
      </c>
      <c r="L851">
        <v>63</v>
      </c>
      <c r="M851">
        <v>25</v>
      </c>
      <c r="N851">
        <v>1995</v>
      </c>
      <c r="O851">
        <v>0.27</v>
      </c>
      <c r="P851">
        <v>2.4700000000000002</v>
      </c>
      <c r="Q851">
        <v>1.4999999999999999E-2</v>
      </c>
      <c r="R851">
        <v>60</v>
      </c>
      <c r="S851">
        <v>700</v>
      </c>
      <c r="T851">
        <v>475</v>
      </c>
      <c r="U851">
        <v>275</v>
      </c>
      <c r="V851">
        <v>370</v>
      </c>
      <c r="W851">
        <v>155</v>
      </c>
    </row>
    <row r="852" spans="1:23">
      <c r="A852">
        <v>386.96818601994011</v>
      </c>
      <c r="B852">
        <v>103.1219512195122</v>
      </c>
      <c r="C852">
        <v>2.626770799141978</v>
      </c>
      <c r="D852">
        <v>470.40120000000002</v>
      </c>
      <c r="E852">
        <v>689.97178423236517</v>
      </c>
      <c r="F852">
        <v>170.4786</v>
      </c>
      <c r="G852">
        <v>75.088290000000015</v>
      </c>
      <c r="H852">
        <v>8</v>
      </c>
      <c r="I852">
        <v>51</v>
      </c>
      <c r="J852">
        <v>5</v>
      </c>
      <c r="K852">
        <v>257</v>
      </c>
      <c r="L852">
        <v>61</v>
      </c>
      <c r="M852">
        <v>11</v>
      </c>
      <c r="N852">
        <v>1995</v>
      </c>
      <c r="O852">
        <v>0.27</v>
      </c>
      <c r="P852">
        <v>2.4700000000000002</v>
      </c>
      <c r="Q852">
        <v>1.4999999999999999E-2</v>
      </c>
      <c r="R852">
        <v>60</v>
      </c>
      <c r="S852">
        <v>700</v>
      </c>
      <c r="T852">
        <v>475</v>
      </c>
      <c r="U852">
        <v>275</v>
      </c>
      <c r="V852">
        <v>370</v>
      </c>
      <c r="W852">
        <v>155</v>
      </c>
    </row>
    <row r="853" spans="1:23">
      <c r="A853">
        <v>340.93251330511481</v>
      </c>
      <c r="B853">
        <v>90.979294117647058</v>
      </c>
      <c r="C853">
        <v>2.6231546598391269</v>
      </c>
      <c r="D853">
        <v>859.59359999999992</v>
      </c>
      <c r="E853">
        <v>685.81263183686769</v>
      </c>
      <c r="F853">
        <v>674.90575200000001</v>
      </c>
      <c r="G853">
        <v>66.080280000000002</v>
      </c>
      <c r="H853">
        <v>40</v>
      </c>
      <c r="I853">
        <v>61</v>
      </c>
      <c r="J853">
        <v>11</v>
      </c>
      <c r="K853">
        <v>110</v>
      </c>
      <c r="L853">
        <v>60</v>
      </c>
      <c r="M853">
        <v>21</v>
      </c>
      <c r="N853">
        <v>1995</v>
      </c>
      <c r="O853">
        <v>0.27</v>
      </c>
      <c r="P853">
        <v>2.4700000000000002</v>
      </c>
      <c r="Q853">
        <v>1.4999999999999999E-2</v>
      </c>
      <c r="R853">
        <v>60</v>
      </c>
      <c r="S853">
        <v>700</v>
      </c>
      <c r="T853">
        <v>475</v>
      </c>
      <c r="U853">
        <v>275</v>
      </c>
      <c r="V853">
        <v>370</v>
      </c>
      <c r="W853">
        <v>155</v>
      </c>
    </row>
    <row r="854" spans="1:23">
      <c r="A854">
        <v>370.49844265185237</v>
      </c>
      <c r="B854">
        <v>100.52</v>
      </c>
      <c r="C854">
        <v>2.580072720416799</v>
      </c>
      <c r="D854">
        <v>401.55</v>
      </c>
      <c r="E854">
        <v>692.01659751037346</v>
      </c>
      <c r="F854">
        <v>157.35</v>
      </c>
      <c r="G854">
        <v>71.932600000000008</v>
      </c>
      <c r="H854">
        <v>9</v>
      </c>
      <c r="I854">
        <v>44</v>
      </c>
      <c r="J854">
        <v>4</v>
      </c>
      <c r="K854">
        <v>322</v>
      </c>
      <c r="L854">
        <v>59</v>
      </c>
      <c r="M854">
        <v>20</v>
      </c>
      <c r="N854">
        <v>1995</v>
      </c>
      <c r="O854">
        <v>0.27</v>
      </c>
      <c r="P854">
        <v>2.4700000000000002</v>
      </c>
      <c r="Q854">
        <v>1.4999999999999999E-2</v>
      </c>
      <c r="R854">
        <v>60</v>
      </c>
      <c r="S854">
        <v>700</v>
      </c>
      <c r="T854">
        <v>475</v>
      </c>
      <c r="U854">
        <v>275</v>
      </c>
      <c r="V854">
        <v>370</v>
      </c>
      <c r="W854">
        <v>155</v>
      </c>
    </row>
    <row r="855" spans="1:23">
      <c r="A855">
        <v>377.20467063367693</v>
      </c>
      <c r="B855">
        <v>105.2</v>
      </c>
      <c r="C855">
        <v>2.5099170099199042</v>
      </c>
      <c r="D855">
        <v>448.40607999999997</v>
      </c>
      <c r="E855">
        <v>689.07551867219922</v>
      </c>
      <c r="F855">
        <v>161.54259999999999</v>
      </c>
      <c r="G855">
        <v>73.175840000000008</v>
      </c>
      <c r="H855">
        <v>8</v>
      </c>
      <c r="I855">
        <v>48</v>
      </c>
      <c r="J855">
        <v>5</v>
      </c>
      <c r="K855">
        <v>241</v>
      </c>
      <c r="L855">
        <v>58</v>
      </c>
      <c r="M855">
        <v>28</v>
      </c>
      <c r="N855">
        <v>1995</v>
      </c>
      <c r="O855">
        <v>0.27</v>
      </c>
      <c r="P855">
        <v>2.4700000000000002</v>
      </c>
      <c r="Q855">
        <v>1.4999999999999999E-2</v>
      </c>
      <c r="R855">
        <v>60</v>
      </c>
      <c r="S855">
        <v>700</v>
      </c>
      <c r="T855">
        <v>475</v>
      </c>
      <c r="U855">
        <v>275</v>
      </c>
      <c r="V855">
        <v>370</v>
      </c>
      <c r="W855">
        <v>155</v>
      </c>
    </row>
    <row r="856" spans="1:23">
      <c r="A856">
        <v>346.57876325328021</v>
      </c>
      <c r="B856">
        <v>97.020000000000024</v>
      </c>
      <c r="C856">
        <v>2.5005682774406939</v>
      </c>
      <c r="D856">
        <v>370.47</v>
      </c>
      <c r="E856">
        <v>690.72199170124486</v>
      </c>
      <c r="F856">
        <v>190.65</v>
      </c>
      <c r="G856">
        <v>67.264800000000008</v>
      </c>
      <c r="H856">
        <v>22</v>
      </c>
      <c r="I856">
        <v>54</v>
      </c>
      <c r="J856">
        <v>3</v>
      </c>
      <c r="K856">
        <v>322</v>
      </c>
      <c r="L856">
        <v>57</v>
      </c>
      <c r="M856">
        <v>20</v>
      </c>
      <c r="N856">
        <v>1995</v>
      </c>
      <c r="O856">
        <v>0.27</v>
      </c>
      <c r="P856">
        <v>2.4700000000000002</v>
      </c>
      <c r="Q856">
        <v>1.4999999999999999E-2</v>
      </c>
      <c r="R856">
        <v>60</v>
      </c>
      <c r="S856">
        <v>700</v>
      </c>
      <c r="T856">
        <v>475</v>
      </c>
      <c r="U856">
        <v>275</v>
      </c>
      <c r="V856">
        <v>370</v>
      </c>
      <c r="W856">
        <v>155</v>
      </c>
    </row>
    <row r="857" spans="1:23">
      <c r="A857">
        <v>345.38860422518951</v>
      </c>
      <c r="B857">
        <v>99.621951219512212</v>
      </c>
      <c r="C857">
        <v>2.4268950768179538</v>
      </c>
      <c r="D857">
        <v>408.79079999999999</v>
      </c>
      <c r="E857">
        <v>690.67219917012449</v>
      </c>
      <c r="F857">
        <v>193.16220000000001</v>
      </c>
      <c r="G857">
        <v>67.032899999999998</v>
      </c>
      <c r="H857">
        <v>22</v>
      </c>
      <c r="I857">
        <v>55</v>
      </c>
      <c r="J857">
        <v>3</v>
      </c>
      <c r="K857">
        <v>257</v>
      </c>
      <c r="L857">
        <v>55</v>
      </c>
      <c r="M857">
        <v>12</v>
      </c>
      <c r="N857">
        <v>1995</v>
      </c>
      <c r="O857">
        <v>0.27</v>
      </c>
      <c r="P857">
        <v>2.4700000000000002</v>
      </c>
      <c r="Q857">
        <v>1.4999999999999999E-2</v>
      </c>
      <c r="R857">
        <v>60</v>
      </c>
      <c r="S857">
        <v>700</v>
      </c>
      <c r="T857">
        <v>475</v>
      </c>
      <c r="U857">
        <v>275</v>
      </c>
      <c r="V857">
        <v>370</v>
      </c>
      <c r="W857">
        <v>155</v>
      </c>
    </row>
    <row r="858" spans="1:23">
      <c r="A858">
        <v>329.32154055462149</v>
      </c>
      <c r="B858">
        <v>98</v>
      </c>
      <c r="C858">
        <v>2.3522967182472958</v>
      </c>
      <c r="D858">
        <v>2089.42848</v>
      </c>
      <c r="E858">
        <v>664.41659751037344</v>
      </c>
      <c r="F858">
        <v>161.59824</v>
      </c>
      <c r="G858">
        <v>63.456480000000013</v>
      </c>
      <c r="H858">
        <v>161</v>
      </c>
      <c r="I858">
        <v>65</v>
      </c>
      <c r="J858">
        <v>45</v>
      </c>
      <c r="K858">
        <v>201</v>
      </c>
      <c r="L858">
        <v>48</v>
      </c>
      <c r="M858">
        <v>18</v>
      </c>
      <c r="N858">
        <v>1995</v>
      </c>
      <c r="O858">
        <v>0.27</v>
      </c>
      <c r="P858">
        <v>2.4700000000000002</v>
      </c>
      <c r="Q858">
        <v>1.4999999999999999E-2</v>
      </c>
      <c r="R858">
        <v>60</v>
      </c>
      <c r="S858">
        <v>700</v>
      </c>
      <c r="T858">
        <v>475</v>
      </c>
      <c r="U858">
        <v>275</v>
      </c>
      <c r="V858">
        <v>370</v>
      </c>
      <c r="W858">
        <v>155</v>
      </c>
    </row>
    <row r="859" spans="1:23">
      <c r="A859">
        <v>338.04129651429429</v>
      </c>
      <c r="B859">
        <v>101.7</v>
      </c>
      <c r="C859">
        <v>2.326734587610678</v>
      </c>
      <c r="D859">
        <v>390.91831999999999</v>
      </c>
      <c r="E859">
        <v>689.67966804979255</v>
      </c>
      <c r="F859">
        <v>183.42935</v>
      </c>
      <c r="G859">
        <v>65.589160000000007</v>
      </c>
      <c r="H859">
        <v>22</v>
      </c>
      <c r="I859">
        <v>52</v>
      </c>
      <c r="J859">
        <v>3</v>
      </c>
      <c r="K859">
        <v>241</v>
      </c>
      <c r="L859">
        <v>61</v>
      </c>
      <c r="M859">
        <v>26</v>
      </c>
      <c r="N859">
        <v>1995</v>
      </c>
      <c r="O859">
        <v>0.27</v>
      </c>
      <c r="P859">
        <v>2.4700000000000002</v>
      </c>
      <c r="Q859">
        <v>1.4999999999999999E-2</v>
      </c>
      <c r="R859">
        <v>60</v>
      </c>
      <c r="S859">
        <v>700</v>
      </c>
      <c r="T859">
        <v>475</v>
      </c>
      <c r="U859">
        <v>275</v>
      </c>
      <c r="V859">
        <v>370</v>
      </c>
      <c r="W859">
        <v>155</v>
      </c>
    </row>
    <row r="860" spans="1:23">
      <c r="A860">
        <v>317.54031134650148</v>
      </c>
      <c r="B860">
        <v>96.214285714285708</v>
      </c>
      <c r="C860">
        <v>2.3102413149188679</v>
      </c>
      <c r="D860">
        <v>418.47924999999998</v>
      </c>
      <c r="E860">
        <v>691.08153857304774</v>
      </c>
      <c r="F860">
        <v>169.3338325</v>
      </c>
      <c r="G860">
        <v>61.634999999999998</v>
      </c>
      <c r="H860">
        <v>147</v>
      </c>
      <c r="I860">
        <v>49</v>
      </c>
      <c r="J860">
        <v>5</v>
      </c>
      <c r="K860">
        <v>321</v>
      </c>
      <c r="L860">
        <v>60</v>
      </c>
      <c r="M860">
        <v>19</v>
      </c>
      <c r="N860">
        <v>1995</v>
      </c>
      <c r="O860">
        <v>0.27</v>
      </c>
      <c r="P860">
        <v>2.4700000000000002</v>
      </c>
      <c r="Q860">
        <v>1.4999999999999999E-2</v>
      </c>
      <c r="R860">
        <v>60</v>
      </c>
      <c r="S860">
        <v>700</v>
      </c>
      <c r="T860">
        <v>475</v>
      </c>
      <c r="U860">
        <v>275</v>
      </c>
      <c r="V860">
        <v>370</v>
      </c>
      <c r="W860">
        <v>155</v>
      </c>
    </row>
    <row r="861" spans="1:23">
      <c r="A861">
        <v>317.51589310408082</v>
      </c>
      <c r="B861">
        <v>97.08461538461539</v>
      </c>
      <c r="C861">
        <v>2.28935474783863</v>
      </c>
      <c r="D861">
        <v>410.88959999999997</v>
      </c>
      <c r="E861">
        <v>692.21208842170358</v>
      </c>
      <c r="F861">
        <v>166.56479999999999</v>
      </c>
      <c r="G861">
        <v>61.649279999999997</v>
      </c>
      <c r="H861">
        <v>147</v>
      </c>
      <c r="I861">
        <v>48</v>
      </c>
      <c r="J861">
        <v>5</v>
      </c>
      <c r="K861">
        <v>149</v>
      </c>
      <c r="L861">
        <v>59</v>
      </c>
      <c r="M861">
        <v>32</v>
      </c>
      <c r="N861">
        <v>1995</v>
      </c>
      <c r="O861">
        <v>0.27</v>
      </c>
      <c r="P861">
        <v>2.4700000000000002</v>
      </c>
      <c r="Q861">
        <v>1.4999999999999999E-2</v>
      </c>
      <c r="R861">
        <v>60</v>
      </c>
      <c r="S861">
        <v>700</v>
      </c>
      <c r="T861">
        <v>475</v>
      </c>
      <c r="U861">
        <v>275</v>
      </c>
      <c r="V861">
        <v>370</v>
      </c>
      <c r="W861">
        <v>155</v>
      </c>
    </row>
    <row r="862" spans="1:23">
      <c r="A862">
        <v>318.59124852121221</v>
      </c>
      <c r="B862">
        <v>98.735294117647058</v>
      </c>
      <c r="C862">
        <v>2.2587047109934022</v>
      </c>
      <c r="D862">
        <v>453.11040000000003</v>
      </c>
      <c r="E862">
        <v>691.61539650641532</v>
      </c>
      <c r="F862">
        <v>166.45276799999999</v>
      </c>
      <c r="G862">
        <v>61.847999999999999</v>
      </c>
      <c r="H862">
        <v>147</v>
      </c>
      <c r="I862">
        <v>48</v>
      </c>
      <c r="J862">
        <v>5</v>
      </c>
      <c r="K862">
        <v>110</v>
      </c>
      <c r="L862">
        <v>58</v>
      </c>
      <c r="M862">
        <v>22</v>
      </c>
      <c r="N862">
        <v>1995</v>
      </c>
      <c r="O862">
        <v>0.27</v>
      </c>
      <c r="P862">
        <v>2.4700000000000002</v>
      </c>
      <c r="Q862">
        <v>1.4999999999999999E-2</v>
      </c>
      <c r="R862">
        <v>60</v>
      </c>
      <c r="S862">
        <v>700</v>
      </c>
      <c r="T862">
        <v>475</v>
      </c>
      <c r="U862">
        <v>275</v>
      </c>
      <c r="V862">
        <v>370</v>
      </c>
      <c r="W862">
        <v>155</v>
      </c>
    </row>
    <row r="863" spans="1:23">
      <c r="A863">
        <v>424.53045407184578</v>
      </c>
      <c r="B863">
        <v>154</v>
      </c>
      <c r="C863">
        <v>1.9296838821447539</v>
      </c>
      <c r="D863">
        <v>516.23040000000003</v>
      </c>
      <c r="E863">
        <v>687.91927539513381</v>
      </c>
      <c r="F863">
        <v>183.15360000000001</v>
      </c>
      <c r="G863">
        <v>82.330799999999996</v>
      </c>
      <c r="H863">
        <v>8</v>
      </c>
      <c r="I863">
        <v>56</v>
      </c>
      <c r="J863">
        <v>5</v>
      </c>
      <c r="K863">
        <v>318</v>
      </c>
      <c r="L863">
        <v>57</v>
      </c>
      <c r="M863">
        <v>23</v>
      </c>
      <c r="N863">
        <v>1995</v>
      </c>
      <c r="O863">
        <v>0.27</v>
      </c>
      <c r="P863">
        <v>2.4700000000000002</v>
      </c>
      <c r="Q863">
        <v>1.4999999999999999E-2</v>
      </c>
      <c r="R863">
        <v>60</v>
      </c>
      <c r="S863">
        <v>700</v>
      </c>
      <c r="T863">
        <v>475</v>
      </c>
      <c r="U863">
        <v>275</v>
      </c>
      <c r="V863">
        <v>370</v>
      </c>
      <c r="W863">
        <v>155</v>
      </c>
    </row>
    <row r="864" spans="1:23">
      <c r="A864">
        <v>403.00391539680908</v>
      </c>
      <c r="B864">
        <v>154</v>
      </c>
      <c r="C864">
        <v>1.8318359790764049</v>
      </c>
      <c r="D864">
        <v>487.92</v>
      </c>
      <c r="E864">
        <v>689.03965224508329</v>
      </c>
      <c r="F864">
        <v>173.08799999999999</v>
      </c>
      <c r="G864">
        <v>78.180000000000007</v>
      </c>
      <c r="H864">
        <v>9</v>
      </c>
      <c r="I864">
        <v>50</v>
      </c>
      <c r="J864">
        <v>4</v>
      </c>
      <c r="K864">
        <v>318</v>
      </c>
      <c r="L864">
        <v>63</v>
      </c>
      <c r="M864">
        <v>20</v>
      </c>
      <c r="N864">
        <v>1995</v>
      </c>
      <c r="O864">
        <v>0.27</v>
      </c>
      <c r="P864">
        <v>2.4700000000000002</v>
      </c>
      <c r="Q864">
        <v>1.4999999999999999E-2</v>
      </c>
      <c r="R864">
        <v>60</v>
      </c>
      <c r="S864">
        <v>700</v>
      </c>
      <c r="T864">
        <v>475</v>
      </c>
      <c r="U864">
        <v>275</v>
      </c>
      <c r="V864">
        <v>370</v>
      </c>
      <c r="W864">
        <v>155</v>
      </c>
    </row>
    <row r="865" spans="1:23">
      <c r="A865">
        <v>391.30082850121198</v>
      </c>
      <c r="B865">
        <v>154</v>
      </c>
      <c r="C865">
        <v>1.778640129550964</v>
      </c>
      <c r="D865">
        <v>460.33600000000001</v>
      </c>
      <c r="E865">
        <v>691.27373512615873</v>
      </c>
      <c r="F865">
        <v>162.29040000000001</v>
      </c>
      <c r="G865">
        <v>75.956000000000003</v>
      </c>
      <c r="H865">
        <v>6</v>
      </c>
      <c r="I865">
        <v>50</v>
      </c>
      <c r="J865">
        <v>7</v>
      </c>
      <c r="K865">
        <v>318</v>
      </c>
      <c r="L865">
        <v>61</v>
      </c>
      <c r="M865">
        <v>22</v>
      </c>
      <c r="N865">
        <v>1995</v>
      </c>
      <c r="O865">
        <v>0.27</v>
      </c>
      <c r="P865">
        <v>2.4700000000000002</v>
      </c>
      <c r="Q865">
        <v>1.4999999999999999E-2</v>
      </c>
      <c r="R865">
        <v>60</v>
      </c>
      <c r="S865">
        <v>700</v>
      </c>
      <c r="T865">
        <v>475</v>
      </c>
      <c r="U865">
        <v>275</v>
      </c>
      <c r="V865">
        <v>370</v>
      </c>
      <c r="W865">
        <v>155</v>
      </c>
    </row>
    <row r="866" spans="1:23">
      <c r="A866">
        <v>337.82820113114923</v>
      </c>
      <c r="B866">
        <v>142.744</v>
      </c>
      <c r="C866">
        <v>1.6566702683951999</v>
      </c>
      <c r="D866">
        <v>828.68399999999997</v>
      </c>
      <c r="E866">
        <v>679.67865639446086</v>
      </c>
      <c r="F866">
        <v>660.09059999999999</v>
      </c>
      <c r="G866">
        <v>65.368800000000007</v>
      </c>
      <c r="H866">
        <v>40</v>
      </c>
      <c r="I866">
        <v>60</v>
      </c>
      <c r="J866">
        <v>11</v>
      </c>
      <c r="K866">
        <v>318</v>
      </c>
      <c r="L866">
        <v>60</v>
      </c>
      <c r="M866">
        <v>21</v>
      </c>
      <c r="N866">
        <v>1995</v>
      </c>
      <c r="O866">
        <v>0.27</v>
      </c>
      <c r="P866">
        <v>2.4700000000000002</v>
      </c>
      <c r="Q866">
        <v>1.4999999999999999E-2</v>
      </c>
      <c r="R866">
        <v>60</v>
      </c>
      <c r="S866">
        <v>700</v>
      </c>
      <c r="T866">
        <v>475</v>
      </c>
      <c r="U866">
        <v>275</v>
      </c>
      <c r="V866">
        <v>370</v>
      </c>
      <c r="W866">
        <v>155</v>
      </c>
    </row>
    <row r="867" spans="1:23">
      <c r="A867">
        <v>395.3750616541351</v>
      </c>
      <c r="B867">
        <v>228.37500000000011</v>
      </c>
      <c r="C867">
        <v>1.2118775836142071</v>
      </c>
      <c r="D867">
        <v>488.88</v>
      </c>
      <c r="E867">
        <v>688.59310229966582</v>
      </c>
      <c r="F867">
        <v>164.53103999999999</v>
      </c>
      <c r="G867">
        <v>76.690699999999993</v>
      </c>
      <c r="H867">
        <v>8</v>
      </c>
      <c r="I867">
        <v>53</v>
      </c>
      <c r="J867">
        <v>5</v>
      </c>
      <c r="K867">
        <v>94</v>
      </c>
      <c r="L867">
        <v>59</v>
      </c>
      <c r="M867">
        <v>2</v>
      </c>
      <c r="N867">
        <v>1995</v>
      </c>
      <c r="O867">
        <v>0.27</v>
      </c>
      <c r="P867">
        <v>2.4700000000000002</v>
      </c>
      <c r="Q867">
        <v>1.4999999999999999E-2</v>
      </c>
      <c r="R867">
        <v>60</v>
      </c>
      <c r="S867">
        <v>700</v>
      </c>
      <c r="T867">
        <v>475</v>
      </c>
      <c r="U867">
        <v>275</v>
      </c>
      <c r="V867">
        <v>370</v>
      </c>
      <c r="W867">
        <v>155</v>
      </c>
    </row>
    <row r="868" spans="1:23">
      <c r="A868">
        <v>377.48045798336437</v>
      </c>
      <c r="B868">
        <v>228.37500000000011</v>
      </c>
      <c r="C868">
        <v>1.157028223703799</v>
      </c>
      <c r="D868">
        <v>479.38080000000002</v>
      </c>
      <c r="E868">
        <v>691.32339275609729</v>
      </c>
      <c r="F868">
        <v>160.64472000000001</v>
      </c>
      <c r="G868">
        <v>73.274299999999997</v>
      </c>
      <c r="H868">
        <v>9</v>
      </c>
      <c r="I868">
        <v>47</v>
      </c>
      <c r="J868">
        <v>4</v>
      </c>
      <c r="K868">
        <v>94</v>
      </c>
      <c r="L868">
        <v>59</v>
      </c>
      <c r="M868">
        <v>2</v>
      </c>
      <c r="N868">
        <v>1995</v>
      </c>
      <c r="O868">
        <v>0.27</v>
      </c>
      <c r="P868">
        <v>2.4700000000000002</v>
      </c>
      <c r="Q868">
        <v>1.4999999999999999E-2</v>
      </c>
      <c r="R868">
        <v>60</v>
      </c>
      <c r="S868">
        <v>700</v>
      </c>
      <c r="T868">
        <v>475</v>
      </c>
      <c r="U868">
        <v>275</v>
      </c>
      <c r="V868">
        <v>370</v>
      </c>
      <c r="W868">
        <v>155</v>
      </c>
    </row>
    <row r="869" spans="1:23">
      <c r="A869">
        <v>344.76059923176069</v>
      </c>
      <c r="B869">
        <v>224.87500000000011</v>
      </c>
      <c r="C869">
        <v>1.073184744690306</v>
      </c>
      <c r="D869">
        <v>427.26960000000003</v>
      </c>
      <c r="E869">
        <v>670.03828567021083</v>
      </c>
      <c r="F869">
        <v>187.21464</v>
      </c>
      <c r="G869">
        <v>66.534100000000009</v>
      </c>
      <c r="H869">
        <v>22</v>
      </c>
      <c r="I869">
        <v>55</v>
      </c>
      <c r="J869">
        <v>3</v>
      </c>
      <c r="K869">
        <v>94</v>
      </c>
      <c r="L869">
        <v>58</v>
      </c>
      <c r="M869">
        <v>2</v>
      </c>
      <c r="N869">
        <v>1995</v>
      </c>
      <c r="O869">
        <v>0.27</v>
      </c>
      <c r="P869">
        <v>2.4700000000000002</v>
      </c>
      <c r="Q869">
        <v>1.4999999999999999E-2</v>
      </c>
      <c r="R869">
        <v>60</v>
      </c>
      <c r="S869">
        <v>700</v>
      </c>
      <c r="T869">
        <v>475</v>
      </c>
      <c r="U869">
        <v>275</v>
      </c>
      <c r="V869">
        <v>370</v>
      </c>
      <c r="W869">
        <v>155</v>
      </c>
    </row>
  </sheetData>
  <sortState xmlns:xlrd2="http://schemas.microsoft.com/office/spreadsheetml/2017/richdata2" ref="A2:W869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A15D-2DF0-40CB-8E84-0584B26B35F4}">
  <sheetPr codeName="Sheet6"/>
  <dimension ref="A1:W78"/>
  <sheetViews>
    <sheetView workbookViewId="0">
      <selection activeCell="A11" activeCellId="1" sqref="A3:XFD3 A11:XFD1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350.25959873923119</v>
      </c>
      <c r="B2">
        <v>11.144</v>
      </c>
      <c r="C2">
        <v>22.00123107658488</v>
      </c>
      <c r="D2">
        <v>524.77200000000005</v>
      </c>
      <c r="E2">
        <v>689.92531120331955</v>
      </c>
      <c r="F2">
        <v>553.86</v>
      </c>
      <c r="G2">
        <v>67.964399999999998</v>
      </c>
      <c r="H2">
        <v>163</v>
      </c>
      <c r="I2">
        <v>63</v>
      </c>
      <c r="J2">
        <v>8</v>
      </c>
      <c r="K2">
        <v>40</v>
      </c>
      <c r="L2">
        <v>55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60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383.44721772978693</v>
      </c>
      <c r="B3">
        <v>14</v>
      </c>
      <c r="C3">
        <v>19.17236088648934</v>
      </c>
      <c r="D3">
        <v>371.036</v>
      </c>
      <c r="E3">
        <v>680.23236514522819</v>
      </c>
      <c r="F3">
        <v>222.6216</v>
      </c>
      <c r="G3">
        <v>74.207200000000014</v>
      </c>
      <c r="H3">
        <v>52</v>
      </c>
      <c r="I3">
        <v>109</v>
      </c>
      <c r="J3">
        <v>8</v>
      </c>
      <c r="K3">
        <v>0</v>
      </c>
      <c r="L3">
        <v>0</v>
      </c>
      <c r="M3">
        <v>0</v>
      </c>
      <c r="N3">
        <v>1995</v>
      </c>
      <c r="O3">
        <v>0.27</v>
      </c>
      <c r="P3">
        <v>2.4700000000000002</v>
      </c>
      <c r="Q3">
        <v>1.4999999999999999E-2</v>
      </c>
      <c r="R3">
        <v>60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370.68970064763653</v>
      </c>
      <c r="B4">
        <v>14.410666666666669</v>
      </c>
      <c r="C4">
        <v>18.006300225759549</v>
      </c>
      <c r="D4">
        <v>556.65</v>
      </c>
      <c r="E4">
        <v>688.26251041781143</v>
      </c>
      <c r="F4">
        <v>493.29</v>
      </c>
      <c r="G4">
        <v>71.896000000000001</v>
      </c>
      <c r="H4">
        <v>164</v>
      </c>
      <c r="I4">
        <v>55</v>
      </c>
      <c r="J4">
        <v>5</v>
      </c>
      <c r="K4">
        <v>40</v>
      </c>
      <c r="L4">
        <v>65</v>
      </c>
      <c r="M4">
        <v>5</v>
      </c>
      <c r="N4">
        <v>1995</v>
      </c>
      <c r="O4">
        <v>0.27</v>
      </c>
      <c r="P4">
        <v>2.4700000000000002</v>
      </c>
      <c r="Q4">
        <v>1.4999999999999999E-2</v>
      </c>
      <c r="R4">
        <v>60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340.34455966306791</v>
      </c>
      <c r="B5">
        <v>13.48263636363636</v>
      </c>
      <c r="C5">
        <v>17.67022304381813</v>
      </c>
      <c r="D5">
        <v>548.06399999999996</v>
      </c>
      <c r="E5">
        <v>690.87440812155864</v>
      </c>
      <c r="F5">
        <v>484.70400000000001</v>
      </c>
      <c r="G5">
        <v>66.057600000000008</v>
      </c>
      <c r="H5">
        <v>95</v>
      </c>
      <c r="I5">
        <v>56</v>
      </c>
      <c r="J5">
        <v>5</v>
      </c>
      <c r="K5">
        <v>40</v>
      </c>
      <c r="L5">
        <v>64</v>
      </c>
      <c r="M5">
        <v>5</v>
      </c>
      <c r="N5">
        <v>1995</v>
      </c>
      <c r="O5">
        <v>0.27</v>
      </c>
      <c r="P5">
        <v>2.4700000000000002</v>
      </c>
      <c r="Q5">
        <v>1.4999999999999999E-2</v>
      </c>
      <c r="R5">
        <v>60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334.42172392480558</v>
      </c>
      <c r="B6">
        <v>14</v>
      </c>
      <c r="C6">
        <v>16.721086196240279</v>
      </c>
      <c r="D6">
        <v>2602.1952000000001</v>
      </c>
      <c r="E6">
        <v>699.16182572614116</v>
      </c>
      <c r="F6">
        <v>195.16463999999999</v>
      </c>
      <c r="G6">
        <v>65.054880000000011</v>
      </c>
      <c r="H6">
        <v>161</v>
      </c>
      <c r="I6">
        <v>111</v>
      </c>
      <c r="J6">
        <v>33</v>
      </c>
      <c r="K6">
        <v>0</v>
      </c>
      <c r="L6">
        <v>0</v>
      </c>
      <c r="M6">
        <v>0</v>
      </c>
      <c r="N6">
        <v>1995</v>
      </c>
      <c r="O6">
        <v>0.27</v>
      </c>
      <c r="P6">
        <v>2.4700000000000002</v>
      </c>
      <c r="Q6">
        <v>1.4999999999999999E-2</v>
      </c>
      <c r="R6">
        <v>60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319.39540421019018</v>
      </c>
      <c r="B7">
        <v>14</v>
      </c>
      <c r="C7">
        <v>15.969770210509511</v>
      </c>
      <c r="D7">
        <v>483.96</v>
      </c>
      <c r="E7">
        <v>602.4398340248963</v>
      </c>
      <c r="F7">
        <v>181.48500000000001</v>
      </c>
      <c r="G7">
        <v>60.494999999999997</v>
      </c>
      <c r="H7">
        <v>9</v>
      </c>
      <c r="I7">
        <v>109</v>
      </c>
      <c r="J7">
        <v>2</v>
      </c>
      <c r="K7">
        <v>0</v>
      </c>
      <c r="L7">
        <v>0</v>
      </c>
      <c r="M7">
        <v>0</v>
      </c>
      <c r="N7">
        <v>1995</v>
      </c>
      <c r="O7">
        <v>0.27</v>
      </c>
      <c r="P7">
        <v>2.4700000000000002</v>
      </c>
      <c r="Q7">
        <v>1.4999999999999999E-2</v>
      </c>
      <c r="R7">
        <v>60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347.45433504926018</v>
      </c>
      <c r="B8">
        <v>16.744</v>
      </c>
      <c r="C8">
        <v>14.52568290339717</v>
      </c>
      <c r="D8">
        <v>600.62</v>
      </c>
      <c r="E8">
        <v>687.93360995850617</v>
      </c>
      <c r="F8">
        <v>444.91800000000001</v>
      </c>
      <c r="G8">
        <v>67.383399999999995</v>
      </c>
      <c r="H8">
        <v>52</v>
      </c>
      <c r="I8">
        <v>56</v>
      </c>
      <c r="J8">
        <v>10</v>
      </c>
      <c r="K8">
        <v>40</v>
      </c>
      <c r="L8">
        <v>61</v>
      </c>
      <c r="M8">
        <v>5</v>
      </c>
      <c r="N8">
        <v>1995</v>
      </c>
      <c r="O8">
        <v>0.27</v>
      </c>
      <c r="P8">
        <v>2.4700000000000002</v>
      </c>
      <c r="Q8">
        <v>1.4999999999999999E-2</v>
      </c>
      <c r="R8">
        <v>60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340.65346460613608</v>
      </c>
      <c r="B9">
        <v>16.744</v>
      </c>
      <c r="C9">
        <v>14.2413655771796</v>
      </c>
      <c r="D9">
        <v>722.48832000000004</v>
      </c>
      <c r="E9">
        <v>684.68049792531122</v>
      </c>
      <c r="F9">
        <v>445.17311999999998</v>
      </c>
      <c r="G9">
        <v>66.005760000000009</v>
      </c>
      <c r="H9">
        <v>8</v>
      </c>
      <c r="I9">
        <v>54</v>
      </c>
      <c r="J9">
        <v>4</v>
      </c>
      <c r="K9">
        <v>40</v>
      </c>
      <c r="L9">
        <v>64</v>
      </c>
      <c r="M9">
        <v>5</v>
      </c>
      <c r="N9">
        <v>1995</v>
      </c>
      <c r="O9">
        <v>0.27</v>
      </c>
      <c r="P9">
        <v>2.4700000000000002</v>
      </c>
      <c r="Q9">
        <v>1.4999999999999999E-2</v>
      </c>
      <c r="R9">
        <v>60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333.85315712082468</v>
      </c>
      <c r="B10">
        <v>16.744</v>
      </c>
      <c r="C10">
        <v>13.957071785987649</v>
      </c>
      <c r="D10">
        <v>593.40599999999995</v>
      </c>
      <c r="E10">
        <v>687.05726141078844</v>
      </c>
      <c r="F10">
        <v>442.53</v>
      </c>
      <c r="G10">
        <v>64.730159999999998</v>
      </c>
      <c r="H10">
        <v>53</v>
      </c>
      <c r="I10">
        <v>60</v>
      </c>
      <c r="J10">
        <v>9</v>
      </c>
      <c r="K10">
        <v>40</v>
      </c>
      <c r="L10">
        <v>52</v>
      </c>
      <c r="M10">
        <v>6</v>
      </c>
      <c r="N10">
        <v>1995</v>
      </c>
      <c r="O10">
        <v>0.27</v>
      </c>
      <c r="P10">
        <v>2.4700000000000002</v>
      </c>
      <c r="Q10">
        <v>1.4999999999999999E-2</v>
      </c>
      <c r="R10">
        <v>60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408.67949197084567</v>
      </c>
      <c r="B11">
        <v>21</v>
      </c>
      <c r="C11">
        <v>13.622649732361531</v>
      </c>
      <c r="D11">
        <v>371.42399999999998</v>
      </c>
      <c r="E11">
        <v>620.12614107883826</v>
      </c>
      <c r="F11">
        <v>155.57759999999999</v>
      </c>
      <c r="G11">
        <v>77.788799999999995</v>
      </c>
      <c r="H11">
        <v>39</v>
      </c>
      <c r="I11">
        <v>111</v>
      </c>
      <c r="J11">
        <v>6</v>
      </c>
      <c r="K11">
        <v>0</v>
      </c>
      <c r="L11">
        <v>0</v>
      </c>
      <c r="M11">
        <v>0</v>
      </c>
      <c r="N11">
        <v>1995</v>
      </c>
      <c r="O11">
        <v>0.27</v>
      </c>
      <c r="P11">
        <v>2.4700000000000002</v>
      </c>
      <c r="Q11">
        <v>1.4999999999999999E-2</v>
      </c>
      <c r="R11">
        <v>60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325.80157100222391</v>
      </c>
      <c r="B12">
        <v>16.744</v>
      </c>
      <c r="C12">
        <v>13.62046701514314</v>
      </c>
      <c r="D12">
        <v>699.84</v>
      </c>
      <c r="E12">
        <v>686.24896265560164</v>
      </c>
      <c r="F12">
        <v>436.68</v>
      </c>
      <c r="G12">
        <v>63.155099999999997</v>
      </c>
      <c r="H12">
        <v>9</v>
      </c>
      <c r="I12">
        <v>51</v>
      </c>
      <c r="J12">
        <v>3</v>
      </c>
      <c r="K12">
        <v>40</v>
      </c>
      <c r="L12">
        <v>64</v>
      </c>
      <c r="M12">
        <v>5</v>
      </c>
      <c r="N12">
        <v>1995</v>
      </c>
      <c r="O12">
        <v>0.27</v>
      </c>
      <c r="P12">
        <v>2.4700000000000002</v>
      </c>
      <c r="Q12">
        <v>1.4999999999999999E-2</v>
      </c>
      <c r="R12">
        <v>60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344.61600923445172</v>
      </c>
      <c r="B13">
        <v>18.899999999999999</v>
      </c>
      <c r="C13">
        <v>12.76355589757229</v>
      </c>
      <c r="D13">
        <v>429.57</v>
      </c>
      <c r="E13">
        <v>690.37344398340247</v>
      </c>
      <c r="F13">
        <v>288.60000000000002</v>
      </c>
      <c r="G13">
        <v>66.877499999999998</v>
      </c>
      <c r="H13">
        <v>22</v>
      </c>
      <c r="I13">
        <v>55</v>
      </c>
      <c r="J13">
        <v>3</v>
      </c>
      <c r="K13">
        <v>163</v>
      </c>
      <c r="L13">
        <v>57</v>
      </c>
      <c r="M13">
        <v>4</v>
      </c>
      <c r="N13">
        <v>1995</v>
      </c>
      <c r="O13">
        <v>0.27</v>
      </c>
      <c r="P13">
        <v>2.4700000000000002</v>
      </c>
      <c r="Q13">
        <v>1.4999999999999999E-2</v>
      </c>
      <c r="R13">
        <v>60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386.26385266874843</v>
      </c>
      <c r="B14">
        <v>22.4</v>
      </c>
      <c r="C14">
        <v>12.07074539589839</v>
      </c>
      <c r="D14">
        <v>490.07040000000001</v>
      </c>
      <c r="E14">
        <v>689.83402489626565</v>
      </c>
      <c r="F14">
        <v>264.06639999999999</v>
      </c>
      <c r="G14">
        <v>74.948800000000006</v>
      </c>
      <c r="H14">
        <v>8</v>
      </c>
      <c r="I14">
        <v>51</v>
      </c>
      <c r="J14">
        <v>5</v>
      </c>
      <c r="K14">
        <v>163</v>
      </c>
      <c r="L14">
        <v>58</v>
      </c>
      <c r="M14">
        <v>4</v>
      </c>
      <c r="N14">
        <v>1995</v>
      </c>
      <c r="O14">
        <v>0.27</v>
      </c>
      <c r="P14">
        <v>2.4700000000000002</v>
      </c>
      <c r="Q14">
        <v>1.4999999999999999E-2</v>
      </c>
      <c r="R14">
        <v>60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318.42403522903982</v>
      </c>
      <c r="B15">
        <v>18.899999999999999</v>
      </c>
      <c r="C15">
        <v>11.79348278626073</v>
      </c>
      <c r="D15">
        <v>494.03879999999998</v>
      </c>
      <c r="E15">
        <v>688.01825726141078</v>
      </c>
      <c r="F15">
        <v>268.81425000000002</v>
      </c>
      <c r="G15">
        <v>61.754849999999998</v>
      </c>
      <c r="H15">
        <v>22</v>
      </c>
      <c r="I15">
        <v>48</v>
      </c>
      <c r="J15">
        <v>3</v>
      </c>
      <c r="K15">
        <v>96</v>
      </c>
      <c r="L15">
        <v>63</v>
      </c>
      <c r="M15">
        <v>17</v>
      </c>
      <c r="N15">
        <v>1995</v>
      </c>
      <c r="O15">
        <v>0.27</v>
      </c>
      <c r="P15">
        <v>2.4700000000000002</v>
      </c>
      <c r="Q15">
        <v>1.4999999999999999E-2</v>
      </c>
      <c r="R15">
        <v>60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368.70075196244272</v>
      </c>
      <c r="B16">
        <v>22.4</v>
      </c>
      <c r="C16">
        <v>11.52189849882633</v>
      </c>
      <c r="D16">
        <v>1059.2952</v>
      </c>
      <c r="E16">
        <v>681.76763485477181</v>
      </c>
      <c r="F16">
        <v>309.12464</v>
      </c>
      <c r="G16">
        <v>71.383359999999996</v>
      </c>
      <c r="H16">
        <v>163</v>
      </c>
      <c r="I16">
        <v>52</v>
      </c>
      <c r="J16">
        <v>10</v>
      </c>
      <c r="K16">
        <v>161</v>
      </c>
      <c r="L16">
        <v>57</v>
      </c>
      <c r="M16">
        <v>23</v>
      </c>
      <c r="N16">
        <v>1995</v>
      </c>
      <c r="O16">
        <v>0.27</v>
      </c>
      <c r="P16">
        <v>2.4700000000000002</v>
      </c>
      <c r="Q16">
        <v>1.4999999999999999E-2</v>
      </c>
      <c r="R16">
        <v>60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382.91273181173432</v>
      </c>
      <c r="B17">
        <v>23.744</v>
      </c>
      <c r="C17">
        <v>11.288700819921409</v>
      </c>
      <c r="D17">
        <v>693.45119999999997</v>
      </c>
      <c r="E17">
        <v>687.24315352697101</v>
      </c>
      <c r="F17">
        <v>415.29039999999998</v>
      </c>
      <c r="G17">
        <v>74.245999999999995</v>
      </c>
      <c r="H17">
        <v>39</v>
      </c>
      <c r="I17">
        <v>58</v>
      </c>
      <c r="J17">
        <v>8</v>
      </c>
      <c r="K17">
        <v>40</v>
      </c>
      <c r="L17">
        <v>62</v>
      </c>
      <c r="M17">
        <v>5</v>
      </c>
      <c r="N17">
        <v>1995</v>
      </c>
      <c r="O17">
        <v>0.27</v>
      </c>
      <c r="P17">
        <v>2.4700000000000002</v>
      </c>
      <c r="Q17">
        <v>1.4999999999999999E-2</v>
      </c>
      <c r="R17">
        <v>60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359.14233555225059</v>
      </c>
      <c r="B18">
        <v>22.4</v>
      </c>
      <c r="C18">
        <v>11.223197986007831</v>
      </c>
      <c r="D18">
        <v>414.5924</v>
      </c>
      <c r="E18">
        <v>690.29543568464726</v>
      </c>
      <c r="F18">
        <v>253.16325000000001</v>
      </c>
      <c r="G18">
        <v>69.695050000000009</v>
      </c>
      <c r="H18">
        <v>52</v>
      </c>
      <c r="I18">
        <v>56</v>
      </c>
      <c r="J18">
        <v>10</v>
      </c>
      <c r="K18">
        <v>96</v>
      </c>
      <c r="L18">
        <v>57</v>
      </c>
      <c r="M18">
        <v>19</v>
      </c>
      <c r="N18">
        <v>1995</v>
      </c>
      <c r="O18">
        <v>0.27</v>
      </c>
      <c r="P18">
        <v>2.4700000000000002</v>
      </c>
      <c r="Q18">
        <v>1.4999999999999999E-2</v>
      </c>
      <c r="R18">
        <v>60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355.69102630346651</v>
      </c>
      <c r="B19">
        <v>22.4</v>
      </c>
      <c r="C19">
        <v>11.11534457198333</v>
      </c>
      <c r="D19">
        <v>545.49</v>
      </c>
      <c r="E19">
        <v>690.29543568464726</v>
      </c>
      <c r="F19">
        <v>248.63685000000001</v>
      </c>
      <c r="G19">
        <v>69.025290000000012</v>
      </c>
      <c r="H19">
        <v>8</v>
      </c>
      <c r="I19">
        <v>56</v>
      </c>
      <c r="J19">
        <v>4</v>
      </c>
      <c r="K19">
        <v>96</v>
      </c>
      <c r="L19">
        <v>57</v>
      </c>
      <c r="M19">
        <v>19</v>
      </c>
      <c r="N19">
        <v>1995</v>
      </c>
      <c r="O19">
        <v>0.27</v>
      </c>
      <c r="P19">
        <v>2.4700000000000002</v>
      </c>
      <c r="Q19">
        <v>1.4999999999999999E-2</v>
      </c>
      <c r="R19">
        <v>60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351.692316187188</v>
      </c>
      <c r="B20">
        <v>22.166666666666661</v>
      </c>
      <c r="C20">
        <v>11.10607314275331</v>
      </c>
      <c r="D20">
        <v>376.81200000000001</v>
      </c>
      <c r="E20">
        <v>690.7622370279953</v>
      </c>
      <c r="F20">
        <v>251.42400000000001</v>
      </c>
      <c r="G20">
        <v>68.257999999999996</v>
      </c>
      <c r="H20">
        <v>164</v>
      </c>
      <c r="I20">
        <v>64</v>
      </c>
      <c r="J20">
        <v>4</v>
      </c>
      <c r="K20">
        <v>147</v>
      </c>
      <c r="L20">
        <v>43</v>
      </c>
      <c r="M20">
        <v>3</v>
      </c>
      <c r="N20">
        <v>1995</v>
      </c>
      <c r="O20">
        <v>0.27</v>
      </c>
      <c r="P20">
        <v>2.4700000000000002</v>
      </c>
      <c r="Q20">
        <v>1.4999999999999999E-2</v>
      </c>
      <c r="R20">
        <v>60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354.85094299544159</v>
      </c>
      <c r="B21">
        <v>22.4</v>
      </c>
      <c r="C21">
        <v>11.08909196860755</v>
      </c>
      <c r="D21">
        <v>439.78199999999998</v>
      </c>
      <c r="E21">
        <v>691.98340248962654</v>
      </c>
      <c r="F21">
        <v>246.642</v>
      </c>
      <c r="G21">
        <v>68.894000000000005</v>
      </c>
      <c r="H21">
        <v>6</v>
      </c>
      <c r="I21">
        <v>53</v>
      </c>
      <c r="J21">
        <v>6</v>
      </c>
      <c r="K21">
        <v>163</v>
      </c>
      <c r="L21">
        <v>59</v>
      </c>
      <c r="M21">
        <v>4</v>
      </c>
      <c r="N21">
        <v>1995</v>
      </c>
      <c r="O21">
        <v>0.27</v>
      </c>
      <c r="P21">
        <v>2.4700000000000002</v>
      </c>
      <c r="Q21">
        <v>1.4999999999999999E-2</v>
      </c>
      <c r="R21">
        <v>60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349.44927111553949</v>
      </c>
      <c r="B22">
        <v>22.166666666666661</v>
      </c>
      <c r="C22">
        <v>11.035240140490719</v>
      </c>
      <c r="D22">
        <v>442.22399999999999</v>
      </c>
      <c r="E22">
        <v>684.67754373774346</v>
      </c>
      <c r="F22">
        <v>259.07400000000001</v>
      </c>
      <c r="G22">
        <v>67.709999999999994</v>
      </c>
      <c r="H22">
        <v>22</v>
      </c>
      <c r="I22">
        <v>56</v>
      </c>
      <c r="J22">
        <v>3</v>
      </c>
      <c r="K22">
        <v>164</v>
      </c>
      <c r="L22">
        <v>57</v>
      </c>
      <c r="M22">
        <v>2</v>
      </c>
      <c r="N22">
        <v>1995</v>
      </c>
      <c r="O22">
        <v>0.27</v>
      </c>
      <c r="P22">
        <v>2.4700000000000002</v>
      </c>
      <c r="Q22">
        <v>1.4999999999999999E-2</v>
      </c>
      <c r="R22">
        <v>60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349.26607984809272</v>
      </c>
      <c r="B23">
        <v>22.400000000000009</v>
      </c>
      <c r="C23">
        <v>10.914564995252899</v>
      </c>
      <c r="D23">
        <v>451.548</v>
      </c>
      <c r="E23">
        <v>691.39419087136935</v>
      </c>
      <c r="F23">
        <v>295.43759999999997</v>
      </c>
      <c r="G23">
        <v>67.7988</v>
      </c>
      <c r="H23">
        <v>163</v>
      </c>
      <c r="I23">
        <v>56</v>
      </c>
      <c r="J23">
        <v>9</v>
      </c>
      <c r="K23">
        <v>143</v>
      </c>
      <c r="L23">
        <v>53</v>
      </c>
      <c r="M23">
        <v>9</v>
      </c>
      <c r="N23">
        <v>1995</v>
      </c>
      <c r="O23">
        <v>0.27</v>
      </c>
      <c r="P23">
        <v>2.4700000000000002</v>
      </c>
      <c r="Q23">
        <v>1.4999999999999999E-2</v>
      </c>
      <c r="R23">
        <v>60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347.4795957069594</v>
      </c>
      <c r="B24">
        <v>22.4</v>
      </c>
      <c r="C24">
        <v>10.85873736584248</v>
      </c>
      <c r="D24">
        <v>475.46560000000011</v>
      </c>
      <c r="E24">
        <v>688.82987551867222</v>
      </c>
      <c r="F24">
        <v>244.7296</v>
      </c>
      <c r="G24">
        <v>67.404800000000009</v>
      </c>
      <c r="H24">
        <v>8</v>
      </c>
      <c r="I24">
        <v>55</v>
      </c>
      <c r="J24">
        <v>4</v>
      </c>
      <c r="K24">
        <v>57</v>
      </c>
      <c r="L24">
        <v>52</v>
      </c>
      <c r="M24">
        <v>7</v>
      </c>
      <c r="N24">
        <v>1995</v>
      </c>
      <c r="O24">
        <v>0.27</v>
      </c>
      <c r="P24">
        <v>2.4700000000000002</v>
      </c>
      <c r="Q24">
        <v>1.4999999999999999E-2</v>
      </c>
      <c r="R24">
        <v>60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397.94432184865741</v>
      </c>
      <c r="B25">
        <v>25.666666666666661</v>
      </c>
      <c r="C25">
        <v>10.85302695950884</v>
      </c>
      <c r="D25">
        <v>370.96199999999999</v>
      </c>
      <c r="E25">
        <v>690.01317507588533</v>
      </c>
      <c r="F25">
        <v>257.74200000000002</v>
      </c>
      <c r="G25">
        <v>77.218999999999994</v>
      </c>
      <c r="H25">
        <v>164</v>
      </c>
      <c r="I25">
        <v>59</v>
      </c>
      <c r="J25">
        <v>5</v>
      </c>
      <c r="K25">
        <v>6</v>
      </c>
      <c r="L25">
        <v>51</v>
      </c>
      <c r="M25">
        <v>3</v>
      </c>
      <c r="N25">
        <v>1995</v>
      </c>
      <c r="O25">
        <v>0.27</v>
      </c>
      <c r="P25">
        <v>2.4700000000000002</v>
      </c>
      <c r="Q25">
        <v>1.4999999999999999E-2</v>
      </c>
      <c r="R25">
        <v>60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347.26232699632902</v>
      </c>
      <c r="B26">
        <v>22.4</v>
      </c>
      <c r="C26">
        <v>10.85194771863528</v>
      </c>
      <c r="D26">
        <v>403.18740000000003</v>
      </c>
      <c r="E26">
        <v>691.62323651452277</v>
      </c>
      <c r="F26">
        <v>246.32024999999999</v>
      </c>
      <c r="G26">
        <v>67.414050000000003</v>
      </c>
      <c r="H26">
        <v>53</v>
      </c>
      <c r="I26">
        <v>55</v>
      </c>
      <c r="J26">
        <v>10</v>
      </c>
      <c r="K26">
        <v>96</v>
      </c>
      <c r="L26">
        <v>57</v>
      </c>
      <c r="M26">
        <v>19</v>
      </c>
      <c r="N26">
        <v>1995</v>
      </c>
      <c r="O26">
        <v>0.27</v>
      </c>
      <c r="P26">
        <v>2.4700000000000002</v>
      </c>
      <c r="Q26">
        <v>1.4999999999999999E-2</v>
      </c>
      <c r="R26">
        <v>60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395.3961253121804</v>
      </c>
      <c r="B27">
        <v>25.666666666666661</v>
      </c>
      <c r="C27">
        <v>10.78353069033219</v>
      </c>
      <c r="D27">
        <v>495.44400000000007</v>
      </c>
      <c r="E27">
        <v>690.6367680314313</v>
      </c>
      <c r="F27">
        <v>233.244</v>
      </c>
      <c r="G27">
        <v>76.7376</v>
      </c>
      <c r="H27">
        <v>8</v>
      </c>
      <c r="I27">
        <v>52</v>
      </c>
      <c r="J27">
        <v>5</v>
      </c>
      <c r="K27">
        <v>164</v>
      </c>
      <c r="L27">
        <v>60</v>
      </c>
      <c r="M27">
        <v>2</v>
      </c>
      <c r="N27">
        <v>1995</v>
      </c>
      <c r="O27">
        <v>0.27</v>
      </c>
      <c r="P27">
        <v>2.4700000000000002</v>
      </c>
      <c r="Q27">
        <v>1.4999999999999999E-2</v>
      </c>
      <c r="R27">
        <v>60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361.82066377219292</v>
      </c>
      <c r="B28">
        <v>23.744</v>
      </c>
      <c r="C28">
        <v>10.66688277630286</v>
      </c>
      <c r="D28">
        <v>520.58879999999999</v>
      </c>
      <c r="E28">
        <v>687.2697095435683</v>
      </c>
      <c r="F28">
        <v>410.41919999999999</v>
      </c>
      <c r="G28">
        <v>70.156800000000004</v>
      </c>
      <c r="H28">
        <v>54</v>
      </c>
      <c r="I28">
        <v>56</v>
      </c>
      <c r="J28">
        <v>4</v>
      </c>
      <c r="K28">
        <v>40</v>
      </c>
      <c r="L28">
        <v>64</v>
      </c>
      <c r="M28">
        <v>5</v>
      </c>
      <c r="N28">
        <v>1995</v>
      </c>
      <c r="O28">
        <v>0.27</v>
      </c>
      <c r="P28">
        <v>2.4700000000000002</v>
      </c>
      <c r="Q28">
        <v>1.4999999999999999E-2</v>
      </c>
      <c r="R28">
        <v>60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340.86098737785647</v>
      </c>
      <c r="B29">
        <v>22.4</v>
      </c>
      <c r="C29">
        <v>10.65190585555802</v>
      </c>
      <c r="D29">
        <v>409.36800000000011</v>
      </c>
      <c r="E29">
        <v>692.8215767634855</v>
      </c>
      <c r="F29">
        <v>233.803</v>
      </c>
      <c r="G29">
        <v>66.192999999999998</v>
      </c>
      <c r="H29">
        <v>7</v>
      </c>
      <c r="I29">
        <v>53</v>
      </c>
      <c r="J29">
        <v>5</v>
      </c>
      <c r="K29">
        <v>163</v>
      </c>
      <c r="L29">
        <v>57</v>
      </c>
      <c r="M29">
        <v>4</v>
      </c>
      <c r="N29">
        <v>1995</v>
      </c>
      <c r="O29">
        <v>0.27</v>
      </c>
      <c r="P29">
        <v>2.4700000000000002</v>
      </c>
      <c r="Q29">
        <v>1.4999999999999999E-2</v>
      </c>
      <c r="R29">
        <v>60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390.47044873766743</v>
      </c>
      <c r="B30">
        <v>25.666666666666671</v>
      </c>
      <c r="C30">
        <v>10.649194056481839</v>
      </c>
      <c r="D30">
        <v>1104.8052</v>
      </c>
      <c r="E30">
        <v>681.85153569290651</v>
      </c>
      <c r="F30">
        <v>258.43464</v>
      </c>
      <c r="G30">
        <v>75.599879999999999</v>
      </c>
      <c r="H30">
        <v>164</v>
      </c>
      <c r="I30">
        <v>57</v>
      </c>
      <c r="J30">
        <v>5</v>
      </c>
      <c r="K30">
        <v>161</v>
      </c>
      <c r="L30">
        <v>56</v>
      </c>
      <c r="M30">
        <v>23</v>
      </c>
      <c r="N30">
        <v>1995</v>
      </c>
      <c r="O30">
        <v>0.27</v>
      </c>
      <c r="P30">
        <v>2.4700000000000002</v>
      </c>
      <c r="Q30">
        <v>1.4999999999999999E-2</v>
      </c>
      <c r="R30">
        <v>60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340.56723814189161</v>
      </c>
      <c r="B31">
        <v>22.4</v>
      </c>
      <c r="C31">
        <v>10.642726191934109</v>
      </c>
      <c r="D31">
        <v>446.00832000000003</v>
      </c>
      <c r="E31">
        <v>687.7344398340249</v>
      </c>
      <c r="F31">
        <v>232.05312000000001</v>
      </c>
      <c r="G31">
        <v>66.044160000000005</v>
      </c>
      <c r="H31">
        <v>8</v>
      </c>
      <c r="I31">
        <v>54</v>
      </c>
      <c r="J31">
        <v>4</v>
      </c>
      <c r="K31">
        <v>295</v>
      </c>
      <c r="L31">
        <v>60</v>
      </c>
      <c r="M31">
        <v>6</v>
      </c>
      <c r="N31">
        <v>1995</v>
      </c>
      <c r="O31">
        <v>0.27</v>
      </c>
      <c r="P31">
        <v>2.4700000000000002</v>
      </c>
      <c r="Q31">
        <v>1.4999999999999999E-2</v>
      </c>
      <c r="R31">
        <v>60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359.95110705334702</v>
      </c>
      <c r="B32">
        <v>23.744</v>
      </c>
      <c r="C32">
        <v>10.61176612775197</v>
      </c>
      <c r="D32">
        <v>524.77200000000005</v>
      </c>
      <c r="E32">
        <v>687.37593360995857</v>
      </c>
      <c r="F32">
        <v>414</v>
      </c>
      <c r="G32">
        <v>69.796320000000009</v>
      </c>
      <c r="H32">
        <v>55</v>
      </c>
      <c r="I32">
        <v>66</v>
      </c>
      <c r="J32">
        <v>8</v>
      </c>
      <c r="K32">
        <v>40</v>
      </c>
      <c r="L32">
        <v>54</v>
      </c>
      <c r="M32">
        <v>6</v>
      </c>
      <c r="N32">
        <v>1995</v>
      </c>
      <c r="O32">
        <v>0.27</v>
      </c>
      <c r="P32">
        <v>2.4700000000000002</v>
      </c>
      <c r="Q32">
        <v>1.4999999999999999E-2</v>
      </c>
      <c r="R32">
        <v>60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338.42334303188738</v>
      </c>
      <c r="B33">
        <v>22.4</v>
      </c>
      <c r="C33">
        <v>10.575729469746481</v>
      </c>
      <c r="D33">
        <v>522.14400000000001</v>
      </c>
      <c r="E33">
        <v>688.06307053941907</v>
      </c>
      <c r="F33">
        <v>239.76</v>
      </c>
      <c r="G33">
        <v>65.634299999999996</v>
      </c>
      <c r="H33">
        <v>9</v>
      </c>
      <c r="I33">
        <v>52</v>
      </c>
      <c r="J33">
        <v>3</v>
      </c>
      <c r="K33">
        <v>96</v>
      </c>
      <c r="L33">
        <v>61</v>
      </c>
      <c r="M33">
        <v>18</v>
      </c>
      <c r="N33">
        <v>1995</v>
      </c>
      <c r="O33">
        <v>0.27</v>
      </c>
      <c r="P33">
        <v>2.4700000000000002</v>
      </c>
      <c r="Q33">
        <v>1.4999999999999999E-2</v>
      </c>
      <c r="R33">
        <v>60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384.33640637312419</v>
      </c>
      <c r="B34">
        <v>25.666666666666661</v>
      </c>
      <c r="C34">
        <v>10.481901991994301</v>
      </c>
      <c r="D34">
        <v>607.16999999999996</v>
      </c>
      <c r="E34">
        <v>687.0443885794167</v>
      </c>
      <c r="F34">
        <v>252.41399999999999</v>
      </c>
      <c r="G34">
        <v>74.518000000000001</v>
      </c>
      <c r="H34">
        <v>164</v>
      </c>
      <c r="I34">
        <v>58</v>
      </c>
      <c r="J34">
        <v>5</v>
      </c>
      <c r="K34">
        <v>2</v>
      </c>
      <c r="L34">
        <v>47</v>
      </c>
      <c r="M34">
        <v>4</v>
      </c>
      <c r="N34">
        <v>1995</v>
      </c>
      <c r="O34">
        <v>0.27</v>
      </c>
      <c r="P34">
        <v>2.4700000000000002</v>
      </c>
      <c r="Q34">
        <v>1.4999999999999999E-2</v>
      </c>
      <c r="R34">
        <v>60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332.85757474643322</v>
      </c>
      <c r="B35">
        <v>22.4</v>
      </c>
      <c r="C35">
        <v>10.40179921082604</v>
      </c>
      <c r="D35">
        <v>555.04440000000011</v>
      </c>
      <c r="E35">
        <v>687.71452282157679</v>
      </c>
      <c r="F35">
        <v>280.22615999999999</v>
      </c>
      <c r="G35">
        <v>64.548720000000003</v>
      </c>
      <c r="H35">
        <v>163</v>
      </c>
      <c r="I35">
        <v>52</v>
      </c>
      <c r="J35">
        <v>9</v>
      </c>
      <c r="K35">
        <v>162</v>
      </c>
      <c r="L35">
        <v>57</v>
      </c>
      <c r="M35">
        <v>14</v>
      </c>
      <c r="N35">
        <v>1995</v>
      </c>
      <c r="O35">
        <v>0.27</v>
      </c>
      <c r="P35">
        <v>2.4700000000000002</v>
      </c>
      <c r="Q35">
        <v>1.4999999999999999E-2</v>
      </c>
      <c r="R35">
        <v>60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331.61832352814912</v>
      </c>
      <c r="B36">
        <v>22.4</v>
      </c>
      <c r="C36">
        <v>10.36307261025466</v>
      </c>
      <c r="D36">
        <v>449.68799999999999</v>
      </c>
      <c r="E36">
        <v>688.03319502074692</v>
      </c>
      <c r="F36">
        <v>233.238</v>
      </c>
      <c r="G36">
        <v>64.313999999999993</v>
      </c>
      <c r="H36">
        <v>9</v>
      </c>
      <c r="I36">
        <v>52</v>
      </c>
      <c r="J36">
        <v>3</v>
      </c>
      <c r="K36">
        <v>57</v>
      </c>
      <c r="L36">
        <v>60</v>
      </c>
      <c r="M36">
        <v>6</v>
      </c>
      <c r="N36">
        <v>1995</v>
      </c>
      <c r="O36">
        <v>0.27</v>
      </c>
      <c r="P36">
        <v>2.4700000000000002</v>
      </c>
      <c r="Q36">
        <v>1.4999999999999999E-2</v>
      </c>
      <c r="R36">
        <v>60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373.76079655166592</v>
      </c>
      <c r="B37">
        <v>25.666666666666661</v>
      </c>
      <c r="C37">
        <v>10.19347626959089</v>
      </c>
      <c r="D37">
        <v>495.50400000000002</v>
      </c>
      <c r="E37">
        <v>689.69432759127926</v>
      </c>
      <c r="F37">
        <v>229.10400000000001</v>
      </c>
      <c r="G37">
        <v>72.52</v>
      </c>
      <c r="H37">
        <v>9</v>
      </c>
      <c r="I37">
        <v>48</v>
      </c>
      <c r="J37">
        <v>4</v>
      </c>
      <c r="K37">
        <v>164</v>
      </c>
      <c r="L37">
        <v>52</v>
      </c>
      <c r="M37">
        <v>2</v>
      </c>
      <c r="N37">
        <v>1995</v>
      </c>
      <c r="O37">
        <v>0.27</v>
      </c>
      <c r="P37">
        <v>2.4700000000000002</v>
      </c>
      <c r="Q37">
        <v>1.4999999999999999E-2</v>
      </c>
      <c r="R37">
        <v>60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325.8828856782917</v>
      </c>
      <c r="B38">
        <v>22.4</v>
      </c>
      <c r="C38">
        <v>10.183840177446619</v>
      </c>
      <c r="D38">
        <v>929.07</v>
      </c>
      <c r="E38">
        <v>683.41908713692942</v>
      </c>
      <c r="F38">
        <v>228.58600000000001</v>
      </c>
      <c r="G38">
        <v>63.122</v>
      </c>
      <c r="H38">
        <v>2</v>
      </c>
      <c r="I38">
        <v>56</v>
      </c>
      <c r="J38">
        <v>7</v>
      </c>
      <c r="K38">
        <v>163</v>
      </c>
      <c r="L38">
        <v>53</v>
      </c>
      <c r="M38">
        <v>4</v>
      </c>
      <c r="N38">
        <v>1995</v>
      </c>
      <c r="O38">
        <v>0.27</v>
      </c>
      <c r="P38">
        <v>2.4700000000000002</v>
      </c>
      <c r="Q38">
        <v>1.4999999999999999E-2</v>
      </c>
      <c r="R38">
        <v>60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342.60819441555111</v>
      </c>
      <c r="B39">
        <v>23.744</v>
      </c>
      <c r="C39">
        <v>10.100477429703741</v>
      </c>
      <c r="D39">
        <v>612.38800000000003</v>
      </c>
      <c r="E39">
        <v>688.37178423236514</v>
      </c>
      <c r="F39">
        <v>411.75040000000001</v>
      </c>
      <c r="G39">
        <v>66.451520000000002</v>
      </c>
      <c r="H39">
        <v>33</v>
      </c>
      <c r="I39">
        <v>58</v>
      </c>
      <c r="J39">
        <v>4</v>
      </c>
      <c r="K39">
        <v>40</v>
      </c>
      <c r="L39">
        <v>54</v>
      </c>
      <c r="M39">
        <v>6</v>
      </c>
      <c r="N39">
        <v>1995</v>
      </c>
      <c r="O39">
        <v>0.27</v>
      </c>
      <c r="P39">
        <v>2.4700000000000002</v>
      </c>
      <c r="Q39">
        <v>1.4999999999999999E-2</v>
      </c>
      <c r="R39">
        <v>60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342.60819441555111</v>
      </c>
      <c r="B40">
        <v>23.744</v>
      </c>
      <c r="C40">
        <v>10.100477429703741</v>
      </c>
      <c r="D40">
        <v>612.38800000000003</v>
      </c>
      <c r="E40">
        <v>688.37178423236514</v>
      </c>
      <c r="F40">
        <v>411.75040000000001</v>
      </c>
      <c r="G40">
        <v>66.451520000000002</v>
      </c>
      <c r="H40">
        <v>332</v>
      </c>
      <c r="I40">
        <v>58</v>
      </c>
      <c r="J40">
        <v>4</v>
      </c>
      <c r="K40">
        <v>40</v>
      </c>
      <c r="L40">
        <v>54</v>
      </c>
      <c r="M40">
        <v>6</v>
      </c>
      <c r="N40">
        <v>1995</v>
      </c>
      <c r="O40">
        <v>0.27</v>
      </c>
      <c r="P40">
        <v>2.4700000000000002</v>
      </c>
      <c r="Q40">
        <v>1.4999999999999999E-2</v>
      </c>
      <c r="R40">
        <v>60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356.70565850846708</v>
      </c>
      <c r="B41">
        <v>24.73863636363637</v>
      </c>
      <c r="C41">
        <v>10.09327908319778</v>
      </c>
      <c r="D41">
        <v>1095.5712000000001</v>
      </c>
      <c r="E41">
        <v>680.91388147346254</v>
      </c>
      <c r="F41">
        <v>249.20063999999999</v>
      </c>
      <c r="G41">
        <v>69.044880000000006</v>
      </c>
      <c r="H41">
        <v>95</v>
      </c>
      <c r="I41">
        <v>57</v>
      </c>
      <c r="J41">
        <v>5</v>
      </c>
      <c r="K41">
        <v>161</v>
      </c>
      <c r="L41">
        <v>56</v>
      </c>
      <c r="M41">
        <v>23</v>
      </c>
      <c r="N41">
        <v>1995</v>
      </c>
      <c r="O41">
        <v>0.27</v>
      </c>
      <c r="P41">
        <v>2.4700000000000002</v>
      </c>
      <c r="Q41">
        <v>1.4999999999999999E-2</v>
      </c>
      <c r="R41">
        <v>60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368.71455180561492</v>
      </c>
      <c r="B42">
        <v>25.666666666666671</v>
      </c>
      <c r="C42">
        <v>10.055851412880401</v>
      </c>
      <c r="D42">
        <v>478.85399999999998</v>
      </c>
      <c r="E42">
        <v>686.40358925598571</v>
      </c>
      <c r="F42">
        <v>231.63480000000001</v>
      </c>
      <c r="G42">
        <v>71.476600000000005</v>
      </c>
      <c r="H42">
        <v>164</v>
      </c>
      <c r="I42">
        <v>55</v>
      </c>
      <c r="J42">
        <v>5</v>
      </c>
      <c r="K42">
        <v>143</v>
      </c>
      <c r="L42">
        <v>58</v>
      </c>
      <c r="M42">
        <v>8</v>
      </c>
      <c r="N42">
        <v>1995</v>
      </c>
      <c r="O42">
        <v>0.27</v>
      </c>
      <c r="P42">
        <v>2.4700000000000002</v>
      </c>
      <c r="Q42">
        <v>1.4999999999999999E-2</v>
      </c>
      <c r="R42">
        <v>60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418.58990066428231</v>
      </c>
      <c r="B43">
        <v>29.4</v>
      </c>
      <c r="C43">
        <v>9.966426206292434</v>
      </c>
      <c r="D43">
        <v>421.67039999999997</v>
      </c>
      <c r="E43">
        <v>663.55684647302905</v>
      </c>
      <c r="F43">
        <v>223.43680000000001</v>
      </c>
      <c r="G43">
        <v>80.63839999999999</v>
      </c>
      <c r="H43">
        <v>39</v>
      </c>
      <c r="I43">
        <v>57</v>
      </c>
      <c r="J43">
        <v>9</v>
      </c>
      <c r="K43">
        <v>163</v>
      </c>
      <c r="L43">
        <v>56</v>
      </c>
      <c r="M43">
        <v>4</v>
      </c>
      <c r="N43">
        <v>1995</v>
      </c>
      <c r="O43">
        <v>0.27</v>
      </c>
      <c r="P43">
        <v>2.4700000000000002</v>
      </c>
      <c r="Q43">
        <v>1.4999999999999999E-2</v>
      </c>
      <c r="R43">
        <v>60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317.00602219441998</v>
      </c>
      <c r="B44">
        <v>22.4</v>
      </c>
      <c r="C44">
        <v>9.9064381935756245</v>
      </c>
      <c r="D44">
        <v>428.96800000000002</v>
      </c>
      <c r="E44">
        <v>681.69294605809125</v>
      </c>
      <c r="F44">
        <v>225.46799999999999</v>
      </c>
      <c r="G44">
        <v>61.373600000000003</v>
      </c>
      <c r="H44">
        <v>6</v>
      </c>
      <c r="I44">
        <v>55</v>
      </c>
      <c r="J44">
        <v>5</v>
      </c>
      <c r="K44">
        <v>57</v>
      </c>
      <c r="L44">
        <v>59</v>
      </c>
      <c r="M44">
        <v>6</v>
      </c>
      <c r="N44">
        <v>1995</v>
      </c>
      <c r="O44">
        <v>0.27</v>
      </c>
      <c r="P44">
        <v>2.4700000000000002</v>
      </c>
      <c r="Q44">
        <v>1.4999999999999999E-2</v>
      </c>
      <c r="R44">
        <v>60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335.53747377712517</v>
      </c>
      <c r="B45">
        <v>23.744</v>
      </c>
      <c r="C45">
        <v>9.8920245806935512</v>
      </c>
      <c r="D45">
        <v>513.02700000000004</v>
      </c>
      <c r="E45">
        <v>688.63734439834025</v>
      </c>
      <c r="F45">
        <v>406.17</v>
      </c>
      <c r="G45">
        <v>65.084819999999993</v>
      </c>
      <c r="H45">
        <v>36</v>
      </c>
      <c r="I45">
        <v>62</v>
      </c>
      <c r="J45">
        <v>5</v>
      </c>
      <c r="K45">
        <v>40</v>
      </c>
      <c r="L45">
        <v>54</v>
      </c>
      <c r="M45">
        <v>6</v>
      </c>
      <c r="N45">
        <v>1995</v>
      </c>
      <c r="O45">
        <v>0.27</v>
      </c>
      <c r="P45">
        <v>2.4700000000000002</v>
      </c>
      <c r="Q45">
        <v>1.4999999999999999E-2</v>
      </c>
      <c r="R45">
        <v>60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329.26477166524609</v>
      </c>
      <c r="B46">
        <v>23.744</v>
      </c>
      <c r="C46">
        <v>9.7070982212631503</v>
      </c>
      <c r="D46">
        <v>595.87</v>
      </c>
      <c r="E46">
        <v>687.00414937759342</v>
      </c>
      <c r="F46">
        <v>403.084</v>
      </c>
      <c r="G46">
        <v>63.839599999999997</v>
      </c>
      <c r="H46">
        <v>43</v>
      </c>
      <c r="I46">
        <v>55</v>
      </c>
      <c r="J46">
        <v>4</v>
      </c>
      <c r="K46">
        <v>40</v>
      </c>
      <c r="L46">
        <v>64</v>
      </c>
      <c r="M46">
        <v>5</v>
      </c>
      <c r="N46">
        <v>1995</v>
      </c>
      <c r="O46">
        <v>0.27</v>
      </c>
      <c r="P46">
        <v>2.4700000000000002</v>
      </c>
      <c r="Q46">
        <v>1.4999999999999999E-2</v>
      </c>
      <c r="R46">
        <v>60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337.91898059619928</v>
      </c>
      <c r="B47">
        <v>24.5</v>
      </c>
      <c r="C47">
        <v>9.6548280170342657</v>
      </c>
      <c r="D47">
        <v>451.50749999999999</v>
      </c>
      <c r="E47">
        <v>690.07468879668045</v>
      </c>
      <c r="F47">
        <v>236.27250000000001</v>
      </c>
      <c r="G47">
        <v>65.572500000000005</v>
      </c>
      <c r="H47">
        <v>22</v>
      </c>
      <c r="I47">
        <v>53</v>
      </c>
      <c r="J47">
        <v>3</v>
      </c>
      <c r="K47">
        <v>53</v>
      </c>
      <c r="L47">
        <v>52</v>
      </c>
      <c r="M47">
        <v>5</v>
      </c>
      <c r="N47">
        <v>1995</v>
      </c>
      <c r="O47">
        <v>0.27</v>
      </c>
      <c r="P47">
        <v>2.4700000000000002</v>
      </c>
      <c r="Q47">
        <v>1.4999999999999999E-2</v>
      </c>
      <c r="R47">
        <v>60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384.33571179407193</v>
      </c>
      <c r="B48">
        <v>28</v>
      </c>
      <c r="C48">
        <v>9.6083927948517971</v>
      </c>
      <c r="D48">
        <v>531.73239999999998</v>
      </c>
      <c r="E48">
        <v>690.76348547717839</v>
      </c>
      <c r="F48">
        <v>222.75960000000001</v>
      </c>
      <c r="G48">
        <v>74.593600000000009</v>
      </c>
      <c r="H48">
        <v>8</v>
      </c>
      <c r="I48">
        <v>51</v>
      </c>
      <c r="J48">
        <v>5</v>
      </c>
      <c r="K48">
        <v>52</v>
      </c>
      <c r="L48">
        <v>62</v>
      </c>
      <c r="M48">
        <v>4</v>
      </c>
      <c r="N48">
        <v>1995</v>
      </c>
      <c r="O48">
        <v>0.27</v>
      </c>
      <c r="P48">
        <v>2.4700000000000002</v>
      </c>
      <c r="Q48">
        <v>1.4999999999999999E-2</v>
      </c>
      <c r="R48">
        <v>60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352.21826897124947</v>
      </c>
      <c r="B49">
        <v>25.666666666666671</v>
      </c>
      <c r="C49">
        <v>9.6059527901249862</v>
      </c>
      <c r="D49">
        <v>592.34040000000016</v>
      </c>
      <c r="E49">
        <v>687.57076692156329</v>
      </c>
      <c r="F49">
        <v>233.20656</v>
      </c>
      <c r="G49">
        <v>68.300520000000006</v>
      </c>
      <c r="H49">
        <v>164</v>
      </c>
      <c r="I49">
        <v>51</v>
      </c>
      <c r="J49">
        <v>5</v>
      </c>
      <c r="K49">
        <v>162</v>
      </c>
      <c r="L49">
        <v>61</v>
      </c>
      <c r="M49">
        <v>13</v>
      </c>
      <c r="N49">
        <v>1995</v>
      </c>
      <c r="O49">
        <v>0.27</v>
      </c>
      <c r="P49">
        <v>2.4700000000000002</v>
      </c>
      <c r="Q49">
        <v>1.4999999999999999E-2</v>
      </c>
      <c r="R49">
        <v>60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382.97221458275078</v>
      </c>
      <c r="B50">
        <v>28</v>
      </c>
      <c r="C50">
        <v>9.5743053645687688</v>
      </c>
      <c r="D50">
        <v>371.58</v>
      </c>
      <c r="E50">
        <v>690.12448132780082</v>
      </c>
      <c r="F50">
        <v>222.94800000000001</v>
      </c>
      <c r="G50">
        <v>74.316000000000017</v>
      </c>
      <c r="H50">
        <v>52</v>
      </c>
      <c r="I50">
        <v>55</v>
      </c>
      <c r="J50">
        <v>12</v>
      </c>
      <c r="K50">
        <v>53</v>
      </c>
      <c r="L50">
        <v>55</v>
      </c>
      <c r="M50">
        <v>4</v>
      </c>
      <c r="N50">
        <v>1995</v>
      </c>
      <c r="O50">
        <v>0.27</v>
      </c>
      <c r="P50">
        <v>2.4700000000000002</v>
      </c>
      <c r="Q50">
        <v>1.4999999999999999E-2</v>
      </c>
      <c r="R50">
        <v>60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400.36604723702891</v>
      </c>
      <c r="B51">
        <v>29.400000000000009</v>
      </c>
      <c r="C51">
        <v>9.5325249342149707</v>
      </c>
      <c r="D51">
        <v>487.5009</v>
      </c>
      <c r="E51">
        <v>689.45394190871366</v>
      </c>
      <c r="F51">
        <v>313.06662</v>
      </c>
      <c r="G51">
        <v>77.677059999999997</v>
      </c>
      <c r="H51">
        <v>163</v>
      </c>
      <c r="I51">
        <v>55</v>
      </c>
      <c r="J51">
        <v>11</v>
      </c>
      <c r="K51">
        <v>142</v>
      </c>
      <c r="L51">
        <v>56</v>
      </c>
      <c r="M51">
        <v>16</v>
      </c>
      <c r="N51">
        <v>1995</v>
      </c>
      <c r="O51">
        <v>0.27</v>
      </c>
      <c r="P51">
        <v>2.4700000000000002</v>
      </c>
      <c r="Q51">
        <v>1.4999999999999999E-2</v>
      </c>
      <c r="R51">
        <v>60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336.16994800279087</v>
      </c>
      <c r="B52">
        <v>24.73863636363637</v>
      </c>
      <c r="C52">
        <v>9.5122043164776819</v>
      </c>
      <c r="D52">
        <v>476.928</v>
      </c>
      <c r="E52">
        <v>685.49883518459228</v>
      </c>
      <c r="F52">
        <v>229.7088</v>
      </c>
      <c r="G52">
        <v>65.151600000000002</v>
      </c>
      <c r="H52">
        <v>95</v>
      </c>
      <c r="I52">
        <v>55</v>
      </c>
      <c r="J52">
        <v>5</v>
      </c>
      <c r="K52">
        <v>143</v>
      </c>
      <c r="L52">
        <v>58</v>
      </c>
      <c r="M52">
        <v>8</v>
      </c>
      <c r="N52">
        <v>1995</v>
      </c>
      <c r="O52">
        <v>0.27</v>
      </c>
      <c r="P52">
        <v>2.4700000000000002</v>
      </c>
      <c r="Q52">
        <v>1.4999999999999999E-2</v>
      </c>
      <c r="R52">
        <v>60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395.36350593872629</v>
      </c>
      <c r="B53">
        <v>29.4</v>
      </c>
      <c r="C53">
        <v>9.4134168080649161</v>
      </c>
      <c r="D53">
        <v>504.28680000000003</v>
      </c>
      <c r="E53">
        <v>689.21327800829874</v>
      </c>
      <c r="F53">
        <v>219.52005</v>
      </c>
      <c r="G53">
        <v>76.701449999999994</v>
      </c>
      <c r="H53">
        <v>39</v>
      </c>
      <c r="I53">
        <v>52</v>
      </c>
      <c r="J53">
        <v>9</v>
      </c>
      <c r="K53">
        <v>96</v>
      </c>
      <c r="L53">
        <v>57</v>
      </c>
      <c r="M53">
        <v>19</v>
      </c>
      <c r="N53">
        <v>1995</v>
      </c>
      <c r="O53">
        <v>0.27</v>
      </c>
      <c r="P53">
        <v>2.4700000000000002</v>
      </c>
      <c r="Q53">
        <v>1.4999999999999999E-2</v>
      </c>
      <c r="R53">
        <v>60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388.6501224076265</v>
      </c>
      <c r="B54">
        <v>29.400000000000009</v>
      </c>
      <c r="C54">
        <v>9.2535743430387249</v>
      </c>
      <c r="D54">
        <v>429.41520000000003</v>
      </c>
      <c r="E54">
        <v>691.82406639004148</v>
      </c>
      <c r="F54">
        <v>212.6344</v>
      </c>
      <c r="G54">
        <v>75.452799999999982</v>
      </c>
      <c r="H54">
        <v>39</v>
      </c>
      <c r="I54">
        <v>58</v>
      </c>
      <c r="J54">
        <v>8</v>
      </c>
      <c r="K54">
        <v>57</v>
      </c>
      <c r="L54">
        <v>52</v>
      </c>
      <c r="M54">
        <v>7</v>
      </c>
      <c r="N54">
        <v>1995</v>
      </c>
      <c r="O54">
        <v>0.27</v>
      </c>
      <c r="P54">
        <v>2.4700000000000002</v>
      </c>
      <c r="Q54">
        <v>1.4999999999999999E-2</v>
      </c>
      <c r="R54">
        <v>60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322.07656541233371</v>
      </c>
      <c r="B55">
        <v>24.5</v>
      </c>
      <c r="C55">
        <v>9.2021875832095343</v>
      </c>
      <c r="D55">
        <v>526.31136000000015</v>
      </c>
      <c r="E55">
        <v>682.20411551035932</v>
      </c>
      <c r="F55">
        <v>202.46976000000001</v>
      </c>
      <c r="G55">
        <v>62.363999999999997</v>
      </c>
      <c r="H55">
        <v>8</v>
      </c>
      <c r="I55">
        <v>50</v>
      </c>
      <c r="J55">
        <v>4</v>
      </c>
      <c r="K55">
        <v>147</v>
      </c>
      <c r="L55">
        <v>63</v>
      </c>
      <c r="M55">
        <v>2</v>
      </c>
      <c r="N55">
        <v>1995</v>
      </c>
      <c r="O55">
        <v>0.27</v>
      </c>
      <c r="P55">
        <v>2.4700000000000002</v>
      </c>
      <c r="Q55">
        <v>1.4999999999999999E-2</v>
      </c>
      <c r="R55">
        <v>60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321.74568952819828</v>
      </c>
      <c r="B56">
        <v>24.5</v>
      </c>
      <c r="C56">
        <v>9.1927339865199524</v>
      </c>
      <c r="D56">
        <v>483.072</v>
      </c>
      <c r="E56">
        <v>687.45228215767634</v>
      </c>
      <c r="F56">
        <v>221.11199999999999</v>
      </c>
      <c r="G56">
        <v>62.389400000000002</v>
      </c>
      <c r="H56">
        <v>22</v>
      </c>
      <c r="I56">
        <v>50</v>
      </c>
      <c r="J56">
        <v>3</v>
      </c>
      <c r="K56">
        <v>7</v>
      </c>
      <c r="L56">
        <v>61</v>
      </c>
      <c r="M56">
        <v>2</v>
      </c>
      <c r="N56">
        <v>1995</v>
      </c>
      <c r="O56">
        <v>0.27</v>
      </c>
      <c r="P56">
        <v>2.4700000000000002</v>
      </c>
      <c r="Q56">
        <v>1.4999999999999999E-2</v>
      </c>
      <c r="R56">
        <v>60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367.17780678808509</v>
      </c>
      <c r="B57">
        <v>28</v>
      </c>
      <c r="C57">
        <v>9.1794451697021291</v>
      </c>
      <c r="D57">
        <v>559.41888000000017</v>
      </c>
      <c r="E57">
        <v>688.03319502074692</v>
      </c>
      <c r="F57">
        <v>209.78208000000001</v>
      </c>
      <c r="G57">
        <v>71.210399999999993</v>
      </c>
      <c r="H57">
        <v>8</v>
      </c>
      <c r="I57">
        <v>60</v>
      </c>
      <c r="J57">
        <v>4</v>
      </c>
      <c r="K57">
        <v>6</v>
      </c>
      <c r="L57">
        <v>47</v>
      </c>
      <c r="M57">
        <v>3</v>
      </c>
      <c r="N57">
        <v>1995</v>
      </c>
      <c r="O57">
        <v>0.27</v>
      </c>
      <c r="P57">
        <v>2.4700000000000002</v>
      </c>
      <c r="Q57">
        <v>1.4999999999999999E-2</v>
      </c>
      <c r="R57">
        <v>60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320.44516913578849</v>
      </c>
      <c r="B58">
        <v>24.5</v>
      </c>
      <c r="C58">
        <v>9.1555762610225297</v>
      </c>
      <c r="D58">
        <v>1197.0239999999999</v>
      </c>
      <c r="E58">
        <v>673.10373443983394</v>
      </c>
      <c r="F58">
        <v>225.64080000000001</v>
      </c>
      <c r="G58">
        <v>61.893600000000013</v>
      </c>
      <c r="H58">
        <v>22</v>
      </c>
      <c r="I58">
        <v>48</v>
      </c>
      <c r="J58">
        <v>3</v>
      </c>
      <c r="K58">
        <v>161</v>
      </c>
      <c r="L58">
        <v>65</v>
      </c>
      <c r="M58">
        <v>19</v>
      </c>
      <c r="N58">
        <v>1995</v>
      </c>
      <c r="O58">
        <v>0.27</v>
      </c>
      <c r="P58">
        <v>2.4700000000000002</v>
      </c>
      <c r="Q58">
        <v>1.4999999999999999E-2</v>
      </c>
      <c r="R58">
        <v>60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365.00780024205233</v>
      </c>
      <c r="B59">
        <v>28</v>
      </c>
      <c r="C59">
        <v>9.1251950060513085</v>
      </c>
      <c r="D59">
        <v>497.1875</v>
      </c>
      <c r="E59">
        <v>688.54771784232366</v>
      </c>
      <c r="F59">
        <v>209.90100000000001</v>
      </c>
      <c r="G59">
        <v>70.799499999999995</v>
      </c>
      <c r="H59">
        <v>9</v>
      </c>
      <c r="I59">
        <v>60</v>
      </c>
      <c r="J59">
        <v>3</v>
      </c>
      <c r="K59">
        <v>52</v>
      </c>
      <c r="L59">
        <v>49</v>
      </c>
      <c r="M59">
        <v>5</v>
      </c>
      <c r="N59">
        <v>1995</v>
      </c>
      <c r="O59">
        <v>0.27</v>
      </c>
      <c r="P59">
        <v>2.4700000000000002</v>
      </c>
      <c r="Q59">
        <v>1.4999999999999999E-2</v>
      </c>
      <c r="R59">
        <v>60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383.0693688102229</v>
      </c>
      <c r="B60">
        <v>29.400000000000009</v>
      </c>
      <c r="C60">
        <v>9.1206992573862564</v>
      </c>
      <c r="D60">
        <v>425.97120000000001</v>
      </c>
      <c r="E60">
        <v>691.12697095435692</v>
      </c>
      <c r="F60">
        <v>209.19040000000001</v>
      </c>
      <c r="G60">
        <v>74.355199999999996</v>
      </c>
      <c r="H60">
        <v>39</v>
      </c>
      <c r="I60">
        <v>58</v>
      </c>
      <c r="J60">
        <v>8</v>
      </c>
      <c r="K60">
        <v>295</v>
      </c>
      <c r="L60">
        <v>50</v>
      </c>
      <c r="M60">
        <v>7</v>
      </c>
      <c r="N60">
        <v>1995</v>
      </c>
      <c r="O60">
        <v>0.27</v>
      </c>
      <c r="P60">
        <v>2.4700000000000002</v>
      </c>
      <c r="Q60">
        <v>1.4999999999999999E-2</v>
      </c>
      <c r="R60">
        <v>60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322.046932067765</v>
      </c>
      <c r="B61">
        <v>24.73863636363637</v>
      </c>
      <c r="C61">
        <v>9.1125820006312921</v>
      </c>
      <c r="D61">
        <v>580.9104000000001</v>
      </c>
      <c r="E61">
        <v>686.73181314627118</v>
      </c>
      <c r="F61">
        <v>221.77655999999999</v>
      </c>
      <c r="G61">
        <v>62.435519999999997</v>
      </c>
      <c r="H61">
        <v>95</v>
      </c>
      <c r="I61">
        <v>51</v>
      </c>
      <c r="J61">
        <v>5</v>
      </c>
      <c r="K61">
        <v>162</v>
      </c>
      <c r="L61">
        <v>61</v>
      </c>
      <c r="M61">
        <v>13</v>
      </c>
      <c r="N61">
        <v>1995</v>
      </c>
      <c r="O61">
        <v>0.27</v>
      </c>
      <c r="P61">
        <v>2.4700000000000002</v>
      </c>
      <c r="Q61">
        <v>1.4999999999999999E-2</v>
      </c>
      <c r="R61">
        <v>60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382.06584324124839</v>
      </c>
      <c r="B62">
        <v>29.400000000000009</v>
      </c>
      <c r="C62">
        <v>9.096805791458296</v>
      </c>
      <c r="D62">
        <v>1005.5194</v>
      </c>
      <c r="E62">
        <v>680.64398340248965</v>
      </c>
      <c r="F62">
        <v>192.3408</v>
      </c>
      <c r="G62">
        <v>73.9482</v>
      </c>
      <c r="H62">
        <v>142</v>
      </c>
      <c r="I62">
        <v>61</v>
      </c>
      <c r="J62">
        <v>40</v>
      </c>
      <c r="K62">
        <v>96</v>
      </c>
      <c r="L62">
        <v>52</v>
      </c>
      <c r="M62">
        <v>14</v>
      </c>
      <c r="N62">
        <v>1995</v>
      </c>
      <c r="O62">
        <v>0.27</v>
      </c>
      <c r="P62">
        <v>2.4700000000000002</v>
      </c>
      <c r="Q62">
        <v>1.4999999999999999E-2</v>
      </c>
      <c r="R62">
        <v>60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363.4971315844075</v>
      </c>
      <c r="B63">
        <v>28</v>
      </c>
      <c r="C63">
        <v>9.0874282896101874</v>
      </c>
      <c r="D63">
        <v>557.39184000000012</v>
      </c>
      <c r="E63">
        <v>688.54771784232366</v>
      </c>
      <c r="F63">
        <v>209.02194</v>
      </c>
      <c r="G63">
        <v>70.50648000000001</v>
      </c>
      <c r="H63">
        <v>9</v>
      </c>
      <c r="I63">
        <v>60</v>
      </c>
      <c r="J63">
        <v>3</v>
      </c>
      <c r="K63">
        <v>8</v>
      </c>
      <c r="L63">
        <v>49</v>
      </c>
      <c r="M63">
        <v>2</v>
      </c>
      <c r="N63">
        <v>1995</v>
      </c>
      <c r="O63">
        <v>0.27</v>
      </c>
      <c r="P63">
        <v>2.4700000000000002</v>
      </c>
      <c r="Q63">
        <v>1.4999999999999999E-2</v>
      </c>
      <c r="R63">
        <v>60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362.25879151748632</v>
      </c>
      <c r="B64">
        <v>28</v>
      </c>
      <c r="C64">
        <v>9.0564697879371572</v>
      </c>
      <c r="D64">
        <v>1149.0201999999999</v>
      </c>
      <c r="E64">
        <v>679.27800829875514</v>
      </c>
      <c r="F64">
        <v>209.03963999999999</v>
      </c>
      <c r="G64">
        <v>70.088360000000009</v>
      </c>
      <c r="H64">
        <v>52</v>
      </c>
      <c r="I64">
        <v>55</v>
      </c>
      <c r="J64">
        <v>10</v>
      </c>
      <c r="K64">
        <v>161</v>
      </c>
      <c r="L64">
        <v>57</v>
      </c>
      <c r="M64">
        <v>23</v>
      </c>
      <c r="N64">
        <v>1995</v>
      </c>
      <c r="O64">
        <v>0.27</v>
      </c>
      <c r="P64">
        <v>2.4700000000000002</v>
      </c>
      <c r="Q64">
        <v>1.4999999999999999E-2</v>
      </c>
      <c r="R64">
        <v>60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316.85621396001278</v>
      </c>
      <c r="B65">
        <v>24.5</v>
      </c>
      <c r="C65">
        <v>9.0530346845717951</v>
      </c>
      <c r="D65">
        <v>732.6</v>
      </c>
      <c r="E65">
        <v>687.28630705394198</v>
      </c>
      <c r="F65">
        <v>221.77799999999999</v>
      </c>
      <c r="G65">
        <v>61.438499999999998</v>
      </c>
      <c r="H65">
        <v>22</v>
      </c>
      <c r="I65">
        <v>49</v>
      </c>
      <c r="J65">
        <v>3</v>
      </c>
      <c r="K65">
        <v>2</v>
      </c>
      <c r="L65">
        <v>62</v>
      </c>
      <c r="M65">
        <v>3</v>
      </c>
      <c r="N65">
        <v>1995</v>
      </c>
      <c r="O65">
        <v>0.27</v>
      </c>
      <c r="P65">
        <v>2.4700000000000002</v>
      </c>
      <c r="Q65">
        <v>1.4999999999999999E-2</v>
      </c>
      <c r="R65">
        <v>60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361.30895684890032</v>
      </c>
      <c r="B66">
        <v>28</v>
      </c>
      <c r="C66">
        <v>9.0327239212225088</v>
      </c>
      <c r="D66">
        <v>471.48750000000001</v>
      </c>
      <c r="E66">
        <v>691.96680497925308</v>
      </c>
      <c r="F66">
        <v>200.47499999999999</v>
      </c>
      <c r="G66">
        <v>70.147499999999994</v>
      </c>
      <c r="H66">
        <v>9</v>
      </c>
      <c r="I66">
        <v>58</v>
      </c>
      <c r="J66">
        <v>3</v>
      </c>
      <c r="K66">
        <v>53</v>
      </c>
      <c r="L66">
        <v>53</v>
      </c>
      <c r="M66">
        <v>5</v>
      </c>
      <c r="N66">
        <v>1995</v>
      </c>
      <c r="O66">
        <v>0.27</v>
      </c>
      <c r="P66">
        <v>2.4700000000000002</v>
      </c>
      <c r="Q66">
        <v>1.4999999999999999E-2</v>
      </c>
      <c r="R66">
        <v>60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420.49220735145798</v>
      </c>
      <c r="B67">
        <v>32.666666666666657</v>
      </c>
      <c r="C67">
        <v>9.0105473003883869</v>
      </c>
      <c r="D67">
        <v>537.50362500000006</v>
      </c>
      <c r="E67">
        <v>680.75246870561125</v>
      </c>
      <c r="F67">
        <v>258.67995000000002</v>
      </c>
      <c r="G67">
        <v>81.387975000000012</v>
      </c>
      <c r="H67">
        <v>164</v>
      </c>
      <c r="I67">
        <v>54</v>
      </c>
      <c r="J67">
        <v>6</v>
      </c>
      <c r="K67">
        <v>142</v>
      </c>
      <c r="L67">
        <v>59</v>
      </c>
      <c r="M67">
        <v>15</v>
      </c>
      <c r="N67">
        <v>1995</v>
      </c>
      <c r="O67">
        <v>0.27</v>
      </c>
      <c r="P67">
        <v>2.4700000000000002</v>
      </c>
      <c r="Q67">
        <v>1.4999999999999999E-2</v>
      </c>
      <c r="R67">
        <v>60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356.29792394930632</v>
      </c>
      <c r="B68">
        <v>28</v>
      </c>
      <c r="C68">
        <v>8.9074480987326581</v>
      </c>
      <c r="D68">
        <v>1275.6479999999999</v>
      </c>
      <c r="E68">
        <v>672.59751037344404</v>
      </c>
      <c r="F68">
        <v>206.42688000000001</v>
      </c>
      <c r="G68">
        <v>68.808960000000013</v>
      </c>
      <c r="H68">
        <v>8</v>
      </c>
      <c r="I68">
        <v>55</v>
      </c>
      <c r="J68">
        <v>4</v>
      </c>
      <c r="K68">
        <v>161</v>
      </c>
      <c r="L68">
        <v>58</v>
      </c>
      <c r="M68">
        <v>22</v>
      </c>
      <c r="N68">
        <v>1995</v>
      </c>
      <c r="O68">
        <v>0.27</v>
      </c>
      <c r="P68">
        <v>2.4700000000000002</v>
      </c>
      <c r="Q68">
        <v>1.4999999999999999E-2</v>
      </c>
      <c r="R68">
        <v>60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352.41449892574229</v>
      </c>
      <c r="B69">
        <v>28</v>
      </c>
      <c r="C69">
        <v>8.8103624731435577</v>
      </c>
      <c r="D69">
        <v>786.53760000000011</v>
      </c>
      <c r="E69">
        <v>685.41078838174269</v>
      </c>
      <c r="F69">
        <v>201.04560000000001</v>
      </c>
      <c r="G69">
        <v>68.298240000000007</v>
      </c>
      <c r="H69">
        <v>8</v>
      </c>
      <c r="I69">
        <v>56</v>
      </c>
      <c r="J69">
        <v>4</v>
      </c>
      <c r="K69">
        <v>2</v>
      </c>
      <c r="L69">
        <v>48</v>
      </c>
      <c r="M69">
        <v>4</v>
      </c>
      <c r="N69">
        <v>1995</v>
      </c>
      <c r="O69">
        <v>0.27</v>
      </c>
      <c r="P69">
        <v>2.4700000000000002</v>
      </c>
      <c r="Q69">
        <v>1.4999999999999999E-2</v>
      </c>
      <c r="R69">
        <v>60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352.07205184193617</v>
      </c>
      <c r="B70">
        <v>28</v>
      </c>
      <c r="C70">
        <v>8.8018012960484047</v>
      </c>
      <c r="D70">
        <v>480.7595</v>
      </c>
      <c r="E70">
        <v>691.15352697095432</v>
      </c>
      <c r="F70">
        <v>203.7405</v>
      </c>
      <c r="G70">
        <v>68.338999999999999</v>
      </c>
      <c r="H70">
        <v>6</v>
      </c>
      <c r="I70">
        <v>53</v>
      </c>
      <c r="J70">
        <v>6</v>
      </c>
      <c r="K70">
        <v>52</v>
      </c>
      <c r="L70">
        <v>50</v>
      </c>
      <c r="M70">
        <v>5</v>
      </c>
      <c r="N70">
        <v>1995</v>
      </c>
      <c r="O70">
        <v>0.27</v>
      </c>
      <c r="P70">
        <v>2.4700000000000002</v>
      </c>
      <c r="Q70">
        <v>1.4999999999999999E-2</v>
      </c>
      <c r="R70">
        <v>60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358.07523091362327</v>
      </c>
      <c r="B71">
        <v>28.592307692307688</v>
      </c>
      <c r="C71">
        <v>8.7664369150227941</v>
      </c>
      <c r="D71">
        <v>792.54</v>
      </c>
      <c r="E71">
        <v>675.56514522821567</v>
      </c>
      <c r="F71">
        <v>278.35248000000001</v>
      </c>
      <c r="G71">
        <v>69.208500000000001</v>
      </c>
      <c r="H71">
        <v>163</v>
      </c>
      <c r="I71">
        <v>57</v>
      </c>
      <c r="J71">
        <v>9</v>
      </c>
      <c r="K71">
        <v>293</v>
      </c>
      <c r="L71">
        <v>56</v>
      </c>
      <c r="M71">
        <v>21</v>
      </c>
      <c r="N71">
        <v>1995</v>
      </c>
      <c r="O71">
        <v>0.27</v>
      </c>
      <c r="P71">
        <v>2.4700000000000002</v>
      </c>
      <c r="Q71">
        <v>1.4999999999999999E-2</v>
      </c>
      <c r="R71">
        <v>60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350.18784778332707</v>
      </c>
      <c r="B72">
        <v>28</v>
      </c>
      <c r="C72">
        <v>8.7546961945831789</v>
      </c>
      <c r="D72">
        <v>533.24400000000003</v>
      </c>
      <c r="E72">
        <v>688.92946058091286</v>
      </c>
      <c r="F72">
        <v>199.9665</v>
      </c>
      <c r="G72">
        <v>67.932000000000002</v>
      </c>
      <c r="H72">
        <v>9</v>
      </c>
      <c r="I72">
        <v>56</v>
      </c>
      <c r="J72">
        <v>3</v>
      </c>
      <c r="K72">
        <v>6</v>
      </c>
      <c r="L72">
        <v>48</v>
      </c>
      <c r="M72">
        <v>3</v>
      </c>
      <c r="N72">
        <v>1995</v>
      </c>
      <c r="O72">
        <v>0.27</v>
      </c>
      <c r="P72">
        <v>2.4700000000000002</v>
      </c>
      <c r="Q72">
        <v>1.4999999999999999E-2</v>
      </c>
      <c r="R72">
        <v>60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349.53657430919338</v>
      </c>
      <c r="B73">
        <v>28</v>
      </c>
      <c r="C73">
        <v>8.7384143577298357</v>
      </c>
      <c r="D73">
        <v>1129.2203999999999</v>
      </c>
      <c r="E73">
        <v>677.95850622406635</v>
      </c>
      <c r="F73">
        <v>201.63527999999999</v>
      </c>
      <c r="G73">
        <v>67.602480000000014</v>
      </c>
      <c r="H73">
        <v>53</v>
      </c>
      <c r="I73">
        <v>54</v>
      </c>
      <c r="J73">
        <v>10</v>
      </c>
      <c r="K73">
        <v>161</v>
      </c>
      <c r="L73">
        <v>59</v>
      </c>
      <c r="M73">
        <v>22</v>
      </c>
      <c r="N73">
        <v>1995</v>
      </c>
      <c r="O73">
        <v>0.27</v>
      </c>
      <c r="P73">
        <v>2.4700000000000002</v>
      </c>
      <c r="Q73">
        <v>1.4999999999999999E-2</v>
      </c>
      <c r="R73">
        <v>60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346.84549115865792</v>
      </c>
      <c r="B74">
        <v>28</v>
      </c>
      <c r="C74">
        <v>8.671137278966448</v>
      </c>
      <c r="D74">
        <v>482.81279999999998</v>
      </c>
      <c r="E74">
        <v>687.07798353975454</v>
      </c>
      <c r="F74">
        <v>213.81440000000001</v>
      </c>
      <c r="G74">
        <v>67.249599999999987</v>
      </c>
      <c r="H74">
        <v>39</v>
      </c>
      <c r="I74">
        <v>58</v>
      </c>
      <c r="J74">
        <v>7</v>
      </c>
      <c r="K74">
        <v>235</v>
      </c>
      <c r="L74">
        <v>51</v>
      </c>
      <c r="M74">
        <v>4</v>
      </c>
      <c r="N74">
        <v>1995</v>
      </c>
      <c r="O74">
        <v>0.27</v>
      </c>
      <c r="P74">
        <v>2.4700000000000002</v>
      </c>
      <c r="Q74">
        <v>1.4999999999999999E-2</v>
      </c>
      <c r="R74">
        <v>60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346.58251257320171</v>
      </c>
      <c r="B75">
        <v>28</v>
      </c>
      <c r="C75">
        <v>8.6645628143300417</v>
      </c>
      <c r="D75">
        <v>477.5745</v>
      </c>
      <c r="E75">
        <v>691.31950207468867</v>
      </c>
      <c r="F75">
        <v>201.8295</v>
      </c>
      <c r="G75">
        <v>67.276499999999999</v>
      </c>
      <c r="H75">
        <v>6</v>
      </c>
      <c r="I75">
        <v>53</v>
      </c>
      <c r="J75">
        <v>6</v>
      </c>
      <c r="K75">
        <v>53</v>
      </c>
      <c r="L75">
        <v>49</v>
      </c>
      <c r="M75">
        <v>5</v>
      </c>
      <c r="N75">
        <v>1995</v>
      </c>
      <c r="O75">
        <v>0.27</v>
      </c>
      <c r="P75">
        <v>2.4700000000000002</v>
      </c>
      <c r="Q75">
        <v>1.4999999999999999E-2</v>
      </c>
      <c r="R75">
        <v>60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346.38572755705411</v>
      </c>
      <c r="B76">
        <v>28</v>
      </c>
      <c r="C76">
        <v>8.659643188926351</v>
      </c>
      <c r="D76">
        <v>531.32000000000005</v>
      </c>
      <c r="E76">
        <v>688.79668049792531</v>
      </c>
      <c r="F76">
        <v>201.57599999999999</v>
      </c>
      <c r="G76">
        <v>67.191999999999993</v>
      </c>
      <c r="H76">
        <v>52</v>
      </c>
      <c r="I76">
        <v>56</v>
      </c>
      <c r="J76">
        <v>10</v>
      </c>
      <c r="K76">
        <v>143</v>
      </c>
      <c r="L76">
        <v>55</v>
      </c>
      <c r="M76">
        <v>8</v>
      </c>
      <c r="N76">
        <v>1995</v>
      </c>
      <c r="O76">
        <v>0.27</v>
      </c>
      <c r="P76">
        <v>2.4700000000000002</v>
      </c>
      <c r="Q76">
        <v>1.4999999999999999E-2</v>
      </c>
      <c r="R76">
        <v>60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344.66104182642692</v>
      </c>
      <c r="B77">
        <v>28</v>
      </c>
      <c r="C77">
        <v>8.616526045660672</v>
      </c>
      <c r="D77">
        <v>431.38560000000001</v>
      </c>
      <c r="E77">
        <v>690.20701837971546</v>
      </c>
      <c r="F77">
        <v>200.64959999999999</v>
      </c>
      <c r="G77">
        <v>66.883200000000016</v>
      </c>
      <c r="H77">
        <v>8</v>
      </c>
      <c r="I77">
        <v>55</v>
      </c>
      <c r="J77">
        <v>4</v>
      </c>
      <c r="K77">
        <v>93</v>
      </c>
      <c r="L77">
        <v>54</v>
      </c>
      <c r="M77">
        <v>3</v>
      </c>
      <c r="N77">
        <v>1995</v>
      </c>
      <c r="O77">
        <v>0.27</v>
      </c>
      <c r="P77">
        <v>2.4700000000000002</v>
      </c>
      <c r="Q77">
        <v>1.4999999999999999E-2</v>
      </c>
      <c r="R77">
        <v>60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430.29115574585552</v>
      </c>
      <c r="B78">
        <v>35</v>
      </c>
      <c r="C78">
        <v>8.6058231149171096</v>
      </c>
      <c r="D78">
        <v>461.63040000000001</v>
      </c>
      <c r="E78">
        <v>690.02489626556019</v>
      </c>
      <c r="F78">
        <v>181.1088</v>
      </c>
      <c r="G78">
        <v>83.495999999999995</v>
      </c>
      <c r="H78">
        <v>39</v>
      </c>
      <c r="I78">
        <v>60</v>
      </c>
      <c r="J78">
        <v>9</v>
      </c>
      <c r="K78">
        <v>52</v>
      </c>
      <c r="L78">
        <v>48</v>
      </c>
      <c r="M78">
        <v>5</v>
      </c>
      <c r="N78">
        <v>1995</v>
      </c>
      <c r="O78">
        <v>0.27</v>
      </c>
      <c r="P78">
        <v>2.4700000000000002</v>
      </c>
      <c r="Q78">
        <v>1.4999999999999999E-2</v>
      </c>
      <c r="R78">
        <v>60</v>
      </c>
      <c r="S78">
        <v>700</v>
      </c>
      <c r="T78">
        <v>475</v>
      </c>
      <c r="U78">
        <v>275</v>
      </c>
      <c r="V78">
        <v>370</v>
      </c>
      <c r="W78">
        <v>155</v>
      </c>
    </row>
  </sheetData>
  <sortState xmlns:xlrd2="http://schemas.microsoft.com/office/spreadsheetml/2017/richdata2" ref="A2:W78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0FA69-C8D0-45C4-9F67-B9AF691538F8}">
  <sheetPr codeName="Sheet7"/>
  <dimension ref="A1:W638"/>
  <sheetViews>
    <sheetView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346.95433979671759</v>
      </c>
      <c r="B2">
        <v>11.144</v>
      </c>
      <c r="C2">
        <v>21.79361430883905</v>
      </c>
      <c r="D2">
        <v>539.49599999999998</v>
      </c>
      <c r="E2">
        <v>686.52614107883824</v>
      </c>
      <c r="F2">
        <v>560.58000000000004</v>
      </c>
      <c r="G2">
        <v>67.260559999999998</v>
      </c>
      <c r="H2">
        <v>163</v>
      </c>
      <c r="I2">
        <v>61</v>
      </c>
      <c r="J2">
        <v>8</v>
      </c>
      <c r="K2">
        <v>40</v>
      </c>
      <c r="L2">
        <v>57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65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356.4842740093776</v>
      </c>
      <c r="B3">
        <v>14.410666666666669</v>
      </c>
      <c r="C3">
        <v>17.316269786724948</v>
      </c>
      <c r="D3">
        <v>574.12800000000004</v>
      </c>
      <c r="E3">
        <v>667.07082282451188</v>
      </c>
      <c r="F3">
        <v>506.41199999999998</v>
      </c>
      <c r="G3">
        <v>68.740560000000002</v>
      </c>
      <c r="H3">
        <v>164</v>
      </c>
      <c r="I3">
        <v>63</v>
      </c>
      <c r="J3">
        <v>4</v>
      </c>
      <c r="K3">
        <v>40</v>
      </c>
      <c r="L3">
        <v>57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65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344.94916853677069</v>
      </c>
      <c r="B4">
        <v>14</v>
      </c>
      <c r="C4">
        <v>17.247458426838531</v>
      </c>
      <c r="D4">
        <v>523.56096000000002</v>
      </c>
      <c r="E4">
        <v>608.46473029045649</v>
      </c>
      <c r="F4">
        <v>196.33536000000001</v>
      </c>
      <c r="G4">
        <v>65.445120000000003</v>
      </c>
      <c r="H4">
        <v>8</v>
      </c>
      <c r="I4">
        <v>104</v>
      </c>
      <c r="J4">
        <v>3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65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338.39403762531617</v>
      </c>
      <c r="B5">
        <v>14</v>
      </c>
      <c r="C5">
        <v>16.919701881265809</v>
      </c>
      <c r="D5">
        <v>525.69600000000003</v>
      </c>
      <c r="E5">
        <v>692.71369294605802</v>
      </c>
      <c r="F5">
        <v>197.136</v>
      </c>
      <c r="G5">
        <v>65.712000000000003</v>
      </c>
      <c r="H5">
        <v>6</v>
      </c>
      <c r="I5">
        <v>111</v>
      </c>
      <c r="J5">
        <v>4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65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343.04314388702733</v>
      </c>
      <c r="B6">
        <v>16.744</v>
      </c>
      <c r="C6">
        <v>14.34126855714997</v>
      </c>
      <c r="D6">
        <v>628.40700000000004</v>
      </c>
      <c r="E6">
        <v>688.75020746887958</v>
      </c>
      <c r="F6">
        <v>471.84660000000002</v>
      </c>
      <c r="G6">
        <v>66.542760000000015</v>
      </c>
      <c r="H6">
        <v>52</v>
      </c>
      <c r="I6">
        <v>58</v>
      </c>
      <c r="J6">
        <v>9</v>
      </c>
      <c r="K6">
        <v>40</v>
      </c>
      <c r="L6">
        <v>57</v>
      </c>
      <c r="M6">
        <v>6</v>
      </c>
      <c r="N6">
        <v>1995</v>
      </c>
      <c r="O6">
        <v>0.27</v>
      </c>
      <c r="P6">
        <v>2.4700000000000002</v>
      </c>
      <c r="Q6">
        <v>1.4999999999999999E-2</v>
      </c>
      <c r="R6">
        <v>65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338.58926727419851</v>
      </c>
      <c r="B7">
        <v>16.744</v>
      </c>
      <c r="C7">
        <v>14.155069702098601</v>
      </c>
      <c r="D7">
        <v>752.96064000000001</v>
      </c>
      <c r="E7">
        <v>685.54356846473024</v>
      </c>
      <c r="F7">
        <v>467.49023999999997</v>
      </c>
      <c r="G7">
        <v>65.621279999999999</v>
      </c>
      <c r="H7">
        <v>8</v>
      </c>
      <c r="I7">
        <v>52</v>
      </c>
      <c r="J7">
        <v>4</v>
      </c>
      <c r="K7">
        <v>40</v>
      </c>
      <c r="L7">
        <v>68</v>
      </c>
      <c r="M7">
        <v>5</v>
      </c>
      <c r="N7">
        <v>1995</v>
      </c>
      <c r="O7">
        <v>0.27</v>
      </c>
      <c r="P7">
        <v>2.4700000000000002</v>
      </c>
      <c r="Q7">
        <v>1.4999999999999999E-2</v>
      </c>
      <c r="R7">
        <v>65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342.52911147294952</v>
      </c>
      <c r="B8">
        <v>18.899999999999999</v>
      </c>
      <c r="C8">
        <v>12.686263387887021</v>
      </c>
      <c r="D8">
        <v>412.92</v>
      </c>
      <c r="E8">
        <v>682.10788381742736</v>
      </c>
      <c r="F8">
        <v>284.16000000000003</v>
      </c>
      <c r="G8">
        <v>66.322500000000005</v>
      </c>
      <c r="H8">
        <v>22</v>
      </c>
      <c r="I8">
        <v>53</v>
      </c>
      <c r="J8">
        <v>3</v>
      </c>
      <c r="K8">
        <v>163</v>
      </c>
      <c r="L8">
        <v>60</v>
      </c>
      <c r="M8">
        <v>4</v>
      </c>
      <c r="N8">
        <v>1995</v>
      </c>
      <c r="O8">
        <v>0.27</v>
      </c>
      <c r="P8">
        <v>2.4700000000000002</v>
      </c>
      <c r="Q8">
        <v>1.4999999999999999E-2</v>
      </c>
      <c r="R8">
        <v>65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386.75121109745243</v>
      </c>
      <c r="B9">
        <v>22.4</v>
      </c>
      <c r="C9">
        <v>12.08597534679539</v>
      </c>
      <c r="D9">
        <v>469.33920000000001</v>
      </c>
      <c r="E9">
        <v>690.62240663900423</v>
      </c>
      <c r="F9">
        <v>262.02719999999999</v>
      </c>
      <c r="G9">
        <v>75.059520000000006</v>
      </c>
      <c r="H9">
        <v>8</v>
      </c>
      <c r="I9">
        <v>63</v>
      </c>
      <c r="J9">
        <v>4</v>
      </c>
      <c r="K9">
        <v>163</v>
      </c>
      <c r="L9">
        <v>48</v>
      </c>
      <c r="M9">
        <v>5</v>
      </c>
      <c r="N9">
        <v>1995</v>
      </c>
      <c r="O9">
        <v>0.27</v>
      </c>
      <c r="P9">
        <v>2.4700000000000002</v>
      </c>
      <c r="Q9">
        <v>1.4999999999999999E-2</v>
      </c>
      <c r="R9">
        <v>65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367.7025291456186</v>
      </c>
      <c r="B10">
        <v>22.4</v>
      </c>
      <c r="C10">
        <v>11.490704035800579</v>
      </c>
      <c r="D10">
        <v>439.56</v>
      </c>
      <c r="E10">
        <v>688.30705394190875</v>
      </c>
      <c r="F10">
        <v>250.86</v>
      </c>
      <c r="G10">
        <v>71.317499999999995</v>
      </c>
      <c r="H10">
        <v>9</v>
      </c>
      <c r="I10">
        <v>59</v>
      </c>
      <c r="J10">
        <v>3</v>
      </c>
      <c r="K10">
        <v>163</v>
      </c>
      <c r="L10">
        <v>48</v>
      </c>
      <c r="M10">
        <v>5</v>
      </c>
      <c r="N10">
        <v>1995</v>
      </c>
      <c r="O10">
        <v>0.27</v>
      </c>
      <c r="P10">
        <v>2.4700000000000002</v>
      </c>
      <c r="Q10">
        <v>1.4999999999999999E-2</v>
      </c>
      <c r="R10">
        <v>65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366.52571594930629</v>
      </c>
      <c r="B11">
        <v>22.4</v>
      </c>
      <c r="C11">
        <v>11.45392862341582</v>
      </c>
      <c r="D11">
        <v>1094.6376</v>
      </c>
      <c r="E11">
        <v>679.36929460580916</v>
      </c>
      <c r="F11">
        <v>304.70832000000001</v>
      </c>
      <c r="G11">
        <v>70.915679999999995</v>
      </c>
      <c r="H11">
        <v>163</v>
      </c>
      <c r="I11">
        <v>56</v>
      </c>
      <c r="J11">
        <v>9</v>
      </c>
      <c r="K11">
        <v>161</v>
      </c>
      <c r="L11">
        <v>57</v>
      </c>
      <c r="M11">
        <v>24</v>
      </c>
      <c r="N11">
        <v>1995</v>
      </c>
      <c r="O11">
        <v>0.27</v>
      </c>
      <c r="P11">
        <v>2.4700000000000002</v>
      </c>
      <c r="Q11">
        <v>1.4999999999999999E-2</v>
      </c>
      <c r="R11">
        <v>65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358.20990469346538</v>
      </c>
      <c r="B12">
        <v>22.4</v>
      </c>
      <c r="C12">
        <v>11.194059521670789</v>
      </c>
      <c r="D12">
        <v>415.36200000000002</v>
      </c>
      <c r="E12">
        <v>692.71369294605802</v>
      </c>
      <c r="F12">
        <v>253.857</v>
      </c>
      <c r="G12">
        <v>69.560000000000016</v>
      </c>
      <c r="H12">
        <v>52</v>
      </c>
      <c r="I12">
        <v>54</v>
      </c>
      <c r="J12">
        <v>10</v>
      </c>
      <c r="K12">
        <v>96</v>
      </c>
      <c r="L12">
        <v>58</v>
      </c>
      <c r="M12">
        <v>20</v>
      </c>
      <c r="N12">
        <v>1995</v>
      </c>
      <c r="O12">
        <v>0.27</v>
      </c>
      <c r="P12">
        <v>2.4700000000000002</v>
      </c>
      <c r="Q12">
        <v>1.4999999999999999E-2</v>
      </c>
      <c r="R12">
        <v>65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375.67908128459112</v>
      </c>
      <c r="B13">
        <v>23.744</v>
      </c>
      <c r="C13">
        <v>11.075444613342899</v>
      </c>
      <c r="D13">
        <v>710.44319999999993</v>
      </c>
      <c r="E13">
        <v>685.65311203319504</v>
      </c>
      <c r="F13">
        <v>439.9624</v>
      </c>
      <c r="G13">
        <v>72.811759999999992</v>
      </c>
      <c r="H13">
        <v>39</v>
      </c>
      <c r="I13">
        <v>62</v>
      </c>
      <c r="J13">
        <v>7</v>
      </c>
      <c r="K13">
        <v>40</v>
      </c>
      <c r="L13">
        <v>57</v>
      </c>
      <c r="M13">
        <v>6</v>
      </c>
      <c r="N13">
        <v>1995</v>
      </c>
      <c r="O13">
        <v>0.27</v>
      </c>
      <c r="P13">
        <v>2.4700000000000002</v>
      </c>
      <c r="Q13">
        <v>1.4999999999999999E-2</v>
      </c>
      <c r="R13">
        <v>65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400.09879892229571</v>
      </c>
      <c r="B14">
        <v>25.666666666666661</v>
      </c>
      <c r="C14">
        <v>10.91178542515352</v>
      </c>
      <c r="D14">
        <v>370.74</v>
      </c>
      <c r="E14">
        <v>692.98196157235407</v>
      </c>
      <c r="F14">
        <v>259.74</v>
      </c>
      <c r="G14">
        <v>77.7</v>
      </c>
      <c r="H14">
        <v>164</v>
      </c>
      <c r="I14">
        <v>60</v>
      </c>
      <c r="J14">
        <v>5</v>
      </c>
      <c r="K14">
        <v>6</v>
      </c>
      <c r="L14">
        <v>50</v>
      </c>
      <c r="M14">
        <v>3</v>
      </c>
      <c r="N14">
        <v>1995</v>
      </c>
      <c r="O14">
        <v>0.27</v>
      </c>
      <c r="P14">
        <v>2.4700000000000002</v>
      </c>
      <c r="Q14">
        <v>1.4999999999999999E-2</v>
      </c>
      <c r="R14">
        <v>65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344.29262267986257</v>
      </c>
      <c r="B15">
        <v>22.166666666666661</v>
      </c>
      <c r="C15">
        <v>10.87239861094303</v>
      </c>
      <c r="D15">
        <v>380.73599999999999</v>
      </c>
      <c r="E15">
        <v>687.15328557361568</v>
      </c>
      <c r="F15">
        <v>246.6</v>
      </c>
      <c r="G15">
        <v>66.756</v>
      </c>
      <c r="H15">
        <v>164</v>
      </c>
      <c r="I15">
        <v>60</v>
      </c>
      <c r="J15">
        <v>4</v>
      </c>
      <c r="K15">
        <v>147</v>
      </c>
      <c r="L15">
        <v>46</v>
      </c>
      <c r="M15">
        <v>3</v>
      </c>
      <c r="N15">
        <v>1995</v>
      </c>
      <c r="O15">
        <v>0.27</v>
      </c>
      <c r="P15">
        <v>2.4700000000000002</v>
      </c>
      <c r="Q15">
        <v>1.4999999999999999E-2</v>
      </c>
      <c r="R15">
        <v>65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346.90832156562692</v>
      </c>
      <c r="B16">
        <v>22.4</v>
      </c>
      <c r="C16">
        <v>10.840885048925839</v>
      </c>
      <c r="D16">
        <v>405.24880000000007</v>
      </c>
      <c r="E16">
        <v>692.54937759336099</v>
      </c>
      <c r="F16">
        <v>247.71174999999999</v>
      </c>
      <c r="G16">
        <v>67.362350000000006</v>
      </c>
      <c r="H16">
        <v>53</v>
      </c>
      <c r="I16">
        <v>54</v>
      </c>
      <c r="J16">
        <v>10</v>
      </c>
      <c r="K16">
        <v>96</v>
      </c>
      <c r="L16">
        <v>59</v>
      </c>
      <c r="M16">
        <v>19</v>
      </c>
      <c r="N16">
        <v>1995</v>
      </c>
      <c r="O16">
        <v>0.27</v>
      </c>
      <c r="P16">
        <v>2.4700000000000002</v>
      </c>
      <c r="Q16">
        <v>1.4999999999999999E-2</v>
      </c>
      <c r="R16">
        <v>65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346.81495500269318</v>
      </c>
      <c r="B17">
        <v>22.400000000000009</v>
      </c>
      <c r="C17">
        <v>10.83796734383416</v>
      </c>
      <c r="D17">
        <v>470.529</v>
      </c>
      <c r="E17">
        <v>691.91701244813271</v>
      </c>
      <c r="F17">
        <v>291.90780000000001</v>
      </c>
      <c r="G17">
        <v>67.332599999999999</v>
      </c>
      <c r="H17">
        <v>163</v>
      </c>
      <c r="I17">
        <v>54</v>
      </c>
      <c r="J17">
        <v>9</v>
      </c>
      <c r="K17">
        <v>143</v>
      </c>
      <c r="L17">
        <v>56</v>
      </c>
      <c r="M17">
        <v>9</v>
      </c>
      <c r="N17">
        <v>1995</v>
      </c>
      <c r="O17">
        <v>0.27</v>
      </c>
      <c r="P17">
        <v>2.4700000000000002</v>
      </c>
      <c r="Q17">
        <v>1.4999999999999999E-2</v>
      </c>
      <c r="R17">
        <v>65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345.20903712607702</v>
      </c>
      <c r="B18">
        <v>22.4</v>
      </c>
      <c r="C18">
        <v>10.78778241018991</v>
      </c>
      <c r="D18">
        <v>461.46064000000001</v>
      </c>
      <c r="E18">
        <v>688.21576763485473</v>
      </c>
      <c r="F18">
        <v>243.31023999999999</v>
      </c>
      <c r="G18">
        <v>66.953119999999998</v>
      </c>
      <c r="H18">
        <v>8</v>
      </c>
      <c r="I18">
        <v>53</v>
      </c>
      <c r="J18">
        <v>4</v>
      </c>
      <c r="K18">
        <v>57</v>
      </c>
      <c r="L18">
        <v>55</v>
      </c>
      <c r="M18">
        <v>7</v>
      </c>
      <c r="N18">
        <v>1995</v>
      </c>
      <c r="O18">
        <v>0.27</v>
      </c>
      <c r="P18">
        <v>2.4700000000000002</v>
      </c>
      <c r="Q18">
        <v>1.4999999999999999E-2</v>
      </c>
      <c r="R18">
        <v>65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395.3961253121804</v>
      </c>
      <c r="B19">
        <v>25.666666666666661</v>
      </c>
      <c r="C19">
        <v>10.78353069033219</v>
      </c>
      <c r="D19">
        <v>507.8304</v>
      </c>
      <c r="E19">
        <v>690.6367680314313</v>
      </c>
      <c r="F19">
        <v>240.38640000000001</v>
      </c>
      <c r="G19">
        <v>76.7376</v>
      </c>
      <c r="H19">
        <v>8</v>
      </c>
      <c r="I19">
        <v>52</v>
      </c>
      <c r="J19">
        <v>5</v>
      </c>
      <c r="K19">
        <v>164</v>
      </c>
      <c r="L19">
        <v>60</v>
      </c>
      <c r="M19">
        <v>2</v>
      </c>
      <c r="N19">
        <v>1995</v>
      </c>
      <c r="O19">
        <v>0.27</v>
      </c>
      <c r="P19">
        <v>2.4700000000000002</v>
      </c>
      <c r="Q19">
        <v>1.4999999999999999E-2</v>
      </c>
      <c r="R19">
        <v>65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340.55542324866508</v>
      </c>
      <c r="B20">
        <v>22.4</v>
      </c>
      <c r="C20">
        <v>10.642356976520791</v>
      </c>
      <c r="D20">
        <v>419.50600000000009</v>
      </c>
      <c r="E20">
        <v>689.95850622406647</v>
      </c>
      <c r="F20">
        <v>241.90600000000001</v>
      </c>
      <c r="G20">
        <v>66.081999999999994</v>
      </c>
      <c r="H20">
        <v>7</v>
      </c>
      <c r="I20">
        <v>52</v>
      </c>
      <c r="J20">
        <v>5</v>
      </c>
      <c r="K20">
        <v>163</v>
      </c>
      <c r="L20">
        <v>59</v>
      </c>
      <c r="M20">
        <v>4</v>
      </c>
      <c r="N20">
        <v>1995</v>
      </c>
      <c r="O20">
        <v>0.27</v>
      </c>
      <c r="P20">
        <v>2.4700000000000002</v>
      </c>
      <c r="Q20">
        <v>1.4999999999999999E-2</v>
      </c>
      <c r="R20">
        <v>65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358.51875101758861</v>
      </c>
      <c r="B21">
        <v>23.744</v>
      </c>
      <c r="C21">
        <v>10.569538650282681</v>
      </c>
      <c r="D21">
        <v>548.65350000000001</v>
      </c>
      <c r="E21">
        <v>690.24398340248968</v>
      </c>
      <c r="F21">
        <v>433.48500000000001</v>
      </c>
      <c r="G21">
        <v>69.573059999999998</v>
      </c>
      <c r="H21">
        <v>55</v>
      </c>
      <c r="I21">
        <v>57</v>
      </c>
      <c r="J21">
        <v>9</v>
      </c>
      <c r="K21">
        <v>40</v>
      </c>
      <c r="L21">
        <v>57</v>
      </c>
      <c r="M21">
        <v>6</v>
      </c>
      <c r="N21">
        <v>1995</v>
      </c>
      <c r="O21">
        <v>0.27</v>
      </c>
      <c r="P21">
        <v>2.4700000000000002</v>
      </c>
      <c r="Q21">
        <v>1.4999999999999999E-2</v>
      </c>
      <c r="R21">
        <v>65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337.06577161209782</v>
      </c>
      <c r="B22">
        <v>22.4</v>
      </c>
      <c r="C22">
        <v>10.53330536287806</v>
      </c>
      <c r="D22">
        <v>455.22431999999998</v>
      </c>
      <c r="E22">
        <v>688.0199170124481</v>
      </c>
      <c r="F22">
        <v>241.26911999999999</v>
      </c>
      <c r="G22">
        <v>65.37024000000001</v>
      </c>
      <c r="H22">
        <v>8</v>
      </c>
      <c r="I22">
        <v>51</v>
      </c>
      <c r="J22">
        <v>4</v>
      </c>
      <c r="K22">
        <v>295</v>
      </c>
      <c r="L22">
        <v>56</v>
      </c>
      <c r="M22">
        <v>7</v>
      </c>
      <c r="N22">
        <v>1995</v>
      </c>
      <c r="O22">
        <v>0.27</v>
      </c>
      <c r="P22">
        <v>2.4700000000000002</v>
      </c>
      <c r="Q22">
        <v>1.4999999999999999E-2</v>
      </c>
      <c r="R22">
        <v>65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386.00474607982989</v>
      </c>
      <c r="B23">
        <v>25.666666666666661</v>
      </c>
      <c r="C23">
        <v>10.527402165813539</v>
      </c>
      <c r="D23">
        <v>1151.6472000000001</v>
      </c>
      <c r="E23">
        <v>678.75430483420587</v>
      </c>
      <c r="F23">
        <v>252.70704000000001</v>
      </c>
      <c r="G23">
        <v>74.671920000000014</v>
      </c>
      <c r="H23">
        <v>164</v>
      </c>
      <c r="I23">
        <v>54</v>
      </c>
      <c r="J23">
        <v>5</v>
      </c>
      <c r="K23">
        <v>161</v>
      </c>
      <c r="L23">
        <v>58</v>
      </c>
      <c r="M23">
        <v>24</v>
      </c>
      <c r="N23">
        <v>1995</v>
      </c>
      <c r="O23">
        <v>0.27</v>
      </c>
      <c r="P23">
        <v>2.4700000000000002</v>
      </c>
      <c r="Q23">
        <v>1.4999999999999999E-2</v>
      </c>
      <c r="R23">
        <v>65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356.70229668379397</v>
      </c>
      <c r="B24">
        <v>23.744</v>
      </c>
      <c r="C24">
        <v>10.515987520159021</v>
      </c>
      <c r="D24">
        <v>550.28880000000004</v>
      </c>
      <c r="E24">
        <v>685.14522821576759</v>
      </c>
      <c r="F24">
        <v>435.16919999999999</v>
      </c>
      <c r="G24">
        <v>69.124200000000016</v>
      </c>
      <c r="H24">
        <v>54</v>
      </c>
      <c r="I24">
        <v>53</v>
      </c>
      <c r="J24">
        <v>4</v>
      </c>
      <c r="K24">
        <v>40</v>
      </c>
      <c r="L24">
        <v>69</v>
      </c>
      <c r="M24">
        <v>5</v>
      </c>
      <c r="N24">
        <v>1995</v>
      </c>
      <c r="O24">
        <v>0.27</v>
      </c>
      <c r="P24">
        <v>2.4700000000000002</v>
      </c>
      <c r="Q24">
        <v>1.4999999999999999E-2</v>
      </c>
      <c r="R24">
        <v>65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336.39430105331451</v>
      </c>
      <c r="B25">
        <v>22.4</v>
      </c>
      <c r="C25">
        <v>10.51232190791608</v>
      </c>
      <c r="D25">
        <v>521.34480000000008</v>
      </c>
      <c r="E25">
        <v>683.98506224066398</v>
      </c>
      <c r="F25">
        <v>240.9255</v>
      </c>
      <c r="G25">
        <v>65.16810000000001</v>
      </c>
      <c r="H25">
        <v>9</v>
      </c>
      <c r="I25">
        <v>51</v>
      </c>
      <c r="J25">
        <v>3</v>
      </c>
      <c r="K25">
        <v>96</v>
      </c>
      <c r="L25">
        <v>62</v>
      </c>
      <c r="M25">
        <v>18</v>
      </c>
      <c r="N25">
        <v>1995</v>
      </c>
      <c r="O25">
        <v>0.27</v>
      </c>
      <c r="P25">
        <v>2.4700000000000002</v>
      </c>
      <c r="Q25">
        <v>1.4999999999999999E-2</v>
      </c>
      <c r="R25">
        <v>65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379.41557902085879</v>
      </c>
      <c r="B26">
        <v>25.666666666666661</v>
      </c>
      <c r="C26">
        <v>10.347697609659789</v>
      </c>
      <c r="D26">
        <v>636.03</v>
      </c>
      <c r="E26">
        <v>684.81022826013509</v>
      </c>
      <c r="F26">
        <v>251.08199999999999</v>
      </c>
      <c r="G26">
        <v>73.519000000000005</v>
      </c>
      <c r="H26">
        <v>164</v>
      </c>
      <c r="I26">
        <v>55</v>
      </c>
      <c r="J26">
        <v>5</v>
      </c>
      <c r="K26">
        <v>2</v>
      </c>
      <c r="L26">
        <v>51</v>
      </c>
      <c r="M26">
        <v>4</v>
      </c>
      <c r="N26">
        <v>1995</v>
      </c>
      <c r="O26">
        <v>0.27</v>
      </c>
      <c r="P26">
        <v>2.4700000000000002</v>
      </c>
      <c r="Q26">
        <v>1.4999999999999999E-2</v>
      </c>
      <c r="R26">
        <v>65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377.52364884406398</v>
      </c>
      <c r="B27">
        <v>25.666666666666661</v>
      </c>
      <c r="C27">
        <v>10.29609951392902</v>
      </c>
      <c r="D27">
        <v>481.51799999999997</v>
      </c>
      <c r="E27">
        <v>690.18935332096964</v>
      </c>
      <c r="F27">
        <v>231.768</v>
      </c>
      <c r="G27">
        <v>73.260000000000005</v>
      </c>
      <c r="H27">
        <v>9</v>
      </c>
      <c r="I27">
        <v>60</v>
      </c>
      <c r="J27">
        <v>3</v>
      </c>
      <c r="K27">
        <v>164</v>
      </c>
      <c r="L27">
        <v>42</v>
      </c>
      <c r="M27">
        <v>3</v>
      </c>
      <c r="N27">
        <v>1995</v>
      </c>
      <c r="O27">
        <v>0.27</v>
      </c>
      <c r="P27">
        <v>2.4700000000000002</v>
      </c>
      <c r="Q27">
        <v>1.4999999999999999E-2</v>
      </c>
      <c r="R27">
        <v>65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431.07029120099457</v>
      </c>
      <c r="B28">
        <v>29.4</v>
      </c>
      <c r="C28">
        <v>10.263578361928451</v>
      </c>
      <c r="D28">
        <v>419.80319999999989</v>
      </c>
      <c r="E28">
        <v>689.36431535269708</v>
      </c>
      <c r="F28">
        <v>228.73439999999999</v>
      </c>
      <c r="G28">
        <v>83.632100000000008</v>
      </c>
      <c r="H28">
        <v>39</v>
      </c>
      <c r="I28">
        <v>58</v>
      </c>
      <c r="J28">
        <v>9</v>
      </c>
      <c r="K28">
        <v>163</v>
      </c>
      <c r="L28">
        <v>49</v>
      </c>
      <c r="M28">
        <v>5</v>
      </c>
      <c r="N28">
        <v>1995</v>
      </c>
      <c r="O28">
        <v>0.27</v>
      </c>
      <c r="P28">
        <v>2.4700000000000002</v>
      </c>
      <c r="Q28">
        <v>1.4999999999999999E-2</v>
      </c>
      <c r="R28">
        <v>65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355.67614074333198</v>
      </c>
      <c r="B29">
        <v>24.73863636363636</v>
      </c>
      <c r="C29">
        <v>10.064148033894931</v>
      </c>
      <c r="D29">
        <v>1146.0672</v>
      </c>
      <c r="E29">
        <v>680.91792232152181</v>
      </c>
      <c r="F29">
        <v>247.12703999999999</v>
      </c>
      <c r="G29">
        <v>68.845679999999987</v>
      </c>
      <c r="H29">
        <v>95</v>
      </c>
      <c r="I29">
        <v>55</v>
      </c>
      <c r="J29">
        <v>5</v>
      </c>
      <c r="K29">
        <v>161</v>
      </c>
      <c r="L29">
        <v>57</v>
      </c>
      <c r="M29">
        <v>24</v>
      </c>
      <c r="N29">
        <v>1995</v>
      </c>
      <c r="O29">
        <v>0.27</v>
      </c>
      <c r="P29">
        <v>2.4700000000000002</v>
      </c>
      <c r="Q29">
        <v>1.4999999999999999E-2</v>
      </c>
      <c r="R29">
        <v>65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340.49644343836258</v>
      </c>
      <c r="B30">
        <v>23.744</v>
      </c>
      <c r="C30">
        <v>10.03822062023475</v>
      </c>
      <c r="D30">
        <v>625.928</v>
      </c>
      <c r="E30">
        <v>688.65062240663906</v>
      </c>
      <c r="F30">
        <v>426.43279999999999</v>
      </c>
      <c r="G30">
        <v>66.046960000000013</v>
      </c>
      <c r="H30">
        <v>33</v>
      </c>
      <c r="I30">
        <v>56</v>
      </c>
      <c r="J30">
        <v>4</v>
      </c>
      <c r="K30">
        <v>40</v>
      </c>
      <c r="L30">
        <v>57</v>
      </c>
      <c r="M30">
        <v>6</v>
      </c>
      <c r="N30">
        <v>1995</v>
      </c>
      <c r="O30">
        <v>0.27</v>
      </c>
      <c r="P30">
        <v>2.4700000000000002</v>
      </c>
      <c r="Q30">
        <v>1.4999999999999999E-2</v>
      </c>
      <c r="R30">
        <v>65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340.49644343836258</v>
      </c>
      <c r="B31">
        <v>23.744</v>
      </c>
      <c r="C31">
        <v>10.03822062023475</v>
      </c>
      <c r="D31">
        <v>625.928</v>
      </c>
      <c r="E31">
        <v>688.65062240663906</v>
      </c>
      <c r="F31">
        <v>426.43279999999999</v>
      </c>
      <c r="G31">
        <v>66.046960000000013</v>
      </c>
      <c r="H31">
        <v>332</v>
      </c>
      <c r="I31">
        <v>56</v>
      </c>
      <c r="J31">
        <v>4</v>
      </c>
      <c r="K31">
        <v>40</v>
      </c>
      <c r="L31">
        <v>57</v>
      </c>
      <c r="M31">
        <v>6</v>
      </c>
      <c r="N31">
        <v>1995</v>
      </c>
      <c r="O31">
        <v>0.27</v>
      </c>
      <c r="P31">
        <v>2.4700000000000002</v>
      </c>
      <c r="Q31">
        <v>1.4999999999999999E-2</v>
      </c>
      <c r="R31">
        <v>65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363.56547683985679</v>
      </c>
      <c r="B32">
        <v>25.666666666666671</v>
      </c>
      <c r="C32">
        <v>9.9154220956324561</v>
      </c>
      <c r="D32">
        <v>505.49400000000003</v>
      </c>
      <c r="E32">
        <v>686.36030030599863</v>
      </c>
      <c r="F32">
        <v>236.96279999999999</v>
      </c>
      <c r="G32">
        <v>70.47760000000001</v>
      </c>
      <c r="H32">
        <v>164</v>
      </c>
      <c r="I32">
        <v>52</v>
      </c>
      <c r="J32">
        <v>5</v>
      </c>
      <c r="K32">
        <v>143</v>
      </c>
      <c r="L32">
        <v>56</v>
      </c>
      <c r="M32">
        <v>9</v>
      </c>
      <c r="N32">
        <v>1995</v>
      </c>
      <c r="O32">
        <v>0.27</v>
      </c>
      <c r="P32">
        <v>2.4700000000000002</v>
      </c>
      <c r="Q32">
        <v>1.4999999999999999E-2</v>
      </c>
      <c r="R32">
        <v>65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343.63434428351121</v>
      </c>
      <c r="B33">
        <v>24.5</v>
      </c>
      <c r="C33">
        <v>9.8181241223860347</v>
      </c>
      <c r="D33">
        <v>456.95</v>
      </c>
      <c r="E33">
        <v>689.65975103734445</v>
      </c>
      <c r="F33">
        <v>239.53800000000001</v>
      </c>
      <c r="G33">
        <v>66.674000000000007</v>
      </c>
      <c r="H33">
        <v>22</v>
      </c>
      <c r="I33">
        <v>53</v>
      </c>
      <c r="J33">
        <v>3</v>
      </c>
      <c r="K33">
        <v>52</v>
      </c>
      <c r="L33">
        <v>53</v>
      </c>
      <c r="M33">
        <v>5</v>
      </c>
      <c r="N33">
        <v>1995</v>
      </c>
      <c r="O33">
        <v>0.27</v>
      </c>
      <c r="P33">
        <v>2.4700000000000002</v>
      </c>
      <c r="Q33">
        <v>1.4999999999999999E-2</v>
      </c>
      <c r="R33">
        <v>65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342.0008519315117</v>
      </c>
      <c r="B34">
        <v>24.5</v>
      </c>
      <c r="C34">
        <v>9.7714529123289076</v>
      </c>
      <c r="D34">
        <v>524.19647999999995</v>
      </c>
      <c r="E34">
        <v>689.65975103734445</v>
      </c>
      <c r="F34">
        <v>239.86367999999999</v>
      </c>
      <c r="G34">
        <v>66.357060000000004</v>
      </c>
      <c r="H34">
        <v>22</v>
      </c>
      <c r="I34">
        <v>53</v>
      </c>
      <c r="J34">
        <v>3</v>
      </c>
      <c r="K34">
        <v>8</v>
      </c>
      <c r="L34">
        <v>53</v>
      </c>
      <c r="M34">
        <v>2</v>
      </c>
      <c r="N34">
        <v>1995</v>
      </c>
      <c r="O34">
        <v>0.27</v>
      </c>
      <c r="P34">
        <v>2.4700000000000002</v>
      </c>
      <c r="Q34">
        <v>1.4999999999999999E-2</v>
      </c>
      <c r="R34">
        <v>65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337.98601895886833</v>
      </c>
      <c r="B35">
        <v>24.5</v>
      </c>
      <c r="C35">
        <v>9.6567433988248101</v>
      </c>
      <c r="D35">
        <v>455.63249999999999</v>
      </c>
      <c r="E35">
        <v>688.92946058091297</v>
      </c>
      <c r="F35">
        <v>238.7475</v>
      </c>
      <c r="G35">
        <v>65.564999999999998</v>
      </c>
      <c r="H35">
        <v>22</v>
      </c>
      <c r="I35">
        <v>52</v>
      </c>
      <c r="J35">
        <v>3</v>
      </c>
      <c r="K35">
        <v>53</v>
      </c>
      <c r="L35">
        <v>54</v>
      </c>
      <c r="M35">
        <v>5</v>
      </c>
      <c r="N35">
        <v>1995</v>
      </c>
      <c r="O35">
        <v>0.27</v>
      </c>
      <c r="P35">
        <v>2.4700000000000002</v>
      </c>
      <c r="Q35">
        <v>1.4999999999999999E-2</v>
      </c>
      <c r="R35">
        <v>65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382.64828728598502</v>
      </c>
      <c r="B36">
        <v>28</v>
      </c>
      <c r="C36">
        <v>9.5662071821496237</v>
      </c>
      <c r="D36">
        <v>371.4205</v>
      </c>
      <c r="E36">
        <v>691.65145228215761</v>
      </c>
      <c r="F36">
        <v>222.85230000000001</v>
      </c>
      <c r="G36">
        <v>74.284100000000009</v>
      </c>
      <c r="H36">
        <v>52</v>
      </c>
      <c r="I36">
        <v>56</v>
      </c>
      <c r="J36">
        <v>11</v>
      </c>
      <c r="K36">
        <v>53</v>
      </c>
      <c r="L36">
        <v>53</v>
      </c>
      <c r="M36">
        <v>5</v>
      </c>
      <c r="N36">
        <v>1995</v>
      </c>
      <c r="O36">
        <v>0.27</v>
      </c>
      <c r="P36">
        <v>2.4700000000000002</v>
      </c>
      <c r="Q36">
        <v>1.4999999999999999E-2</v>
      </c>
      <c r="R36">
        <v>65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401.05753184493358</v>
      </c>
      <c r="B37">
        <v>29.4</v>
      </c>
      <c r="C37">
        <v>9.5489888534508012</v>
      </c>
      <c r="D37">
        <v>514.03822500000001</v>
      </c>
      <c r="E37">
        <v>690.01825726141078</v>
      </c>
      <c r="F37">
        <v>316.60493000000002</v>
      </c>
      <c r="G37">
        <v>77.823209999999989</v>
      </c>
      <c r="H37">
        <v>163</v>
      </c>
      <c r="I37">
        <v>53</v>
      </c>
      <c r="J37">
        <v>11</v>
      </c>
      <c r="K37">
        <v>142</v>
      </c>
      <c r="L37">
        <v>58</v>
      </c>
      <c r="M37">
        <v>17</v>
      </c>
      <c r="N37">
        <v>1995</v>
      </c>
      <c r="O37">
        <v>0.27</v>
      </c>
      <c r="P37">
        <v>2.4700000000000002</v>
      </c>
      <c r="Q37">
        <v>1.4999999999999999E-2</v>
      </c>
      <c r="R37">
        <v>65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377.22502340067769</v>
      </c>
      <c r="B38">
        <v>28</v>
      </c>
      <c r="C38">
        <v>9.4306255850169425</v>
      </c>
      <c r="D38">
        <v>515.49670000000003</v>
      </c>
      <c r="E38">
        <v>674.77178423236523</v>
      </c>
      <c r="F38">
        <v>218.68170000000001</v>
      </c>
      <c r="G38">
        <v>72.893899999999988</v>
      </c>
      <c r="H38">
        <v>8</v>
      </c>
      <c r="I38">
        <v>60</v>
      </c>
      <c r="J38">
        <v>4</v>
      </c>
      <c r="K38">
        <v>52</v>
      </c>
      <c r="L38">
        <v>53</v>
      </c>
      <c r="M38">
        <v>5</v>
      </c>
      <c r="N38">
        <v>1995</v>
      </c>
      <c r="O38">
        <v>0.27</v>
      </c>
      <c r="P38">
        <v>2.4700000000000002</v>
      </c>
      <c r="Q38">
        <v>1.4999999999999999E-2</v>
      </c>
      <c r="R38">
        <v>65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376.65180937194799</v>
      </c>
      <c r="B39">
        <v>28</v>
      </c>
      <c r="C39">
        <v>9.4162952342986994</v>
      </c>
      <c r="D39">
        <v>516.17669999999998</v>
      </c>
      <c r="E39">
        <v>687.13692946058097</v>
      </c>
      <c r="F39">
        <v>219.08969999999999</v>
      </c>
      <c r="G39">
        <v>73.029900000000012</v>
      </c>
      <c r="H39">
        <v>8</v>
      </c>
      <c r="I39">
        <v>48</v>
      </c>
      <c r="J39">
        <v>5</v>
      </c>
      <c r="K39">
        <v>53</v>
      </c>
      <c r="L39">
        <v>55</v>
      </c>
      <c r="M39">
        <v>5</v>
      </c>
      <c r="N39">
        <v>1995</v>
      </c>
      <c r="O39">
        <v>0.27</v>
      </c>
      <c r="P39">
        <v>2.4700000000000002</v>
      </c>
      <c r="Q39">
        <v>1.4999999999999999E-2</v>
      </c>
      <c r="R39">
        <v>65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343.87706081423721</v>
      </c>
      <c r="B40">
        <v>25.666666666666671</v>
      </c>
      <c r="C40">
        <v>9.3784652949337417</v>
      </c>
      <c r="D40">
        <v>620.04600000000005</v>
      </c>
      <c r="E40">
        <v>685.85661678631084</v>
      </c>
      <c r="F40">
        <v>226.04040000000001</v>
      </c>
      <c r="G40">
        <v>66.651800000000009</v>
      </c>
      <c r="H40">
        <v>164</v>
      </c>
      <c r="I40">
        <v>47</v>
      </c>
      <c r="J40">
        <v>5</v>
      </c>
      <c r="K40">
        <v>162</v>
      </c>
      <c r="L40">
        <v>58</v>
      </c>
      <c r="M40">
        <v>15</v>
      </c>
      <c r="N40">
        <v>1995</v>
      </c>
      <c r="O40">
        <v>0.27</v>
      </c>
      <c r="P40">
        <v>2.4700000000000002</v>
      </c>
      <c r="Q40">
        <v>1.4999999999999999E-2</v>
      </c>
      <c r="R40">
        <v>65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389.86397856577958</v>
      </c>
      <c r="B41">
        <v>29.400000000000009</v>
      </c>
      <c r="C41">
        <v>9.2824756801376083</v>
      </c>
      <c r="D41">
        <v>493.94400000000002</v>
      </c>
      <c r="E41">
        <v>683.93029045643152</v>
      </c>
      <c r="F41">
        <v>218.779</v>
      </c>
      <c r="G41">
        <v>75.525399999999991</v>
      </c>
      <c r="H41">
        <v>39</v>
      </c>
      <c r="I41">
        <v>56</v>
      </c>
      <c r="J41">
        <v>8</v>
      </c>
      <c r="K41">
        <v>96</v>
      </c>
      <c r="L41">
        <v>57</v>
      </c>
      <c r="M41">
        <v>20</v>
      </c>
      <c r="N41">
        <v>1995</v>
      </c>
      <c r="O41">
        <v>0.27</v>
      </c>
      <c r="P41">
        <v>2.4700000000000002</v>
      </c>
      <c r="Q41">
        <v>1.4999999999999999E-2</v>
      </c>
      <c r="R41">
        <v>65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385.33175630066722</v>
      </c>
      <c r="B42">
        <v>29.400000000000009</v>
      </c>
      <c r="C42">
        <v>9.1745656262063608</v>
      </c>
      <c r="D42">
        <v>420.77199999999999</v>
      </c>
      <c r="E42">
        <v>691.91369294605806</v>
      </c>
      <c r="F42">
        <v>215.20400000000001</v>
      </c>
      <c r="G42">
        <v>74.810399999999987</v>
      </c>
      <c r="H42">
        <v>39</v>
      </c>
      <c r="I42">
        <v>56</v>
      </c>
      <c r="J42">
        <v>8</v>
      </c>
      <c r="K42">
        <v>57</v>
      </c>
      <c r="L42">
        <v>55</v>
      </c>
      <c r="M42">
        <v>7</v>
      </c>
      <c r="N42">
        <v>1995</v>
      </c>
      <c r="O42">
        <v>0.27</v>
      </c>
      <c r="P42">
        <v>2.4700000000000002</v>
      </c>
      <c r="Q42">
        <v>1.4999999999999999E-2</v>
      </c>
      <c r="R42">
        <v>65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365.54914603398788</v>
      </c>
      <c r="B43">
        <v>28</v>
      </c>
      <c r="C43">
        <v>9.1387286508496981</v>
      </c>
      <c r="D43">
        <v>553.4899200000001</v>
      </c>
      <c r="E43">
        <v>686.47302904564322</v>
      </c>
      <c r="F43">
        <v>207.55871999999999</v>
      </c>
      <c r="G43">
        <v>70.864320000000006</v>
      </c>
      <c r="H43">
        <v>8</v>
      </c>
      <c r="I43">
        <v>58</v>
      </c>
      <c r="J43">
        <v>4</v>
      </c>
      <c r="K43">
        <v>6</v>
      </c>
      <c r="L43">
        <v>50</v>
      </c>
      <c r="M43">
        <v>3</v>
      </c>
      <c r="N43">
        <v>1995</v>
      </c>
      <c r="O43">
        <v>0.27</v>
      </c>
      <c r="P43">
        <v>2.4700000000000002</v>
      </c>
      <c r="Q43">
        <v>1.4999999999999999E-2</v>
      </c>
      <c r="R43">
        <v>65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365.29626867252148</v>
      </c>
      <c r="B44">
        <v>28</v>
      </c>
      <c r="C44">
        <v>9.1324067168130387</v>
      </c>
      <c r="D44">
        <v>483.59</v>
      </c>
      <c r="E44">
        <v>687.56846473029043</v>
      </c>
      <c r="F44">
        <v>206.238</v>
      </c>
      <c r="G44">
        <v>70.836500000000001</v>
      </c>
      <c r="H44">
        <v>9</v>
      </c>
      <c r="I44">
        <v>58</v>
      </c>
      <c r="J44">
        <v>3</v>
      </c>
      <c r="K44">
        <v>52</v>
      </c>
      <c r="L44">
        <v>53</v>
      </c>
      <c r="M44">
        <v>5</v>
      </c>
      <c r="N44">
        <v>1995</v>
      </c>
      <c r="O44">
        <v>0.27</v>
      </c>
      <c r="P44">
        <v>2.4700000000000002</v>
      </c>
      <c r="Q44">
        <v>1.4999999999999999E-2</v>
      </c>
      <c r="R44">
        <v>65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363.66184292600559</v>
      </c>
      <c r="B45">
        <v>28</v>
      </c>
      <c r="C45">
        <v>9.0915460731501412</v>
      </c>
      <c r="D45">
        <v>550.83647999999994</v>
      </c>
      <c r="E45">
        <v>687.56846473029043</v>
      </c>
      <c r="F45">
        <v>206.56368000000001</v>
      </c>
      <c r="G45">
        <v>70.519559999999998</v>
      </c>
      <c r="H45">
        <v>9</v>
      </c>
      <c r="I45">
        <v>58</v>
      </c>
      <c r="J45">
        <v>3</v>
      </c>
      <c r="K45">
        <v>8</v>
      </c>
      <c r="L45">
        <v>53</v>
      </c>
      <c r="M45">
        <v>2</v>
      </c>
      <c r="N45">
        <v>1995</v>
      </c>
      <c r="O45">
        <v>0.27</v>
      </c>
      <c r="P45">
        <v>2.4700000000000002</v>
      </c>
      <c r="Q45">
        <v>1.4999999999999999E-2</v>
      </c>
      <c r="R45">
        <v>65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423.39416470124161</v>
      </c>
      <c r="B46">
        <v>32.666666666666671</v>
      </c>
      <c r="C46">
        <v>9.0727321007408896</v>
      </c>
      <c r="D46">
        <v>556.77599999999995</v>
      </c>
      <c r="E46">
        <v>687.25797470238001</v>
      </c>
      <c r="F46">
        <v>254.32320000000001</v>
      </c>
      <c r="G46">
        <v>82.095600000000005</v>
      </c>
      <c r="H46">
        <v>164</v>
      </c>
      <c r="I46">
        <v>53</v>
      </c>
      <c r="J46">
        <v>6</v>
      </c>
      <c r="K46">
        <v>142</v>
      </c>
      <c r="L46">
        <v>60</v>
      </c>
      <c r="M46">
        <v>16</v>
      </c>
      <c r="N46">
        <v>1995</v>
      </c>
      <c r="O46">
        <v>0.27</v>
      </c>
      <c r="P46">
        <v>2.4700000000000002</v>
      </c>
      <c r="Q46">
        <v>1.4999999999999999E-2</v>
      </c>
      <c r="R46">
        <v>65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380.41416980633119</v>
      </c>
      <c r="B47">
        <v>29.400000000000009</v>
      </c>
      <c r="C47">
        <v>9.0574802334840747</v>
      </c>
      <c r="D47">
        <v>989.78700000000015</v>
      </c>
      <c r="E47">
        <v>683.10373443983406</v>
      </c>
      <c r="F47">
        <v>196.80670000000001</v>
      </c>
      <c r="G47">
        <v>73.678100000000001</v>
      </c>
      <c r="H47">
        <v>142</v>
      </c>
      <c r="I47">
        <v>59</v>
      </c>
      <c r="J47">
        <v>40</v>
      </c>
      <c r="K47">
        <v>96</v>
      </c>
      <c r="L47">
        <v>54</v>
      </c>
      <c r="M47">
        <v>15</v>
      </c>
      <c r="N47">
        <v>1995</v>
      </c>
      <c r="O47">
        <v>0.27</v>
      </c>
      <c r="P47">
        <v>2.4700000000000002</v>
      </c>
      <c r="Q47">
        <v>1.4999999999999999E-2</v>
      </c>
      <c r="R47">
        <v>65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361.30223910531009</v>
      </c>
      <c r="B48">
        <v>28</v>
      </c>
      <c r="C48">
        <v>9.032555977632752</v>
      </c>
      <c r="D48">
        <v>484.33499999999998</v>
      </c>
      <c r="E48">
        <v>691.64315352697099</v>
      </c>
      <c r="F48">
        <v>206.685</v>
      </c>
      <c r="G48">
        <v>70.14</v>
      </c>
      <c r="H48">
        <v>9</v>
      </c>
      <c r="I48">
        <v>57</v>
      </c>
      <c r="J48">
        <v>3</v>
      </c>
      <c r="K48">
        <v>53</v>
      </c>
      <c r="L48">
        <v>55</v>
      </c>
      <c r="M48">
        <v>5</v>
      </c>
      <c r="N48">
        <v>1995</v>
      </c>
      <c r="O48">
        <v>0.27</v>
      </c>
      <c r="P48">
        <v>2.4700000000000002</v>
      </c>
      <c r="Q48">
        <v>1.4999999999999999E-2</v>
      </c>
      <c r="R48">
        <v>65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360.30813110909003</v>
      </c>
      <c r="B49">
        <v>28</v>
      </c>
      <c r="C49">
        <v>9.0077032777272503</v>
      </c>
      <c r="D49">
        <v>1177.4436000000001</v>
      </c>
      <c r="E49">
        <v>675.86721991701245</v>
      </c>
      <c r="F49">
        <v>208.93752000000001</v>
      </c>
      <c r="G49">
        <v>69.645840000000007</v>
      </c>
      <c r="H49">
        <v>52</v>
      </c>
      <c r="I49">
        <v>54</v>
      </c>
      <c r="J49">
        <v>10</v>
      </c>
      <c r="K49">
        <v>161</v>
      </c>
      <c r="L49">
        <v>58</v>
      </c>
      <c r="M49">
        <v>23</v>
      </c>
      <c r="N49">
        <v>1995</v>
      </c>
      <c r="O49">
        <v>0.27</v>
      </c>
      <c r="P49">
        <v>2.4700000000000002</v>
      </c>
      <c r="Q49">
        <v>1.4999999999999999E-2</v>
      </c>
      <c r="R49">
        <v>65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356.75692941419851</v>
      </c>
      <c r="B50">
        <v>28</v>
      </c>
      <c r="C50">
        <v>8.9189232353549635</v>
      </c>
      <c r="D50">
        <v>1319.76576</v>
      </c>
      <c r="E50">
        <v>676.84647302904568</v>
      </c>
      <c r="F50">
        <v>205.70831999999999</v>
      </c>
      <c r="G50">
        <v>68.977920000000012</v>
      </c>
      <c r="H50">
        <v>8</v>
      </c>
      <c r="I50">
        <v>53</v>
      </c>
      <c r="J50">
        <v>4</v>
      </c>
      <c r="K50">
        <v>161</v>
      </c>
      <c r="L50">
        <v>60</v>
      </c>
      <c r="M50">
        <v>23</v>
      </c>
      <c r="N50">
        <v>1995</v>
      </c>
      <c r="O50">
        <v>0.27</v>
      </c>
      <c r="P50">
        <v>2.4700000000000002</v>
      </c>
      <c r="Q50">
        <v>1.4999999999999999E-2</v>
      </c>
      <c r="R50">
        <v>65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358.41270994545778</v>
      </c>
      <c r="B51">
        <v>28.592307692307688</v>
      </c>
      <c r="C51">
        <v>8.7746991135422814</v>
      </c>
      <c r="D51">
        <v>845.54250000000002</v>
      </c>
      <c r="E51">
        <v>681.87219917012453</v>
      </c>
      <c r="F51">
        <v>278.03798</v>
      </c>
      <c r="G51">
        <v>69.393500000000003</v>
      </c>
      <c r="H51">
        <v>163</v>
      </c>
      <c r="I51">
        <v>55</v>
      </c>
      <c r="J51">
        <v>9</v>
      </c>
      <c r="K51">
        <v>293</v>
      </c>
      <c r="L51">
        <v>58</v>
      </c>
      <c r="M51">
        <v>22</v>
      </c>
      <c r="N51">
        <v>1995</v>
      </c>
      <c r="O51">
        <v>0.27</v>
      </c>
      <c r="P51">
        <v>2.4700000000000002</v>
      </c>
      <c r="Q51">
        <v>1.4999999999999999E-2</v>
      </c>
      <c r="R51">
        <v>65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350.63511279749559</v>
      </c>
      <c r="B52">
        <v>28</v>
      </c>
      <c r="C52">
        <v>8.7658778199373906</v>
      </c>
      <c r="D52">
        <v>793.04064000000005</v>
      </c>
      <c r="E52">
        <v>685.34439834024897</v>
      </c>
      <c r="F52">
        <v>197.49024</v>
      </c>
      <c r="G52">
        <v>67.952160000000006</v>
      </c>
      <c r="H52">
        <v>8</v>
      </c>
      <c r="I52">
        <v>54</v>
      </c>
      <c r="J52">
        <v>4</v>
      </c>
      <c r="K52">
        <v>2</v>
      </c>
      <c r="L52">
        <v>51</v>
      </c>
      <c r="M52">
        <v>4</v>
      </c>
      <c r="N52">
        <v>1995</v>
      </c>
      <c r="O52">
        <v>0.27</v>
      </c>
      <c r="P52">
        <v>2.4700000000000002</v>
      </c>
      <c r="Q52">
        <v>1.4999999999999999E-2</v>
      </c>
      <c r="R52">
        <v>65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350.37150070034869</v>
      </c>
      <c r="B53">
        <v>28</v>
      </c>
      <c r="C53">
        <v>8.7592875175087173</v>
      </c>
      <c r="D53">
        <v>523.91999999999996</v>
      </c>
      <c r="E53">
        <v>690.00000000000011</v>
      </c>
      <c r="F53">
        <v>196.47</v>
      </c>
      <c r="G53">
        <v>67.987499999999997</v>
      </c>
      <c r="H53">
        <v>9</v>
      </c>
      <c r="I53">
        <v>55</v>
      </c>
      <c r="J53">
        <v>3</v>
      </c>
      <c r="K53">
        <v>6</v>
      </c>
      <c r="L53">
        <v>50</v>
      </c>
      <c r="M53">
        <v>3</v>
      </c>
      <c r="N53">
        <v>1995</v>
      </c>
      <c r="O53">
        <v>0.27</v>
      </c>
      <c r="P53">
        <v>2.4700000000000002</v>
      </c>
      <c r="Q53">
        <v>1.4999999999999999E-2</v>
      </c>
      <c r="R53">
        <v>65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348.68136696404929</v>
      </c>
      <c r="B54">
        <v>28</v>
      </c>
      <c r="C54">
        <v>8.7170341741012347</v>
      </c>
      <c r="D54">
        <v>1166.2986000000001</v>
      </c>
      <c r="E54">
        <v>676.86307053941903</v>
      </c>
      <c r="F54">
        <v>202.25051999999999</v>
      </c>
      <c r="G54">
        <v>67.416839999999993</v>
      </c>
      <c r="H54">
        <v>53</v>
      </c>
      <c r="I54">
        <v>53</v>
      </c>
      <c r="J54">
        <v>10</v>
      </c>
      <c r="K54">
        <v>161</v>
      </c>
      <c r="L54">
        <v>58</v>
      </c>
      <c r="M54">
        <v>23</v>
      </c>
      <c r="N54">
        <v>1995</v>
      </c>
      <c r="O54">
        <v>0.27</v>
      </c>
      <c r="P54">
        <v>2.4700000000000002</v>
      </c>
      <c r="Q54">
        <v>1.4999999999999999E-2</v>
      </c>
      <c r="R54">
        <v>65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347.75280349155082</v>
      </c>
      <c r="B55">
        <v>28</v>
      </c>
      <c r="C55">
        <v>8.6938200872887688</v>
      </c>
      <c r="D55">
        <v>466.57499999999999</v>
      </c>
      <c r="E55">
        <v>691.12033195020751</v>
      </c>
      <c r="F55">
        <v>200.02500000000001</v>
      </c>
      <c r="G55">
        <v>67.5</v>
      </c>
      <c r="H55">
        <v>6</v>
      </c>
      <c r="I55">
        <v>50</v>
      </c>
      <c r="J55">
        <v>6</v>
      </c>
      <c r="K55">
        <v>53</v>
      </c>
      <c r="L55">
        <v>56</v>
      </c>
      <c r="M55">
        <v>5</v>
      </c>
      <c r="N55">
        <v>1995</v>
      </c>
      <c r="O55">
        <v>0.27</v>
      </c>
      <c r="P55">
        <v>2.4700000000000002</v>
      </c>
      <c r="Q55">
        <v>1.4999999999999999E-2</v>
      </c>
      <c r="R55">
        <v>65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427.398802241574</v>
      </c>
      <c r="B56">
        <v>35</v>
      </c>
      <c r="C56">
        <v>8.547976044831481</v>
      </c>
      <c r="D56">
        <v>465.96069999999997</v>
      </c>
      <c r="E56">
        <v>688.28713692946053</v>
      </c>
      <c r="F56">
        <v>185.38890000000001</v>
      </c>
      <c r="G56">
        <v>82.895399999999995</v>
      </c>
      <c r="H56">
        <v>39</v>
      </c>
      <c r="I56">
        <v>57</v>
      </c>
      <c r="J56">
        <v>9</v>
      </c>
      <c r="K56">
        <v>52</v>
      </c>
      <c r="L56">
        <v>54</v>
      </c>
      <c r="M56">
        <v>5</v>
      </c>
      <c r="N56">
        <v>1995</v>
      </c>
      <c r="O56">
        <v>0.27</v>
      </c>
      <c r="P56">
        <v>2.4700000000000002</v>
      </c>
      <c r="Q56">
        <v>1.4999999999999999E-2</v>
      </c>
      <c r="R56">
        <v>65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341.51132694398689</v>
      </c>
      <c r="B57">
        <v>28</v>
      </c>
      <c r="C57">
        <v>8.5377831735996743</v>
      </c>
      <c r="D57">
        <v>415.85664000000003</v>
      </c>
      <c r="E57">
        <v>690.98613757039914</v>
      </c>
      <c r="F57">
        <v>197.70624000000001</v>
      </c>
      <c r="G57">
        <v>66.286079999999998</v>
      </c>
      <c r="H57">
        <v>8</v>
      </c>
      <c r="I57">
        <v>52</v>
      </c>
      <c r="J57">
        <v>4</v>
      </c>
      <c r="K57">
        <v>93</v>
      </c>
      <c r="L57">
        <v>59</v>
      </c>
      <c r="M57">
        <v>3</v>
      </c>
      <c r="N57">
        <v>1995</v>
      </c>
      <c r="O57">
        <v>0.27</v>
      </c>
      <c r="P57">
        <v>2.4700000000000002</v>
      </c>
      <c r="Q57">
        <v>1.4999999999999999E-2</v>
      </c>
      <c r="R57">
        <v>65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339.70174603821181</v>
      </c>
      <c r="B58">
        <v>28</v>
      </c>
      <c r="C58">
        <v>8.4925436509552945</v>
      </c>
      <c r="D58">
        <v>1264.6007999999999</v>
      </c>
      <c r="E58">
        <v>671.32780082987563</v>
      </c>
      <c r="F58">
        <v>196.74306000000001</v>
      </c>
      <c r="G58">
        <v>65.581020000000009</v>
      </c>
      <c r="H58">
        <v>9</v>
      </c>
      <c r="I58">
        <v>51</v>
      </c>
      <c r="J58">
        <v>3</v>
      </c>
      <c r="K58">
        <v>161</v>
      </c>
      <c r="L58">
        <v>62</v>
      </c>
      <c r="M58">
        <v>21</v>
      </c>
      <c r="N58">
        <v>1995</v>
      </c>
      <c r="O58">
        <v>0.27</v>
      </c>
      <c r="P58">
        <v>2.4700000000000002</v>
      </c>
      <c r="Q58">
        <v>1.4999999999999999E-2</v>
      </c>
      <c r="R58">
        <v>65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339.61218229703888</v>
      </c>
      <c r="B59">
        <v>28</v>
      </c>
      <c r="C59">
        <v>8.4903045574259739</v>
      </c>
      <c r="D59">
        <v>482.63040000000001</v>
      </c>
      <c r="E59">
        <v>691.30496020279293</v>
      </c>
      <c r="F59">
        <v>218.9376</v>
      </c>
      <c r="G59">
        <v>65.923199999999994</v>
      </c>
      <c r="H59">
        <v>39</v>
      </c>
      <c r="I59">
        <v>54</v>
      </c>
      <c r="J59">
        <v>7</v>
      </c>
      <c r="K59">
        <v>235</v>
      </c>
      <c r="L59">
        <v>56</v>
      </c>
      <c r="M59">
        <v>4</v>
      </c>
      <c r="N59">
        <v>1995</v>
      </c>
      <c r="O59">
        <v>0.27</v>
      </c>
      <c r="P59">
        <v>2.4700000000000002</v>
      </c>
      <c r="Q59">
        <v>1.4999999999999999E-2</v>
      </c>
      <c r="R59">
        <v>65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354.14028514296569</v>
      </c>
      <c r="B60">
        <v>29.4</v>
      </c>
      <c r="C60">
        <v>8.4319115510229921</v>
      </c>
      <c r="D60">
        <v>411.10700000000003</v>
      </c>
      <c r="E60">
        <v>689.47717842323641</v>
      </c>
      <c r="F60">
        <v>206.20099999999999</v>
      </c>
      <c r="G60">
        <v>68.709000000000003</v>
      </c>
      <c r="H60">
        <v>33</v>
      </c>
      <c r="I60">
        <v>46</v>
      </c>
      <c r="J60">
        <v>5</v>
      </c>
      <c r="K60">
        <v>96</v>
      </c>
      <c r="L60">
        <v>58</v>
      </c>
      <c r="M60">
        <v>20</v>
      </c>
      <c r="N60">
        <v>1995</v>
      </c>
      <c r="O60">
        <v>0.27</v>
      </c>
      <c r="P60">
        <v>2.4700000000000002</v>
      </c>
      <c r="Q60">
        <v>1.4999999999999999E-2</v>
      </c>
      <c r="R60">
        <v>65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354.14028514296569</v>
      </c>
      <c r="B61">
        <v>29.4</v>
      </c>
      <c r="C61">
        <v>8.4319115510229921</v>
      </c>
      <c r="D61">
        <v>411.10700000000003</v>
      </c>
      <c r="E61">
        <v>689.47717842323641</v>
      </c>
      <c r="F61">
        <v>206.20099999999999</v>
      </c>
      <c r="G61">
        <v>68.709000000000003</v>
      </c>
      <c r="H61">
        <v>332</v>
      </c>
      <c r="I61">
        <v>46</v>
      </c>
      <c r="J61">
        <v>5</v>
      </c>
      <c r="K61">
        <v>96</v>
      </c>
      <c r="L61">
        <v>58</v>
      </c>
      <c r="M61">
        <v>20</v>
      </c>
      <c r="N61">
        <v>1995</v>
      </c>
      <c r="O61">
        <v>0.27</v>
      </c>
      <c r="P61">
        <v>2.4700000000000002</v>
      </c>
      <c r="Q61">
        <v>1.4999999999999999E-2</v>
      </c>
      <c r="R61">
        <v>65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420.47658974696043</v>
      </c>
      <c r="B62">
        <v>35</v>
      </c>
      <c r="C62">
        <v>8.409531794939209</v>
      </c>
      <c r="D62">
        <v>466.64069999999998</v>
      </c>
      <c r="E62">
        <v>688.37178423236526</v>
      </c>
      <c r="F62">
        <v>185.79689999999999</v>
      </c>
      <c r="G62">
        <v>81.554700000000011</v>
      </c>
      <c r="H62">
        <v>39</v>
      </c>
      <c r="I62">
        <v>56</v>
      </c>
      <c r="J62">
        <v>9</v>
      </c>
      <c r="K62">
        <v>53</v>
      </c>
      <c r="L62">
        <v>55</v>
      </c>
      <c r="M62">
        <v>5</v>
      </c>
      <c r="N62">
        <v>1995</v>
      </c>
      <c r="O62">
        <v>0.27</v>
      </c>
      <c r="P62">
        <v>2.4700000000000002</v>
      </c>
      <c r="Q62">
        <v>1.4999999999999999E-2</v>
      </c>
      <c r="R62">
        <v>65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336.17138830414552</v>
      </c>
      <c r="B63">
        <v>28</v>
      </c>
      <c r="C63">
        <v>8.4042847076036384</v>
      </c>
      <c r="D63">
        <v>677.99232000000006</v>
      </c>
      <c r="E63">
        <v>686.4398340248963</v>
      </c>
      <c r="F63">
        <v>195.50592</v>
      </c>
      <c r="G63">
        <v>65.168640000000011</v>
      </c>
      <c r="H63">
        <v>8</v>
      </c>
      <c r="I63">
        <v>51</v>
      </c>
      <c r="J63">
        <v>4</v>
      </c>
      <c r="K63">
        <v>143</v>
      </c>
      <c r="L63">
        <v>56</v>
      </c>
      <c r="M63">
        <v>9</v>
      </c>
      <c r="N63">
        <v>1995</v>
      </c>
      <c r="O63">
        <v>0.27</v>
      </c>
      <c r="P63">
        <v>2.4700000000000002</v>
      </c>
      <c r="Q63">
        <v>1.4999999999999999E-2</v>
      </c>
      <c r="R63">
        <v>65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377.30883549781532</v>
      </c>
      <c r="B64">
        <v>31.858974358974361</v>
      </c>
      <c r="C64">
        <v>8.2901659630505904</v>
      </c>
      <c r="D64">
        <v>896.88</v>
      </c>
      <c r="E64">
        <v>681.16975070288231</v>
      </c>
      <c r="F64">
        <v>226.43704</v>
      </c>
      <c r="G64">
        <v>73.037999999999997</v>
      </c>
      <c r="H64">
        <v>164</v>
      </c>
      <c r="I64">
        <v>53</v>
      </c>
      <c r="J64">
        <v>5</v>
      </c>
      <c r="K64">
        <v>293</v>
      </c>
      <c r="L64">
        <v>59</v>
      </c>
      <c r="M64">
        <v>22</v>
      </c>
      <c r="N64">
        <v>1995</v>
      </c>
      <c r="O64">
        <v>0.27</v>
      </c>
      <c r="P64">
        <v>2.4700000000000002</v>
      </c>
      <c r="Q64">
        <v>1.4999999999999999E-2</v>
      </c>
      <c r="R64">
        <v>65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341.85300392071252</v>
      </c>
      <c r="B65">
        <v>29.400000000000009</v>
      </c>
      <c r="C65">
        <v>8.1393572362074398</v>
      </c>
      <c r="D65">
        <v>401.30200000000002</v>
      </c>
      <c r="E65">
        <v>690.35684647302901</v>
      </c>
      <c r="F65">
        <v>202.279</v>
      </c>
      <c r="G65">
        <v>66.340999999999994</v>
      </c>
      <c r="H65">
        <v>43</v>
      </c>
      <c r="I65">
        <v>55</v>
      </c>
      <c r="J65">
        <v>4</v>
      </c>
      <c r="K65">
        <v>96</v>
      </c>
      <c r="L65">
        <v>57</v>
      </c>
      <c r="M65">
        <v>20</v>
      </c>
      <c r="N65">
        <v>1995</v>
      </c>
      <c r="O65">
        <v>0.27</v>
      </c>
      <c r="P65">
        <v>2.4700000000000002</v>
      </c>
      <c r="Q65">
        <v>1.4999999999999999E-2</v>
      </c>
      <c r="R65">
        <v>65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417.48563356475512</v>
      </c>
      <c r="B66">
        <v>36.4</v>
      </c>
      <c r="C66">
        <v>8.0285698762452906</v>
      </c>
      <c r="D66">
        <v>387.1275</v>
      </c>
      <c r="E66">
        <v>690.35726724775486</v>
      </c>
      <c r="F66">
        <v>317.3965</v>
      </c>
      <c r="G66">
        <v>81.018500000000003</v>
      </c>
      <c r="H66">
        <v>163</v>
      </c>
      <c r="I66">
        <v>55</v>
      </c>
      <c r="J66">
        <v>11</v>
      </c>
      <c r="K66">
        <v>323</v>
      </c>
      <c r="L66">
        <v>58</v>
      </c>
      <c r="M66">
        <v>30</v>
      </c>
      <c r="N66">
        <v>1995</v>
      </c>
      <c r="O66">
        <v>0.27</v>
      </c>
      <c r="P66">
        <v>2.4700000000000002</v>
      </c>
      <c r="Q66">
        <v>1.4999999999999999E-2</v>
      </c>
      <c r="R66">
        <v>65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397.0797259635217</v>
      </c>
      <c r="B67">
        <v>35</v>
      </c>
      <c r="C67">
        <v>7.941594519270434</v>
      </c>
      <c r="D67">
        <v>557.42975999999999</v>
      </c>
      <c r="E67">
        <v>685.82904564315356</v>
      </c>
      <c r="F67">
        <v>203.42975999999999</v>
      </c>
      <c r="G67">
        <v>76.963200000000015</v>
      </c>
      <c r="H67">
        <v>8</v>
      </c>
      <c r="I67">
        <v>65</v>
      </c>
      <c r="J67">
        <v>4</v>
      </c>
      <c r="K67">
        <v>39</v>
      </c>
      <c r="L67">
        <v>48</v>
      </c>
      <c r="M67">
        <v>4</v>
      </c>
      <c r="N67">
        <v>1995</v>
      </c>
      <c r="O67">
        <v>0.27</v>
      </c>
      <c r="P67">
        <v>2.4700000000000002</v>
      </c>
      <c r="Q67">
        <v>1.4999999999999999E-2</v>
      </c>
      <c r="R67">
        <v>65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396.1400809669251</v>
      </c>
      <c r="B68">
        <v>35</v>
      </c>
      <c r="C68">
        <v>7.9228016193385038</v>
      </c>
      <c r="D68">
        <v>1268.7360000000001</v>
      </c>
      <c r="E68">
        <v>678.25394190871373</v>
      </c>
      <c r="F68">
        <v>176.26112000000001</v>
      </c>
      <c r="G68">
        <v>76.622079999999997</v>
      </c>
      <c r="H68">
        <v>39</v>
      </c>
      <c r="I68">
        <v>56</v>
      </c>
      <c r="J68">
        <v>8</v>
      </c>
      <c r="K68">
        <v>161</v>
      </c>
      <c r="L68">
        <v>57</v>
      </c>
      <c r="M68">
        <v>24</v>
      </c>
      <c r="N68">
        <v>1995</v>
      </c>
      <c r="O68">
        <v>0.27</v>
      </c>
      <c r="P68">
        <v>2.4700000000000002</v>
      </c>
      <c r="Q68">
        <v>1.4999999999999999E-2</v>
      </c>
      <c r="R68">
        <v>65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355.91681227066198</v>
      </c>
      <c r="B69">
        <v>31.5</v>
      </c>
      <c r="C69">
        <v>7.9092624949035981</v>
      </c>
      <c r="D69">
        <v>507.5136</v>
      </c>
      <c r="E69">
        <v>689.04896265560171</v>
      </c>
      <c r="F69">
        <v>231.3312</v>
      </c>
      <c r="G69">
        <v>69.045600000000007</v>
      </c>
      <c r="H69">
        <v>22</v>
      </c>
      <c r="I69">
        <v>56</v>
      </c>
      <c r="J69">
        <v>3</v>
      </c>
      <c r="K69">
        <v>39</v>
      </c>
      <c r="L69">
        <v>48</v>
      </c>
      <c r="M69">
        <v>4</v>
      </c>
      <c r="N69">
        <v>1995</v>
      </c>
      <c r="O69">
        <v>0.27</v>
      </c>
      <c r="P69">
        <v>2.4700000000000002</v>
      </c>
      <c r="Q69">
        <v>1.4999999999999999E-2</v>
      </c>
      <c r="R69">
        <v>65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568.09420165180541</v>
      </c>
      <c r="B70">
        <v>50.400000000000013</v>
      </c>
      <c r="C70">
        <v>7.8901972451639626</v>
      </c>
      <c r="D70">
        <v>618.899</v>
      </c>
      <c r="E70">
        <v>685.65809128630713</v>
      </c>
      <c r="F70">
        <v>201.27260000000001</v>
      </c>
      <c r="G70">
        <v>110.1046</v>
      </c>
      <c r="H70">
        <v>111</v>
      </c>
      <c r="I70">
        <v>57</v>
      </c>
      <c r="J70">
        <v>37</v>
      </c>
      <c r="K70">
        <v>96</v>
      </c>
      <c r="L70">
        <v>56</v>
      </c>
      <c r="M70">
        <v>20</v>
      </c>
      <c r="N70">
        <v>1995</v>
      </c>
      <c r="O70">
        <v>0.27</v>
      </c>
      <c r="P70">
        <v>2.4700000000000002</v>
      </c>
      <c r="Q70">
        <v>1.4999999999999999E-2</v>
      </c>
      <c r="R70">
        <v>65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347.70575569232813</v>
      </c>
      <c r="B71">
        <v>30.93094405594405</v>
      </c>
      <c r="C71">
        <v>7.8689492485068921</v>
      </c>
      <c r="D71">
        <v>879.25199999999995</v>
      </c>
      <c r="E71">
        <v>683.25687220613247</v>
      </c>
      <c r="F71">
        <v>220.17248000000001</v>
      </c>
      <c r="G71">
        <v>67.346000000000004</v>
      </c>
      <c r="H71">
        <v>95</v>
      </c>
      <c r="I71">
        <v>54</v>
      </c>
      <c r="J71">
        <v>5</v>
      </c>
      <c r="K71">
        <v>293</v>
      </c>
      <c r="L71">
        <v>58</v>
      </c>
      <c r="M71">
        <v>22</v>
      </c>
      <c r="N71">
        <v>1995</v>
      </c>
      <c r="O71">
        <v>0.27</v>
      </c>
      <c r="P71">
        <v>2.4700000000000002</v>
      </c>
      <c r="Q71">
        <v>1.4999999999999999E-2</v>
      </c>
      <c r="R71">
        <v>65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391.9058786275429</v>
      </c>
      <c r="B72">
        <v>35</v>
      </c>
      <c r="C72">
        <v>7.8381175725508587</v>
      </c>
      <c r="D72">
        <v>614.36372500000004</v>
      </c>
      <c r="E72">
        <v>683.17676348547707</v>
      </c>
      <c r="F72">
        <v>204.23222999999999</v>
      </c>
      <c r="G72">
        <v>75.905315000000002</v>
      </c>
      <c r="H72">
        <v>52</v>
      </c>
      <c r="I72">
        <v>56</v>
      </c>
      <c r="J72">
        <v>11</v>
      </c>
      <c r="K72">
        <v>142</v>
      </c>
      <c r="L72">
        <v>57</v>
      </c>
      <c r="M72">
        <v>17</v>
      </c>
      <c r="N72">
        <v>1995</v>
      </c>
      <c r="O72">
        <v>0.27</v>
      </c>
      <c r="P72">
        <v>2.4700000000000002</v>
      </c>
      <c r="Q72">
        <v>1.4999999999999999E-2</v>
      </c>
      <c r="R72">
        <v>65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391.09216458385129</v>
      </c>
      <c r="B73">
        <v>35</v>
      </c>
      <c r="C73">
        <v>7.821843291677026</v>
      </c>
      <c r="D73">
        <v>469.33920000000001</v>
      </c>
      <c r="E73">
        <v>690.45643153526964</v>
      </c>
      <c r="F73">
        <v>195.4272</v>
      </c>
      <c r="G73">
        <v>75.898560000000003</v>
      </c>
      <c r="H73">
        <v>8</v>
      </c>
      <c r="I73">
        <v>64</v>
      </c>
      <c r="J73">
        <v>4</v>
      </c>
      <c r="K73">
        <v>55</v>
      </c>
      <c r="L73">
        <v>48</v>
      </c>
      <c r="M73">
        <v>5</v>
      </c>
      <c r="N73">
        <v>1995</v>
      </c>
      <c r="O73">
        <v>0.27</v>
      </c>
      <c r="P73">
        <v>2.4700000000000002</v>
      </c>
      <c r="Q73">
        <v>1.4999999999999999E-2</v>
      </c>
      <c r="R73">
        <v>65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349.71742374818359</v>
      </c>
      <c r="B74">
        <v>31.5</v>
      </c>
      <c r="C74">
        <v>7.7714983055151929</v>
      </c>
      <c r="D74">
        <v>412.56</v>
      </c>
      <c r="E74">
        <v>690.37344398340247</v>
      </c>
      <c r="F74">
        <v>217.32</v>
      </c>
      <c r="G74">
        <v>67.867500000000007</v>
      </c>
      <c r="H74">
        <v>22</v>
      </c>
      <c r="I74">
        <v>55</v>
      </c>
      <c r="J74">
        <v>3</v>
      </c>
      <c r="K74">
        <v>54</v>
      </c>
      <c r="L74">
        <v>50</v>
      </c>
      <c r="M74">
        <v>2</v>
      </c>
      <c r="N74">
        <v>1995</v>
      </c>
      <c r="O74">
        <v>0.27</v>
      </c>
      <c r="P74">
        <v>2.4700000000000002</v>
      </c>
      <c r="Q74">
        <v>1.4999999999999999E-2</v>
      </c>
      <c r="R74">
        <v>65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387.73926696999058</v>
      </c>
      <c r="B75">
        <v>35</v>
      </c>
      <c r="C75">
        <v>7.7547853393998141</v>
      </c>
      <c r="D75">
        <v>1456.8805500000001</v>
      </c>
      <c r="E75">
        <v>674.75850622406642</v>
      </c>
      <c r="F75">
        <v>163.17074</v>
      </c>
      <c r="G75">
        <v>74.925370000000001</v>
      </c>
      <c r="H75">
        <v>142</v>
      </c>
      <c r="I75">
        <v>62</v>
      </c>
      <c r="J75">
        <v>41</v>
      </c>
      <c r="K75">
        <v>161</v>
      </c>
      <c r="L75">
        <v>50</v>
      </c>
      <c r="M75">
        <v>15</v>
      </c>
      <c r="N75">
        <v>1995</v>
      </c>
      <c r="O75">
        <v>0.27</v>
      </c>
      <c r="P75">
        <v>2.4700000000000002</v>
      </c>
      <c r="Q75">
        <v>1.4999999999999999E-2</v>
      </c>
      <c r="R75">
        <v>65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347.88082826388302</v>
      </c>
      <c r="B76">
        <v>31.5</v>
      </c>
      <c r="C76">
        <v>7.7306850725307337</v>
      </c>
      <c r="D76">
        <v>695.30399999999997</v>
      </c>
      <c r="E76">
        <v>683.70124481327798</v>
      </c>
      <c r="F76">
        <v>219.69120000000001</v>
      </c>
      <c r="G76">
        <v>67.388100000000009</v>
      </c>
      <c r="H76">
        <v>22</v>
      </c>
      <c r="I76">
        <v>53</v>
      </c>
      <c r="J76">
        <v>3</v>
      </c>
      <c r="K76">
        <v>142</v>
      </c>
      <c r="L76">
        <v>60</v>
      </c>
      <c r="M76">
        <v>16</v>
      </c>
      <c r="N76">
        <v>1995</v>
      </c>
      <c r="O76">
        <v>0.27</v>
      </c>
      <c r="P76">
        <v>2.4700000000000002</v>
      </c>
      <c r="Q76">
        <v>1.4999999999999999E-2</v>
      </c>
      <c r="R76">
        <v>65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385.45121498673211</v>
      </c>
      <c r="B77">
        <v>35</v>
      </c>
      <c r="C77">
        <v>7.7090242997346419</v>
      </c>
      <c r="D77">
        <v>371.9425</v>
      </c>
      <c r="E77">
        <v>690.95435684647305</v>
      </c>
      <c r="F77">
        <v>172.17949999999999</v>
      </c>
      <c r="G77">
        <v>74.813999999999993</v>
      </c>
      <c r="H77">
        <v>33</v>
      </c>
      <c r="I77">
        <v>52</v>
      </c>
      <c r="J77">
        <v>5</v>
      </c>
      <c r="K77">
        <v>52</v>
      </c>
      <c r="L77">
        <v>56</v>
      </c>
      <c r="M77">
        <v>5</v>
      </c>
      <c r="N77">
        <v>1995</v>
      </c>
      <c r="O77">
        <v>0.27</v>
      </c>
      <c r="P77">
        <v>2.4700000000000002</v>
      </c>
      <c r="Q77">
        <v>1.4999999999999999E-2</v>
      </c>
      <c r="R77">
        <v>65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385.45121498673211</v>
      </c>
      <c r="B78">
        <v>35</v>
      </c>
      <c r="C78">
        <v>7.7090242997346419</v>
      </c>
      <c r="D78">
        <v>371.9425</v>
      </c>
      <c r="E78">
        <v>690.95435684647305</v>
      </c>
      <c r="F78">
        <v>172.17949999999999</v>
      </c>
      <c r="G78">
        <v>74.813999999999993</v>
      </c>
      <c r="H78">
        <v>332</v>
      </c>
      <c r="I78">
        <v>52</v>
      </c>
      <c r="J78">
        <v>5</v>
      </c>
      <c r="K78">
        <v>52</v>
      </c>
      <c r="L78">
        <v>56</v>
      </c>
      <c r="M78">
        <v>5</v>
      </c>
      <c r="N78">
        <v>1995</v>
      </c>
      <c r="O78">
        <v>0.27</v>
      </c>
      <c r="P78">
        <v>2.4700000000000002</v>
      </c>
      <c r="Q78">
        <v>1.4999999999999999E-2</v>
      </c>
      <c r="R78">
        <v>65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>
      <c r="A79">
        <v>448.78675641239602</v>
      </c>
      <c r="B79">
        <v>41.06666666666667</v>
      </c>
      <c r="C79">
        <v>7.6497742570294767</v>
      </c>
      <c r="D79">
        <v>375.7824</v>
      </c>
      <c r="E79">
        <v>692.90036267212986</v>
      </c>
      <c r="F79">
        <v>258.8544</v>
      </c>
      <c r="G79">
        <v>87.153360000000006</v>
      </c>
      <c r="H79">
        <v>164</v>
      </c>
      <c r="I79">
        <v>56</v>
      </c>
      <c r="J79">
        <v>6</v>
      </c>
      <c r="K79">
        <v>126</v>
      </c>
      <c r="L79">
        <v>57</v>
      </c>
      <c r="M79">
        <v>29</v>
      </c>
      <c r="N79">
        <v>1995</v>
      </c>
      <c r="O79">
        <v>0.27</v>
      </c>
      <c r="P79">
        <v>2.4700000000000002</v>
      </c>
      <c r="Q79">
        <v>1.4999999999999999E-2</v>
      </c>
      <c r="R79">
        <v>65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>
      <c r="A80">
        <v>382.21580953151488</v>
      </c>
      <c r="B80">
        <v>35</v>
      </c>
      <c r="C80">
        <v>7.644316190630299</v>
      </c>
      <c r="D80">
        <v>516.47720000000004</v>
      </c>
      <c r="E80">
        <v>688.62240663900411</v>
      </c>
      <c r="F80">
        <v>196.5224</v>
      </c>
      <c r="G80">
        <v>74.138800000000018</v>
      </c>
      <c r="H80">
        <v>8</v>
      </c>
      <c r="I80">
        <v>49</v>
      </c>
      <c r="J80">
        <v>5</v>
      </c>
      <c r="K80">
        <v>33</v>
      </c>
      <c r="L80">
        <v>58</v>
      </c>
      <c r="M80">
        <v>2</v>
      </c>
      <c r="N80">
        <v>1995</v>
      </c>
      <c r="O80">
        <v>0.27</v>
      </c>
      <c r="P80">
        <v>2.4700000000000002</v>
      </c>
      <c r="Q80">
        <v>1.4999999999999999E-2</v>
      </c>
      <c r="R80">
        <v>65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>
      <c r="A81">
        <v>382.21580953151488</v>
      </c>
      <c r="B81">
        <v>35</v>
      </c>
      <c r="C81">
        <v>7.644316190630299</v>
      </c>
      <c r="D81">
        <v>516.47720000000004</v>
      </c>
      <c r="E81">
        <v>688.62240663900411</v>
      </c>
      <c r="F81">
        <v>196.5224</v>
      </c>
      <c r="G81">
        <v>74.138800000000018</v>
      </c>
      <c r="H81">
        <v>8</v>
      </c>
      <c r="I81">
        <v>49</v>
      </c>
      <c r="J81">
        <v>5</v>
      </c>
      <c r="K81">
        <v>332</v>
      </c>
      <c r="L81">
        <v>58</v>
      </c>
      <c r="M81">
        <v>2</v>
      </c>
      <c r="N81">
        <v>1995</v>
      </c>
      <c r="O81">
        <v>0.27</v>
      </c>
      <c r="P81">
        <v>2.4700000000000002</v>
      </c>
      <c r="Q81">
        <v>1.4999999999999999E-2</v>
      </c>
      <c r="R81">
        <v>65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>
      <c r="A82">
        <v>356.24948554294667</v>
      </c>
      <c r="B82">
        <v>32.666666666666657</v>
      </c>
      <c r="C82">
        <v>7.633917547348859</v>
      </c>
      <c r="D82">
        <v>395.71499999999997</v>
      </c>
      <c r="E82">
        <v>692.29990573629789</v>
      </c>
      <c r="F82">
        <v>212.34299999999999</v>
      </c>
      <c r="G82">
        <v>69.171499999999995</v>
      </c>
      <c r="H82">
        <v>164</v>
      </c>
      <c r="I82">
        <v>50</v>
      </c>
      <c r="J82">
        <v>5</v>
      </c>
      <c r="K82">
        <v>160</v>
      </c>
      <c r="L82">
        <v>59</v>
      </c>
      <c r="M82">
        <v>14</v>
      </c>
      <c r="N82">
        <v>1995</v>
      </c>
      <c r="O82">
        <v>0.27</v>
      </c>
      <c r="P82">
        <v>2.4700000000000002</v>
      </c>
      <c r="Q82">
        <v>1.4999999999999999E-2</v>
      </c>
      <c r="R82">
        <v>65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>
      <c r="A83">
        <v>343.27747497235299</v>
      </c>
      <c r="B83">
        <v>31.5</v>
      </c>
      <c r="C83">
        <v>7.6283883327189574</v>
      </c>
      <c r="D83">
        <v>412.92</v>
      </c>
      <c r="E83">
        <v>674.14107883817428</v>
      </c>
      <c r="F83">
        <v>217.56</v>
      </c>
      <c r="G83">
        <v>66.322500000000005</v>
      </c>
      <c r="H83">
        <v>22</v>
      </c>
      <c r="I83">
        <v>53</v>
      </c>
      <c r="J83">
        <v>3</v>
      </c>
      <c r="K83">
        <v>55</v>
      </c>
      <c r="L83">
        <v>60</v>
      </c>
      <c r="M83">
        <v>4</v>
      </c>
      <c r="N83">
        <v>1995</v>
      </c>
      <c r="O83">
        <v>0.27</v>
      </c>
      <c r="P83">
        <v>2.4700000000000002</v>
      </c>
      <c r="Q83">
        <v>1.4999999999999999E-2</v>
      </c>
      <c r="R83">
        <v>65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>
      <c r="A84">
        <v>342.58017901677499</v>
      </c>
      <c r="B84">
        <v>31.5</v>
      </c>
      <c r="C84">
        <v>7.6128928670394416</v>
      </c>
      <c r="D84">
        <v>458.09699999999998</v>
      </c>
      <c r="E84">
        <v>690.12448132780082</v>
      </c>
      <c r="F84">
        <v>217.8708</v>
      </c>
      <c r="G84">
        <v>66.477899999999991</v>
      </c>
      <c r="H84">
        <v>22</v>
      </c>
      <c r="I84">
        <v>53</v>
      </c>
      <c r="J84">
        <v>3</v>
      </c>
      <c r="K84">
        <v>33</v>
      </c>
      <c r="L84">
        <v>57</v>
      </c>
      <c r="M84">
        <v>2</v>
      </c>
      <c r="N84">
        <v>1995</v>
      </c>
      <c r="O84">
        <v>0.27</v>
      </c>
      <c r="P84">
        <v>2.4700000000000002</v>
      </c>
      <c r="Q84">
        <v>1.4999999999999999E-2</v>
      </c>
      <c r="R84">
        <v>65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>
      <c r="A85">
        <v>342.58017901677499</v>
      </c>
      <c r="B85">
        <v>31.5</v>
      </c>
      <c r="C85">
        <v>7.6128928670394416</v>
      </c>
      <c r="D85">
        <v>458.09699999999998</v>
      </c>
      <c r="E85">
        <v>690.12448132780082</v>
      </c>
      <c r="F85">
        <v>217.8708</v>
      </c>
      <c r="G85">
        <v>66.477899999999991</v>
      </c>
      <c r="H85">
        <v>22</v>
      </c>
      <c r="I85">
        <v>53</v>
      </c>
      <c r="J85">
        <v>3</v>
      </c>
      <c r="K85">
        <v>332</v>
      </c>
      <c r="L85">
        <v>57</v>
      </c>
      <c r="M85">
        <v>2</v>
      </c>
      <c r="N85">
        <v>1995</v>
      </c>
      <c r="O85">
        <v>0.27</v>
      </c>
      <c r="P85">
        <v>2.4700000000000002</v>
      </c>
      <c r="Q85">
        <v>1.4999999999999999E-2</v>
      </c>
      <c r="R85">
        <v>65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>
      <c r="A86">
        <v>380.55616895017909</v>
      </c>
      <c r="B86">
        <v>35</v>
      </c>
      <c r="C86">
        <v>7.6111233790035824</v>
      </c>
      <c r="D86">
        <v>601.8182250000001</v>
      </c>
      <c r="E86">
        <v>688.19253112033198</v>
      </c>
      <c r="F86">
        <v>196.70492999999999</v>
      </c>
      <c r="G86">
        <v>73.808209999999988</v>
      </c>
      <c r="H86">
        <v>53</v>
      </c>
      <c r="I86">
        <v>55</v>
      </c>
      <c r="J86">
        <v>11</v>
      </c>
      <c r="K86">
        <v>142</v>
      </c>
      <c r="L86">
        <v>58</v>
      </c>
      <c r="M86">
        <v>17</v>
      </c>
      <c r="N86">
        <v>1995</v>
      </c>
      <c r="O86">
        <v>0.27</v>
      </c>
      <c r="P86">
        <v>2.4700000000000002</v>
      </c>
      <c r="Q86">
        <v>1.4999999999999999E-2</v>
      </c>
      <c r="R86">
        <v>65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>
      <c r="A87">
        <v>380.19322327278007</v>
      </c>
      <c r="B87">
        <v>35</v>
      </c>
      <c r="C87">
        <v>7.6038644654556018</v>
      </c>
      <c r="D87">
        <v>757.02719999999999</v>
      </c>
      <c r="E87">
        <v>668.20580912863068</v>
      </c>
      <c r="F87">
        <v>169.31440000000001</v>
      </c>
      <c r="G87">
        <v>73.3352</v>
      </c>
      <c r="H87">
        <v>39</v>
      </c>
      <c r="I87">
        <v>62</v>
      </c>
      <c r="J87">
        <v>7</v>
      </c>
      <c r="K87">
        <v>2</v>
      </c>
      <c r="L87">
        <v>51</v>
      </c>
      <c r="M87">
        <v>4</v>
      </c>
      <c r="N87">
        <v>1995</v>
      </c>
      <c r="O87">
        <v>0.27</v>
      </c>
      <c r="P87">
        <v>2.4700000000000002</v>
      </c>
      <c r="Q87">
        <v>1.4999999999999999E-2</v>
      </c>
      <c r="R87">
        <v>65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>
      <c r="A88">
        <v>485.8151316074489</v>
      </c>
      <c r="B88">
        <v>44.744000000000007</v>
      </c>
      <c r="C88">
        <v>7.6003618837210398</v>
      </c>
      <c r="D88">
        <v>746.93339999999989</v>
      </c>
      <c r="E88">
        <v>685.41078838174269</v>
      </c>
      <c r="F88">
        <v>411.22188</v>
      </c>
      <c r="G88">
        <v>94.15140000000001</v>
      </c>
      <c r="H88">
        <v>112</v>
      </c>
      <c r="I88">
        <v>58</v>
      </c>
      <c r="J88">
        <v>7</v>
      </c>
      <c r="K88">
        <v>40</v>
      </c>
      <c r="L88">
        <v>58</v>
      </c>
      <c r="M88">
        <v>6</v>
      </c>
      <c r="N88">
        <v>1995</v>
      </c>
      <c r="O88">
        <v>0.27</v>
      </c>
      <c r="P88">
        <v>2.4700000000000002</v>
      </c>
      <c r="Q88">
        <v>1.4999999999999999E-2</v>
      </c>
      <c r="R88">
        <v>65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>
      <c r="A89">
        <v>379.86829950529722</v>
      </c>
      <c r="B89">
        <v>35</v>
      </c>
      <c r="C89">
        <v>7.5973659901059447</v>
      </c>
      <c r="D89">
        <v>534.15359999999998</v>
      </c>
      <c r="E89">
        <v>688.21742738589217</v>
      </c>
      <c r="F89">
        <v>194.7012</v>
      </c>
      <c r="G89">
        <v>73.675300000000007</v>
      </c>
      <c r="H89">
        <v>9</v>
      </c>
      <c r="I89">
        <v>61</v>
      </c>
      <c r="J89">
        <v>3</v>
      </c>
      <c r="K89">
        <v>39</v>
      </c>
      <c r="L89">
        <v>49</v>
      </c>
      <c r="M89">
        <v>4</v>
      </c>
      <c r="N89">
        <v>1995</v>
      </c>
      <c r="O89">
        <v>0.27</v>
      </c>
      <c r="P89">
        <v>2.4700000000000002</v>
      </c>
      <c r="Q89">
        <v>1.4999999999999999E-2</v>
      </c>
      <c r="R89">
        <v>65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>
      <c r="A90">
        <v>339.71472849238052</v>
      </c>
      <c r="B90">
        <v>31.5</v>
      </c>
      <c r="C90">
        <v>7.5492161887195666</v>
      </c>
      <c r="D90">
        <v>412.93979999999999</v>
      </c>
      <c r="E90">
        <v>690.22406639004157</v>
      </c>
      <c r="F90">
        <v>217.57320000000001</v>
      </c>
      <c r="G90">
        <v>65.923649999999995</v>
      </c>
      <c r="H90">
        <v>22</v>
      </c>
      <c r="I90">
        <v>52</v>
      </c>
      <c r="J90">
        <v>3</v>
      </c>
      <c r="K90">
        <v>36</v>
      </c>
      <c r="L90">
        <v>53</v>
      </c>
      <c r="M90">
        <v>3</v>
      </c>
      <c r="N90">
        <v>1995</v>
      </c>
      <c r="O90">
        <v>0.27</v>
      </c>
      <c r="P90">
        <v>2.4700000000000002</v>
      </c>
      <c r="Q90">
        <v>1.4999999999999999E-2</v>
      </c>
      <c r="R90">
        <v>65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>
      <c r="A91">
        <v>376.8407848054074</v>
      </c>
      <c r="B91">
        <v>35</v>
      </c>
      <c r="C91">
        <v>7.5368156961081487</v>
      </c>
      <c r="D91">
        <v>1117.5552</v>
      </c>
      <c r="E91">
        <v>677.37759336099577</v>
      </c>
      <c r="F91">
        <v>170.03904</v>
      </c>
      <c r="G91">
        <v>72.871679999999998</v>
      </c>
      <c r="H91">
        <v>54</v>
      </c>
      <c r="I91">
        <v>55</v>
      </c>
      <c r="J91">
        <v>4</v>
      </c>
      <c r="K91">
        <v>161</v>
      </c>
      <c r="L91">
        <v>57</v>
      </c>
      <c r="M91">
        <v>24</v>
      </c>
      <c r="N91">
        <v>1995</v>
      </c>
      <c r="O91">
        <v>0.27</v>
      </c>
      <c r="P91">
        <v>2.4700000000000002</v>
      </c>
      <c r="Q91">
        <v>1.4999999999999999E-2</v>
      </c>
      <c r="R91">
        <v>65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>
      <c r="A92">
        <v>376.65082480896331</v>
      </c>
      <c r="B92">
        <v>35</v>
      </c>
      <c r="C92">
        <v>7.5330164961792647</v>
      </c>
      <c r="D92">
        <v>470.64015000000001</v>
      </c>
      <c r="E92">
        <v>684.44813278008303</v>
      </c>
      <c r="F92">
        <v>196.2945</v>
      </c>
      <c r="G92">
        <v>72.976050000000001</v>
      </c>
      <c r="H92">
        <v>8</v>
      </c>
      <c r="I92">
        <v>60</v>
      </c>
      <c r="J92">
        <v>4</v>
      </c>
      <c r="K92">
        <v>36</v>
      </c>
      <c r="L92">
        <v>53</v>
      </c>
      <c r="M92">
        <v>3</v>
      </c>
      <c r="N92">
        <v>1995</v>
      </c>
      <c r="O92">
        <v>0.27</v>
      </c>
      <c r="P92">
        <v>2.4700000000000002</v>
      </c>
      <c r="Q92">
        <v>1.4999999999999999E-2</v>
      </c>
      <c r="R92">
        <v>65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>
      <c r="A93">
        <v>376.31648885043109</v>
      </c>
      <c r="B93">
        <v>35</v>
      </c>
      <c r="C93">
        <v>7.5263297770086233</v>
      </c>
      <c r="D93">
        <v>1116.1271999999999</v>
      </c>
      <c r="E93">
        <v>679.96680497925308</v>
      </c>
      <c r="F93">
        <v>169.08704</v>
      </c>
      <c r="G93">
        <v>72.821920000000006</v>
      </c>
      <c r="H93">
        <v>55</v>
      </c>
      <c r="I93">
        <v>52</v>
      </c>
      <c r="J93">
        <v>10</v>
      </c>
      <c r="K93">
        <v>161</v>
      </c>
      <c r="L93">
        <v>58</v>
      </c>
      <c r="M93">
        <v>24</v>
      </c>
      <c r="N93">
        <v>1995</v>
      </c>
      <c r="O93">
        <v>0.27</v>
      </c>
      <c r="P93">
        <v>2.4700000000000002</v>
      </c>
      <c r="Q93">
        <v>1.4999999999999999E-2</v>
      </c>
      <c r="R93">
        <v>65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>
      <c r="A94">
        <v>374.89819440692582</v>
      </c>
      <c r="B94">
        <v>35</v>
      </c>
      <c r="C94">
        <v>7.4979638881385169</v>
      </c>
      <c r="D94">
        <v>514.51620000000003</v>
      </c>
      <c r="E94">
        <v>687.53526970954363</v>
      </c>
      <c r="F94">
        <v>195.738</v>
      </c>
      <c r="G94">
        <v>72.697800000000015</v>
      </c>
      <c r="H94">
        <v>8</v>
      </c>
      <c r="I94">
        <v>48</v>
      </c>
      <c r="J94">
        <v>5</v>
      </c>
      <c r="K94">
        <v>43</v>
      </c>
      <c r="L94">
        <v>57</v>
      </c>
      <c r="M94">
        <v>2</v>
      </c>
      <c r="N94">
        <v>1995</v>
      </c>
      <c r="O94">
        <v>0.27</v>
      </c>
      <c r="P94">
        <v>2.4700000000000002</v>
      </c>
      <c r="Q94">
        <v>1.4999999999999999E-2</v>
      </c>
      <c r="R94">
        <v>65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>
      <c r="A95">
        <v>373.43701628013622</v>
      </c>
      <c r="B95">
        <v>35</v>
      </c>
      <c r="C95">
        <v>7.4687403256027256</v>
      </c>
      <c r="D95">
        <v>467.16480000000001</v>
      </c>
      <c r="E95">
        <v>690.42323651452284</v>
      </c>
      <c r="F95">
        <v>194.89320000000001</v>
      </c>
      <c r="G95">
        <v>72.471600000000009</v>
      </c>
      <c r="H95">
        <v>9</v>
      </c>
      <c r="I95">
        <v>60</v>
      </c>
      <c r="J95">
        <v>3</v>
      </c>
      <c r="K95">
        <v>54</v>
      </c>
      <c r="L95">
        <v>51</v>
      </c>
      <c r="M95">
        <v>2</v>
      </c>
      <c r="N95">
        <v>1995</v>
      </c>
      <c r="O95">
        <v>0.27</v>
      </c>
      <c r="P95">
        <v>2.4700000000000002</v>
      </c>
      <c r="Q95">
        <v>1.4999999999999999E-2</v>
      </c>
      <c r="R95">
        <v>65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>
      <c r="A96">
        <v>372.47169294776683</v>
      </c>
      <c r="B96">
        <v>35</v>
      </c>
      <c r="C96">
        <v>7.4494338589553353</v>
      </c>
      <c r="D96">
        <v>460.92750000000001</v>
      </c>
      <c r="E96">
        <v>688.30705394190875</v>
      </c>
      <c r="F96">
        <v>192.67750000000001</v>
      </c>
      <c r="G96">
        <v>72.242500000000007</v>
      </c>
      <c r="H96">
        <v>9</v>
      </c>
      <c r="I96">
        <v>59</v>
      </c>
      <c r="J96">
        <v>3</v>
      </c>
      <c r="K96">
        <v>55</v>
      </c>
      <c r="L96">
        <v>50</v>
      </c>
      <c r="M96">
        <v>5</v>
      </c>
      <c r="N96">
        <v>1995</v>
      </c>
      <c r="O96">
        <v>0.27</v>
      </c>
      <c r="P96">
        <v>2.4700000000000002</v>
      </c>
      <c r="Q96">
        <v>1.4999999999999999E-2</v>
      </c>
      <c r="R96">
        <v>65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>
      <c r="A97">
        <v>472.09003620379559</v>
      </c>
      <c r="B97">
        <v>44.744000000000007</v>
      </c>
      <c r="C97">
        <v>7.385638864264636</v>
      </c>
      <c r="D97">
        <v>484.57440000000003</v>
      </c>
      <c r="E97">
        <v>682.23070539419086</v>
      </c>
      <c r="F97">
        <v>414.48239999999998</v>
      </c>
      <c r="G97">
        <v>91.411919999999995</v>
      </c>
      <c r="H97">
        <v>135</v>
      </c>
      <c r="I97">
        <v>61</v>
      </c>
      <c r="J97">
        <v>4</v>
      </c>
      <c r="K97">
        <v>40</v>
      </c>
      <c r="L97">
        <v>59</v>
      </c>
      <c r="M97">
        <v>6</v>
      </c>
      <c r="N97">
        <v>1995</v>
      </c>
      <c r="O97">
        <v>0.27</v>
      </c>
      <c r="P97">
        <v>2.4700000000000002</v>
      </c>
      <c r="Q97">
        <v>1.4999999999999999E-2</v>
      </c>
      <c r="R97">
        <v>65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>
      <c r="A98">
        <v>368.87393291895802</v>
      </c>
      <c r="B98">
        <v>35</v>
      </c>
      <c r="C98">
        <v>7.3774786583791609</v>
      </c>
      <c r="D98">
        <v>412.92</v>
      </c>
      <c r="E98">
        <v>692.01659751037346</v>
      </c>
      <c r="F98">
        <v>160.72800000000001</v>
      </c>
      <c r="G98">
        <v>71.617200000000011</v>
      </c>
      <c r="H98">
        <v>33</v>
      </c>
      <c r="I98">
        <v>63</v>
      </c>
      <c r="J98">
        <v>4</v>
      </c>
      <c r="K98">
        <v>6</v>
      </c>
      <c r="L98">
        <v>50</v>
      </c>
      <c r="M98">
        <v>3</v>
      </c>
      <c r="N98">
        <v>1995</v>
      </c>
      <c r="O98">
        <v>0.27</v>
      </c>
      <c r="P98">
        <v>2.4700000000000002</v>
      </c>
      <c r="Q98">
        <v>1.4999999999999999E-2</v>
      </c>
      <c r="R98">
        <v>65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>
      <c r="A99">
        <v>368.87393291895802</v>
      </c>
      <c r="B99">
        <v>35</v>
      </c>
      <c r="C99">
        <v>7.3774786583791609</v>
      </c>
      <c r="D99">
        <v>412.92</v>
      </c>
      <c r="E99">
        <v>692.01659751037346</v>
      </c>
      <c r="F99">
        <v>160.72800000000001</v>
      </c>
      <c r="G99">
        <v>71.617200000000011</v>
      </c>
      <c r="H99">
        <v>332</v>
      </c>
      <c r="I99">
        <v>63</v>
      </c>
      <c r="J99">
        <v>4</v>
      </c>
      <c r="K99">
        <v>6</v>
      </c>
      <c r="L99">
        <v>50</v>
      </c>
      <c r="M99">
        <v>3</v>
      </c>
      <c r="N99">
        <v>1995</v>
      </c>
      <c r="O99">
        <v>0.27</v>
      </c>
      <c r="P99">
        <v>2.4700000000000002</v>
      </c>
      <c r="Q99">
        <v>1.4999999999999999E-2</v>
      </c>
      <c r="R99">
        <v>65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>
      <c r="A100">
        <v>404.40347445981251</v>
      </c>
      <c r="B100">
        <v>38.73863636363636</v>
      </c>
      <c r="C100">
        <v>7.3074960477337774</v>
      </c>
      <c r="D100">
        <v>428.32799999999997</v>
      </c>
      <c r="E100">
        <v>692.04964540287563</v>
      </c>
      <c r="F100">
        <v>246.672</v>
      </c>
      <c r="G100">
        <v>78.516000000000005</v>
      </c>
      <c r="H100">
        <v>95</v>
      </c>
      <c r="I100">
        <v>55</v>
      </c>
      <c r="J100">
        <v>6</v>
      </c>
      <c r="K100">
        <v>323</v>
      </c>
      <c r="L100">
        <v>58</v>
      </c>
      <c r="M100">
        <v>30</v>
      </c>
      <c r="N100">
        <v>1995</v>
      </c>
      <c r="O100">
        <v>0.27</v>
      </c>
      <c r="P100">
        <v>2.4700000000000002</v>
      </c>
      <c r="Q100">
        <v>1.4999999999999999E-2</v>
      </c>
      <c r="R100">
        <v>65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>
      <c r="A101">
        <v>365.29666137569433</v>
      </c>
      <c r="B101">
        <v>35</v>
      </c>
      <c r="C101">
        <v>7.3059332275138864</v>
      </c>
      <c r="D101">
        <v>518.16959999999995</v>
      </c>
      <c r="E101">
        <v>687.99336099585071</v>
      </c>
      <c r="F101">
        <v>188.7072</v>
      </c>
      <c r="G101">
        <v>70.844800000000006</v>
      </c>
      <c r="H101">
        <v>6</v>
      </c>
      <c r="I101">
        <v>54</v>
      </c>
      <c r="J101">
        <v>6</v>
      </c>
      <c r="K101">
        <v>39</v>
      </c>
      <c r="L101">
        <v>49</v>
      </c>
      <c r="M101">
        <v>4</v>
      </c>
      <c r="N101">
        <v>1995</v>
      </c>
      <c r="O101">
        <v>0.27</v>
      </c>
      <c r="P101">
        <v>2.4700000000000002</v>
      </c>
      <c r="Q101">
        <v>1.4999999999999999E-2</v>
      </c>
      <c r="R101">
        <v>65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>
      <c r="A102">
        <v>436.45908095863467</v>
      </c>
      <c r="B102">
        <v>42</v>
      </c>
      <c r="C102">
        <v>7.2743180159772436</v>
      </c>
      <c r="D102">
        <v>419.80319999999989</v>
      </c>
      <c r="E102">
        <v>689.6116182572614</v>
      </c>
      <c r="F102">
        <v>162.1344</v>
      </c>
      <c r="G102">
        <v>84.683299999999988</v>
      </c>
      <c r="H102">
        <v>39</v>
      </c>
      <c r="I102">
        <v>59</v>
      </c>
      <c r="J102">
        <v>9</v>
      </c>
      <c r="K102">
        <v>55</v>
      </c>
      <c r="L102">
        <v>49</v>
      </c>
      <c r="M102">
        <v>5</v>
      </c>
      <c r="N102">
        <v>1995</v>
      </c>
      <c r="O102">
        <v>0.27</v>
      </c>
      <c r="P102">
        <v>2.4700000000000002</v>
      </c>
      <c r="Q102">
        <v>1.4999999999999999E-2</v>
      </c>
      <c r="R102">
        <v>65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>
      <c r="A103">
        <v>361.28998314608413</v>
      </c>
      <c r="B103">
        <v>35</v>
      </c>
      <c r="C103">
        <v>7.2257996629216832</v>
      </c>
      <c r="D103">
        <v>439.57979999999998</v>
      </c>
      <c r="E103">
        <v>688.95435684647305</v>
      </c>
      <c r="F103">
        <v>184.2732</v>
      </c>
      <c r="G103">
        <v>70.086149999999989</v>
      </c>
      <c r="H103">
        <v>9</v>
      </c>
      <c r="I103">
        <v>57</v>
      </c>
      <c r="J103">
        <v>3</v>
      </c>
      <c r="K103">
        <v>36</v>
      </c>
      <c r="L103">
        <v>53</v>
      </c>
      <c r="M103">
        <v>3</v>
      </c>
      <c r="N103">
        <v>1995</v>
      </c>
      <c r="O103">
        <v>0.27</v>
      </c>
      <c r="P103">
        <v>2.4700000000000002</v>
      </c>
      <c r="Q103">
        <v>1.4999999999999999E-2</v>
      </c>
      <c r="R103">
        <v>65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>
      <c r="A104">
        <v>360.68443796387618</v>
      </c>
      <c r="B104">
        <v>35.000000000000007</v>
      </c>
      <c r="C104">
        <v>7.213688759277523</v>
      </c>
      <c r="D104">
        <v>415.05119999999999</v>
      </c>
      <c r="E104">
        <v>692.73858921161832</v>
      </c>
      <c r="F104">
        <v>161.52719999999999</v>
      </c>
      <c r="G104">
        <v>70.041000000000011</v>
      </c>
      <c r="H104">
        <v>33</v>
      </c>
      <c r="I104">
        <v>60</v>
      </c>
      <c r="J104">
        <v>4</v>
      </c>
      <c r="K104">
        <v>7</v>
      </c>
      <c r="L104">
        <v>45</v>
      </c>
      <c r="M104">
        <v>3</v>
      </c>
      <c r="N104">
        <v>1995</v>
      </c>
      <c r="O104">
        <v>0.27</v>
      </c>
      <c r="P104">
        <v>2.4700000000000002</v>
      </c>
      <c r="Q104">
        <v>1.4999999999999999E-2</v>
      </c>
      <c r="R104">
        <v>65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>
      <c r="A105">
        <v>360.68443796387618</v>
      </c>
      <c r="B105">
        <v>35.000000000000007</v>
      </c>
      <c r="C105">
        <v>7.213688759277523</v>
      </c>
      <c r="D105">
        <v>415.05119999999999</v>
      </c>
      <c r="E105">
        <v>692.73858921161832</v>
      </c>
      <c r="F105">
        <v>161.52719999999999</v>
      </c>
      <c r="G105">
        <v>70.041000000000011</v>
      </c>
      <c r="H105">
        <v>332</v>
      </c>
      <c r="I105">
        <v>60</v>
      </c>
      <c r="J105">
        <v>4</v>
      </c>
      <c r="K105">
        <v>7</v>
      </c>
      <c r="L105">
        <v>45</v>
      </c>
      <c r="M105">
        <v>3</v>
      </c>
      <c r="N105">
        <v>1995</v>
      </c>
      <c r="O105">
        <v>0.27</v>
      </c>
      <c r="P105">
        <v>2.4700000000000002</v>
      </c>
      <c r="Q105">
        <v>1.4999999999999999E-2</v>
      </c>
      <c r="R105">
        <v>65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>
      <c r="A106">
        <v>432.23766882910229</v>
      </c>
      <c r="B106">
        <v>42</v>
      </c>
      <c r="C106">
        <v>7.2039611471517064</v>
      </c>
      <c r="D106">
        <v>705.45892500000002</v>
      </c>
      <c r="E106">
        <v>683.8506224066391</v>
      </c>
      <c r="F106">
        <v>164.70183</v>
      </c>
      <c r="G106">
        <v>83.732309999999998</v>
      </c>
      <c r="H106">
        <v>39</v>
      </c>
      <c r="I106">
        <v>56</v>
      </c>
      <c r="J106">
        <v>9</v>
      </c>
      <c r="K106">
        <v>142</v>
      </c>
      <c r="L106">
        <v>57</v>
      </c>
      <c r="M106">
        <v>18</v>
      </c>
      <c r="N106">
        <v>1995</v>
      </c>
      <c r="O106">
        <v>0.27</v>
      </c>
      <c r="P106">
        <v>2.4700000000000002</v>
      </c>
      <c r="Q106">
        <v>1.4999999999999999E-2</v>
      </c>
      <c r="R106">
        <v>65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>
      <c r="A107">
        <v>359.49816478074092</v>
      </c>
      <c r="B107">
        <v>35</v>
      </c>
      <c r="C107">
        <v>7.1899632956148176</v>
      </c>
      <c r="D107">
        <v>444.30004500000013</v>
      </c>
      <c r="E107">
        <v>691.63485477178415</v>
      </c>
      <c r="F107">
        <v>186.56547</v>
      </c>
      <c r="G107">
        <v>69.789615000000012</v>
      </c>
      <c r="H107">
        <v>8</v>
      </c>
      <c r="I107">
        <v>56</v>
      </c>
      <c r="J107">
        <v>4</v>
      </c>
      <c r="K107">
        <v>51</v>
      </c>
      <c r="L107">
        <v>51</v>
      </c>
      <c r="M107">
        <v>7</v>
      </c>
      <c r="N107">
        <v>1995</v>
      </c>
      <c r="O107">
        <v>0.27</v>
      </c>
      <c r="P107">
        <v>2.4700000000000002</v>
      </c>
      <c r="Q107">
        <v>1.4999999999999999E-2</v>
      </c>
      <c r="R107">
        <v>65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>
      <c r="A108">
        <v>350.14579635954868</v>
      </c>
      <c r="B108">
        <v>34.192307692307693</v>
      </c>
      <c r="C108">
        <v>7.1683391380695012</v>
      </c>
      <c r="D108">
        <v>1048.3406399999999</v>
      </c>
      <c r="E108">
        <v>681.12863070539424</v>
      </c>
      <c r="F108">
        <v>179.37504000000001</v>
      </c>
      <c r="G108">
        <v>67.779119999999992</v>
      </c>
      <c r="H108">
        <v>8</v>
      </c>
      <c r="I108">
        <v>53</v>
      </c>
      <c r="J108">
        <v>4</v>
      </c>
      <c r="K108">
        <v>293</v>
      </c>
      <c r="L108">
        <v>60</v>
      </c>
      <c r="M108">
        <v>21</v>
      </c>
      <c r="N108">
        <v>1995</v>
      </c>
      <c r="O108">
        <v>0.27</v>
      </c>
      <c r="P108">
        <v>2.4700000000000002</v>
      </c>
      <c r="Q108">
        <v>1.4999999999999999E-2</v>
      </c>
      <c r="R108">
        <v>65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>
      <c r="A109">
        <v>573.04539772341445</v>
      </c>
      <c r="B109">
        <v>56.000000000000007</v>
      </c>
      <c r="C109">
        <v>7.1630674715426803</v>
      </c>
      <c r="D109">
        <v>1374.2909999999999</v>
      </c>
      <c r="E109">
        <v>675.50041493775939</v>
      </c>
      <c r="F109">
        <v>157.6422</v>
      </c>
      <c r="G109">
        <v>110.75579999999999</v>
      </c>
      <c r="H109">
        <v>111</v>
      </c>
      <c r="I109">
        <v>57</v>
      </c>
      <c r="J109">
        <v>37</v>
      </c>
      <c r="K109">
        <v>161</v>
      </c>
      <c r="L109">
        <v>55</v>
      </c>
      <c r="M109">
        <v>24</v>
      </c>
      <c r="N109">
        <v>1995</v>
      </c>
      <c r="O109">
        <v>0.27</v>
      </c>
      <c r="P109">
        <v>2.4700000000000002</v>
      </c>
      <c r="Q109">
        <v>1.4999999999999999E-2</v>
      </c>
      <c r="R109">
        <v>65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>
      <c r="A110">
        <v>358.10616630390439</v>
      </c>
      <c r="B110">
        <v>35</v>
      </c>
      <c r="C110">
        <v>7.1621233260780883</v>
      </c>
      <c r="D110">
        <v>718.39200000000005</v>
      </c>
      <c r="E110">
        <v>687.53526970954351</v>
      </c>
      <c r="F110">
        <v>185.0592</v>
      </c>
      <c r="G110">
        <v>69.441600000000008</v>
      </c>
      <c r="H110">
        <v>6</v>
      </c>
      <c r="I110">
        <v>52</v>
      </c>
      <c r="J110">
        <v>6</v>
      </c>
      <c r="K110">
        <v>142</v>
      </c>
      <c r="L110">
        <v>60</v>
      </c>
      <c r="M110">
        <v>16</v>
      </c>
      <c r="N110">
        <v>1995</v>
      </c>
      <c r="O110">
        <v>0.27</v>
      </c>
      <c r="P110">
        <v>2.4700000000000002</v>
      </c>
      <c r="Q110">
        <v>1.4999999999999999E-2</v>
      </c>
      <c r="R110">
        <v>65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>
      <c r="A111">
        <v>357.6810082107977</v>
      </c>
      <c r="B111">
        <v>35</v>
      </c>
      <c r="C111">
        <v>7.1536201642159538</v>
      </c>
      <c r="D111">
        <v>447.99599999999998</v>
      </c>
      <c r="E111">
        <v>690.32365145228221</v>
      </c>
      <c r="F111">
        <v>186.77600000000001</v>
      </c>
      <c r="G111">
        <v>69.412000000000006</v>
      </c>
      <c r="H111">
        <v>6</v>
      </c>
      <c r="I111">
        <v>54</v>
      </c>
      <c r="J111">
        <v>6</v>
      </c>
      <c r="K111">
        <v>55</v>
      </c>
      <c r="L111">
        <v>58</v>
      </c>
      <c r="M111">
        <v>4</v>
      </c>
      <c r="N111">
        <v>1995</v>
      </c>
      <c r="O111">
        <v>0.27</v>
      </c>
      <c r="P111">
        <v>2.4700000000000002</v>
      </c>
      <c r="Q111">
        <v>1.4999999999999999E-2</v>
      </c>
      <c r="R111">
        <v>65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>
      <c r="A112">
        <v>357.55007108764721</v>
      </c>
      <c r="B112">
        <v>35</v>
      </c>
      <c r="C112">
        <v>7.1510014217529454</v>
      </c>
      <c r="D112">
        <v>1200.354</v>
      </c>
      <c r="E112">
        <v>676.82157676348538</v>
      </c>
      <c r="F112">
        <v>162.6816</v>
      </c>
      <c r="G112">
        <v>69.130800000000008</v>
      </c>
      <c r="H112">
        <v>33</v>
      </c>
      <c r="I112">
        <v>57</v>
      </c>
      <c r="J112">
        <v>4</v>
      </c>
      <c r="K112">
        <v>161</v>
      </c>
      <c r="L112">
        <v>55</v>
      </c>
      <c r="M112">
        <v>25</v>
      </c>
      <c r="N112">
        <v>1995</v>
      </c>
      <c r="O112">
        <v>0.27</v>
      </c>
      <c r="P112">
        <v>2.4700000000000002</v>
      </c>
      <c r="Q112">
        <v>1.4999999999999999E-2</v>
      </c>
      <c r="R112">
        <v>65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>
      <c r="A113">
        <v>357.55007108764721</v>
      </c>
      <c r="B113">
        <v>35</v>
      </c>
      <c r="C113">
        <v>7.1510014217529454</v>
      </c>
      <c r="D113">
        <v>1200.354</v>
      </c>
      <c r="E113">
        <v>676.82157676348538</v>
      </c>
      <c r="F113">
        <v>162.6816</v>
      </c>
      <c r="G113">
        <v>69.130800000000008</v>
      </c>
      <c r="H113">
        <v>332</v>
      </c>
      <c r="I113">
        <v>57</v>
      </c>
      <c r="J113">
        <v>4</v>
      </c>
      <c r="K113">
        <v>161</v>
      </c>
      <c r="L113">
        <v>55</v>
      </c>
      <c r="M113">
        <v>25</v>
      </c>
      <c r="N113">
        <v>1995</v>
      </c>
      <c r="O113">
        <v>0.27</v>
      </c>
      <c r="P113">
        <v>2.4700000000000002</v>
      </c>
      <c r="Q113">
        <v>1.4999999999999999E-2</v>
      </c>
      <c r="R113">
        <v>65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>
      <c r="A114">
        <v>357.2720177147288</v>
      </c>
      <c r="B114">
        <v>35</v>
      </c>
      <c r="C114">
        <v>7.1454403542945766</v>
      </c>
      <c r="D114">
        <v>484.73700000000002</v>
      </c>
      <c r="E114">
        <v>671.45228215767634</v>
      </c>
      <c r="F114">
        <v>184.57079999999999</v>
      </c>
      <c r="G114">
        <v>68.975399999999993</v>
      </c>
      <c r="H114">
        <v>9</v>
      </c>
      <c r="I114">
        <v>56</v>
      </c>
      <c r="J114">
        <v>3</v>
      </c>
      <c r="K114">
        <v>33</v>
      </c>
      <c r="L114">
        <v>57</v>
      </c>
      <c r="M114">
        <v>2</v>
      </c>
      <c r="N114">
        <v>1995</v>
      </c>
      <c r="O114">
        <v>0.27</v>
      </c>
      <c r="P114">
        <v>2.4700000000000002</v>
      </c>
      <c r="Q114">
        <v>1.4999999999999999E-2</v>
      </c>
      <c r="R114">
        <v>65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>
      <c r="A115">
        <v>357.2720177147288</v>
      </c>
      <c r="B115">
        <v>35</v>
      </c>
      <c r="C115">
        <v>7.1454403542945766</v>
      </c>
      <c r="D115">
        <v>484.73700000000002</v>
      </c>
      <c r="E115">
        <v>671.45228215767634</v>
      </c>
      <c r="F115">
        <v>184.57079999999999</v>
      </c>
      <c r="G115">
        <v>68.975399999999993</v>
      </c>
      <c r="H115">
        <v>9</v>
      </c>
      <c r="I115">
        <v>56</v>
      </c>
      <c r="J115">
        <v>3</v>
      </c>
      <c r="K115">
        <v>332</v>
      </c>
      <c r="L115">
        <v>57</v>
      </c>
      <c r="M115">
        <v>2</v>
      </c>
      <c r="N115">
        <v>1995</v>
      </c>
      <c r="O115">
        <v>0.27</v>
      </c>
      <c r="P115">
        <v>2.4700000000000002</v>
      </c>
      <c r="Q115">
        <v>1.4999999999999999E-2</v>
      </c>
      <c r="R115">
        <v>65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>
      <c r="A116">
        <v>356.58078228909841</v>
      </c>
      <c r="B116">
        <v>35</v>
      </c>
      <c r="C116">
        <v>7.1316156457819666</v>
      </c>
      <c r="D116">
        <v>476.09280000000001</v>
      </c>
      <c r="E116">
        <v>689.72614107883805</v>
      </c>
      <c r="F116">
        <v>160.75200000000001</v>
      </c>
      <c r="G116">
        <v>69.187200000000018</v>
      </c>
      <c r="H116">
        <v>54</v>
      </c>
      <c r="I116">
        <v>53</v>
      </c>
      <c r="J116">
        <v>4</v>
      </c>
      <c r="K116">
        <v>143</v>
      </c>
      <c r="L116">
        <v>56</v>
      </c>
      <c r="M116">
        <v>9</v>
      </c>
      <c r="N116">
        <v>1995</v>
      </c>
      <c r="O116">
        <v>0.27</v>
      </c>
      <c r="P116">
        <v>2.4700000000000002</v>
      </c>
      <c r="Q116">
        <v>1.4999999999999999E-2</v>
      </c>
      <c r="R116">
        <v>65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>
      <c r="A117">
        <v>356.07017389986657</v>
      </c>
      <c r="B117">
        <v>35</v>
      </c>
      <c r="C117">
        <v>7.1214034779973323</v>
      </c>
      <c r="D117">
        <v>484.73700000000002</v>
      </c>
      <c r="E117">
        <v>683.75103734439836</v>
      </c>
      <c r="F117">
        <v>184.57079999999999</v>
      </c>
      <c r="G117">
        <v>68.975399999999993</v>
      </c>
      <c r="H117">
        <v>9</v>
      </c>
      <c r="I117">
        <v>56</v>
      </c>
      <c r="J117">
        <v>3</v>
      </c>
      <c r="K117">
        <v>43</v>
      </c>
      <c r="L117">
        <v>57</v>
      </c>
      <c r="M117">
        <v>2</v>
      </c>
      <c r="N117">
        <v>1995</v>
      </c>
      <c r="O117">
        <v>0.27</v>
      </c>
      <c r="P117">
        <v>2.4700000000000002</v>
      </c>
      <c r="Q117">
        <v>1.4999999999999999E-2</v>
      </c>
      <c r="R117">
        <v>65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>
      <c r="A118">
        <v>354.52439097221668</v>
      </c>
      <c r="B118">
        <v>35</v>
      </c>
      <c r="C118">
        <v>7.090487819444335</v>
      </c>
      <c r="D118">
        <v>409.36799999999999</v>
      </c>
      <c r="E118">
        <v>691.41908713692942</v>
      </c>
      <c r="F118">
        <v>159.39599999999999</v>
      </c>
      <c r="G118">
        <v>68.819999999999993</v>
      </c>
      <c r="H118">
        <v>43</v>
      </c>
      <c r="I118">
        <v>60</v>
      </c>
      <c r="J118">
        <v>4</v>
      </c>
      <c r="K118">
        <v>6</v>
      </c>
      <c r="L118">
        <v>49</v>
      </c>
      <c r="M118">
        <v>3</v>
      </c>
      <c r="N118">
        <v>1995</v>
      </c>
      <c r="O118">
        <v>0.27</v>
      </c>
      <c r="P118">
        <v>2.4700000000000002</v>
      </c>
      <c r="Q118">
        <v>1.4999999999999999E-2</v>
      </c>
      <c r="R118">
        <v>65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>
      <c r="A119">
        <v>507.49653821282362</v>
      </c>
      <c r="B119">
        <v>50.4</v>
      </c>
      <c r="C119">
        <v>7.0485630307336624</v>
      </c>
      <c r="D119">
        <v>559.68719999999996</v>
      </c>
      <c r="E119">
        <v>688.07966804979242</v>
      </c>
      <c r="F119">
        <v>190.81404000000001</v>
      </c>
      <c r="G119">
        <v>98.42504000000001</v>
      </c>
      <c r="H119">
        <v>112</v>
      </c>
      <c r="I119">
        <v>53</v>
      </c>
      <c r="J119">
        <v>8</v>
      </c>
      <c r="K119">
        <v>96</v>
      </c>
      <c r="L119">
        <v>58</v>
      </c>
      <c r="M119">
        <v>20</v>
      </c>
      <c r="N119">
        <v>1995</v>
      </c>
      <c r="O119">
        <v>0.27</v>
      </c>
      <c r="P119">
        <v>2.4700000000000002</v>
      </c>
      <c r="Q119">
        <v>1.4999999999999999E-2</v>
      </c>
      <c r="R119">
        <v>65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>
      <c r="A120">
        <v>352.22214792671627</v>
      </c>
      <c r="B120">
        <v>35</v>
      </c>
      <c r="C120">
        <v>7.0444429585343258</v>
      </c>
      <c r="D120">
        <v>393.39263999999997</v>
      </c>
      <c r="E120">
        <v>688.74575136190538</v>
      </c>
      <c r="F120">
        <v>175.24224000000001</v>
      </c>
      <c r="G120">
        <v>68.323200000000014</v>
      </c>
      <c r="H120">
        <v>8</v>
      </c>
      <c r="I120">
        <v>55</v>
      </c>
      <c r="J120">
        <v>4</v>
      </c>
      <c r="K120">
        <v>273</v>
      </c>
      <c r="L120">
        <v>56</v>
      </c>
      <c r="M120">
        <v>2</v>
      </c>
      <c r="N120">
        <v>1995</v>
      </c>
      <c r="O120">
        <v>0.27</v>
      </c>
      <c r="P120">
        <v>2.4700000000000002</v>
      </c>
      <c r="Q120">
        <v>1.4999999999999999E-2</v>
      </c>
      <c r="R120">
        <v>65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>
      <c r="A121">
        <v>352.22214792671627</v>
      </c>
      <c r="B121">
        <v>35</v>
      </c>
      <c r="C121">
        <v>7.0444429585343258</v>
      </c>
      <c r="D121">
        <v>393.39263999999997</v>
      </c>
      <c r="E121">
        <v>688.74575136190538</v>
      </c>
      <c r="F121">
        <v>175.24224000000001</v>
      </c>
      <c r="G121">
        <v>68.323200000000014</v>
      </c>
      <c r="H121">
        <v>8</v>
      </c>
      <c r="I121">
        <v>55</v>
      </c>
      <c r="J121">
        <v>4</v>
      </c>
      <c r="K121">
        <v>274</v>
      </c>
      <c r="L121">
        <v>56</v>
      </c>
      <c r="M121">
        <v>2</v>
      </c>
      <c r="N121">
        <v>1995</v>
      </c>
      <c r="O121">
        <v>0.27</v>
      </c>
      <c r="P121">
        <v>2.4700000000000002</v>
      </c>
      <c r="Q121">
        <v>1.4999999999999999E-2</v>
      </c>
      <c r="R121">
        <v>65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>
      <c r="A122">
        <v>351.56195731529118</v>
      </c>
      <c r="B122">
        <v>35</v>
      </c>
      <c r="C122">
        <v>7.0312391463058246</v>
      </c>
      <c r="D122">
        <v>663.63199999999995</v>
      </c>
      <c r="E122">
        <v>685.74273858921151</v>
      </c>
      <c r="F122">
        <v>155.78479999999999</v>
      </c>
      <c r="G122">
        <v>68.139200000000017</v>
      </c>
      <c r="H122">
        <v>33</v>
      </c>
      <c r="I122">
        <v>58</v>
      </c>
      <c r="J122">
        <v>4</v>
      </c>
      <c r="K122">
        <v>2</v>
      </c>
      <c r="L122">
        <v>51</v>
      </c>
      <c r="M122">
        <v>4</v>
      </c>
      <c r="N122">
        <v>1995</v>
      </c>
      <c r="O122">
        <v>0.27</v>
      </c>
      <c r="P122">
        <v>2.4700000000000002</v>
      </c>
      <c r="Q122">
        <v>1.4999999999999999E-2</v>
      </c>
      <c r="R122">
        <v>65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>
      <c r="A123">
        <v>351.56195731529118</v>
      </c>
      <c r="B123">
        <v>35</v>
      </c>
      <c r="C123">
        <v>7.0312391463058246</v>
      </c>
      <c r="D123">
        <v>663.63199999999995</v>
      </c>
      <c r="E123">
        <v>685.74273858921151</v>
      </c>
      <c r="F123">
        <v>155.78479999999999</v>
      </c>
      <c r="G123">
        <v>68.139200000000017</v>
      </c>
      <c r="H123">
        <v>332</v>
      </c>
      <c r="I123">
        <v>58</v>
      </c>
      <c r="J123">
        <v>4</v>
      </c>
      <c r="K123">
        <v>2</v>
      </c>
      <c r="L123">
        <v>51</v>
      </c>
      <c r="M123">
        <v>4</v>
      </c>
      <c r="N123">
        <v>1995</v>
      </c>
      <c r="O123">
        <v>0.27</v>
      </c>
      <c r="P123">
        <v>2.4700000000000002</v>
      </c>
      <c r="Q123">
        <v>1.4999999999999999E-2</v>
      </c>
      <c r="R123">
        <v>65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>
      <c r="A124">
        <v>341.6200095184779</v>
      </c>
      <c r="B124">
        <v>34.192307692307693</v>
      </c>
      <c r="C124">
        <v>6.9937954704570284</v>
      </c>
      <c r="D124">
        <v>926.45249999999999</v>
      </c>
      <c r="E124">
        <v>682.3302904564315</v>
      </c>
      <c r="F124">
        <v>176.52974</v>
      </c>
      <c r="G124">
        <v>66.150499999999994</v>
      </c>
      <c r="H124">
        <v>53</v>
      </c>
      <c r="I124">
        <v>57</v>
      </c>
      <c r="J124">
        <v>9</v>
      </c>
      <c r="K124">
        <v>293</v>
      </c>
      <c r="L124">
        <v>56</v>
      </c>
      <c r="M124">
        <v>23</v>
      </c>
      <c r="N124">
        <v>1995</v>
      </c>
      <c r="O124">
        <v>0.27</v>
      </c>
      <c r="P124">
        <v>2.4700000000000002</v>
      </c>
      <c r="Q124">
        <v>1.4999999999999999E-2</v>
      </c>
      <c r="R124">
        <v>65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>
      <c r="A125">
        <v>348.75482589584578</v>
      </c>
      <c r="B125">
        <v>35</v>
      </c>
      <c r="C125">
        <v>6.9750965179169171</v>
      </c>
      <c r="D125">
        <v>463.00063999999998</v>
      </c>
      <c r="E125">
        <v>689.69294605809137</v>
      </c>
      <c r="F125">
        <v>176.47424000000001</v>
      </c>
      <c r="G125">
        <v>67.668120000000002</v>
      </c>
      <c r="H125">
        <v>8</v>
      </c>
      <c r="I125">
        <v>53</v>
      </c>
      <c r="J125">
        <v>4</v>
      </c>
      <c r="K125">
        <v>193</v>
      </c>
      <c r="L125">
        <v>57</v>
      </c>
      <c r="M125">
        <v>10</v>
      </c>
      <c r="N125">
        <v>1995</v>
      </c>
      <c r="O125">
        <v>0.27</v>
      </c>
      <c r="P125">
        <v>2.4700000000000002</v>
      </c>
      <c r="Q125">
        <v>1.4999999999999999E-2</v>
      </c>
      <c r="R125">
        <v>65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>
      <c r="A126">
        <v>444.62188576566842</v>
      </c>
      <c r="B126">
        <v>44.744</v>
      </c>
      <c r="C126">
        <v>6.9559118549072032</v>
      </c>
      <c r="D126">
        <v>527.904</v>
      </c>
      <c r="E126">
        <v>687.9800829875519</v>
      </c>
      <c r="F126">
        <v>401.76</v>
      </c>
      <c r="G126">
        <v>86.228639999999999</v>
      </c>
      <c r="H126">
        <v>137</v>
      </c>
      <c r="I126">
        <v>59</v>
      </c>
      <c r="J126">
        <v>5</v>
      </c>
      <c r="K126">
        <v>40</v>
      </c>
      <c r="L126">
        <v>58</v>
      </c>
      <c r="M126">
        <v>6</v>
      </c>
      <c r="N126">
        <v>1995</v>
      </c>
      <c r="O126">
        <v>0.27</v>
      </c>
      <c r="P126">
        <v>2.4700000000000002</v>
      </c>
      <c r="Q126">
        <v>1.4999999999999999E-2</v>
      </c>
      <c r="R126">
        <v>65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>
      <c r="A127">
        <v>347.24253606487389</v>
      </c>
      <c r="B127">
        <v>35</v>
      </c>
      <c r="C127">
        <v>6.9448507212974793</v>
      </c>
      <c r="D127">
        <v>421.81979999999999</v>
      </c>
      <c r="E127">
        <v>688.16597510373435</v>
      </c>
      <c r="F127">
        <v>177.61320000000001</v>
      </c>
      <c r="G127">
        <v>67.346600000000009</v>
      </c>
      <c r="H127">
        <v>6</v>
      </c>
      <c r="I127">
        <v>61</v>
      </c>
      <c r="J127">
        <v>5</v>
      </c>
      <c r="K127">
        <v>36</v>
      </c>
      <c r="L127">
        <v>52</v>
      </c>
      <c r="M127">
        <v>3</v>
      </c>
      <c r="N127">
        <v>1995</v>
      </c>
      <c r="O127">
        <v>0.27</v>
      </c>
      <c r="P127">
        <v>2.4700000000000002</v>
      </c>
      <c r="Q127">
        <v>1.4999999999999999E-2</v>
      </c>
      <c r="R127">
        <v>65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>
      <c r="A128">
        <v>414.06230974279089</v>
      </c>
      <c r="B128">
        <v>42</v>
      </c>
      <c r="C128">
        <v>6.9010384957131832</v>
      </c>
      <c r="D128">
        <v>517.89600000000007</v>
      </c>
      <c r="E128">
        <v>689.94522821576766</v>
      </c>
      <c r="F128">
        <v>159.13919999999999</v>
      </c>
      <c r="G128">
        <v>80.345120000000009</v>
      </c>
      <c r="H128">
        <v>54</v>
      </c>
      <c r="I128">
        <v>51</v>
      </c>
      <c r="J128">
        <v>5</v>
      </c>
      <c r="K128">
        <v>142</v>
      </c>
      <c r="L128">
        <v>62</v>
      </c>
      <c r="M128">
        <v>16</v>
      </c>
      <c r="N128">
        <v>1995</v>
      </c>
      <c r="O128">
        <v>0.27</v>
      </c>
      <c r="P128">
        <v>2.4700000000000002</v>
      </c>
      <c r="Q128">
        <v>1.4999999999999999E-2</v>
      </c>
      <c r="R128">
        <v>65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>
      <c r="A129">
        <v>344.50642980818128</v>
      </c>
      <c r="B129">
        <v>35</v>
      </c>
      <c r="C129">
        <v>6.8901285961636258</v>
      </c>
      <c r="D129">
        <v>420.61599999999999</v>
      </c>
      <c r="E129">
        <v>688.49792531120329</v>
      </c>
      <c r="F129">
        <v>177.15600000000001</v>
      </c>
      <c r="G129">
        <v>66.822000000000003</v>
      </c>
      <c r="H129">
        <v>7</v>
      </c>
      <c r="I129">
        <v>52</v>
      </c>
      <c r="J129">
        <v>5</v>
      </c>
      <c r="K129">
        <v>55</v>
      </c>
      <c r="L129">
        <v>61</v>
      </c>
      <c r="M129">
        <v>4</v>
      </c>
      <c r="N129">
        <v>1995</v>
      </c>
      <c r="O129">
        <v>0.27</v>
      </c>
      <c r="P129">
        <v>2.4700000000000002</v>
      </c>
      <c r="Q129">
        <v>1.4999999999999999E-2</v>
      </c>
      <c r="R129">
        <v>65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>
      <c r="A130">
        <v>344.48550533486912</v>
      </c>
      <c r="B130">
        <v>35</v>
      </c>
      <c r="C130">
        <v>6.8897101066973834</v>
      </c>
      <c r="D130">
        <v>576.38549999999998</v>
      </c>
      <c r="E130">
        <v>686.00829875518673</v>
      </c>
      <c r="F130">
        <v>156.18899999999999</v>
      </c>
      <c r="G130">
        <v>66.772499999999994</v>
      </c>
      <c r="H130">
        <v>36</v>
      </c>
      <c r="I130">
        <v>62</v>
      </c>
      <c r="J130">
        <v>5</v>
      </c>
      <c r="K130">
        <v>2</v>
      </c>
      <c r="L130">
        <v>51</v>
      </c>
      <c r="M130">
        <v>4</v>
      </c>
      <c r="N130">
        <v>1995</v>
      </c>
      <c r="O130">
        <v>0.27</v>
      </c>
      <c r="P130">
        <v>2.4700000000000002</v>
      </c>
      <c r="Q130">
        <v>1.4999999999999999E-2</v>
      </c>
      <c r="R130">
        <v>65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>
      <c r="A131">
        <v>343.99924450147688</v>
      </c>
      <c r="B131">
        <v>35</v>
      </c>
      <c r="C131">
        <v>6.8799848900295384</v>
      </c>
      <c r="D131">
        <v>696.19200000000012</v>
      </c>
      <c r="E131">
        <v>685.36929460580927</v>
      </c>
      <c r="F131">
        <v>176.73419999999999</v>
      </c>
      <c r="G131">
        <v>66.666600000000003</v>
      </c>
      <c r="H131">
        <v>7</v>
      </c>
      <c r="I131">
        <v>51</v>
      </c>
      <c r="J131">
        <v>5</v>
      </c>
      <c r="K131">
        <v>142</v>
      </c>
      <c r="L131">
        <v>60</v>
      </c>
      <c r="M131">
        <v>16</v>
      </c>
      <c r="N131">
        <v>1995</v>
      </c>
      <c r="O131">
        <v>0.27</v>
      </c>
      <c r="P131">
        <v>2.4700000000000002</v>
      </c>
      <c r="Q131">
        <v>1.4999999999999999E-2</v>
      </c>
      <c r="R131">
        <v>65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>
      <c r="A132">
        <v>343.90873402020799</v>
      </c>
      <c r="B132">
        <v>35.000000000000007</v>
      </c>
      <c r="C132">
        <v>6.8781746804041601</v>
      </c>
      <c r="D132">
        <v>1175.8008</v>
      </c>
      <c r="E132">
        <v>674.87966804979249</v>
      </c>
      <c r="F132">
        <v>157.01616000000001</v>
      </c>
      <c r="G132">
        <v>66.457920000000016</v>
      </c>
      <c r="H132">
        <v>43</v>
      </c>
      <c r="I132">
        <v>54</v>
      </c>
      <c r="J132">
        <v>4</v>
      </c>
      <c r="K132">
        <v>161</v>
      </c>
      <c r="L132">
        <v>59</v>
      </c>
      <c r="M132">
        <v>23</v>
      </c>
      <c r="N132">
        <v>1995</v>
      </c>
      <c r="O132">
        <v>0.27</v>
      </c>
      <c r="P132">
        <v>2.4700000000000002</v>
      </c>
      <c r="Q132">
        <v>1.4999999999999999E-2</v>
      </c>
      <c r="R132">
        <v>65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>
      <c r="A133">
        <v>343.72131287283969</v>
      </c>
      <c r="B133">
        <v>35</v>
      </c>
      <c r="C133">
        <v>6.8744262574567943</v>
      </c>
      <c r="D133">
        <v>414.15525000000002</v>
      </c>
      <c r="E133">
        <v>692.04149377593365</v>
      </c>
      <c r="F133">
        <v>175.09350000000001</v>
      </c>
      <c r="G133">
        <v>66.734250000000003</v>
      </c>
      <c r="H133">
        <v>9</v>
      </c>
      <c r="I133">
        <v>53</v>
      </c>
      <c r="J133">
        <v>3</v>
      </c>
      <c r="K133">
        <v>51</v>
      </c>
      <c r="L133">
        <v>59</v>
      </c>
      <c r="M133">
        <v>6</v>
      </c>
      <c r="N133">
        <v>1995</v>
      </c>
      <c r="O133">
        <v>0.27</v>
      </c>
      <c r="P133">
        <v>2.4700000000000002</v>
      </c>
      <c r="Q133">
        <v>1.4999999999999999E-2</v>
      </c>
      <c r="R133">
        <v>65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>
      <c r="A134">
        <v>412.27598521112668</v>
      </c>
      <c r="B134">
        <v>42</v>
      </c>
      <c r="C134">
        <v>6.871266420185445</v>
      </c>
      <c r="D134">
        <v>493.26</v>
      </c>
      <c r="E134">
        <v>690.69144448243105</v>
      </c>
      <c r="F134">
        <v>200.53800000000001</v>
      </c>
      <c r="G134">
        <v>80.014800000000008</v>
      </c>
      <c r="H134">
        <v>52</v>
      </c>
      <c r="I134">
        <v>53</v>
      </c>
      <c r="J134">
        <v>12</v>
      </c>
      <c r="K134">
        <v>323</v>
      </c>
      <c r="L134">
        <v>58</v>
      </c>
      <c r="M134">
        <v>31</v>
      </c>
      <c r="N134">
        <v>1995</v>
      </c>
      <c r="O134">
        <v>0.27</v>
      </c>
      <c r="P134">
        <v>2.4700000000000002</v>
      </c>
      <c r="Q134">
        <v>1.4999999999999999E-2</v>
      </c>
      <c r="R134">
        <v>65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>
      <c r="A135">
        <v>411.75005404979862</v>
      </c>
      <c r="B135">
        <v>42</v>
      </c>
      <c r="C135">
        <v>6.8625009008299758</v>
      </c>
      <c r="D135">
        <v>520.14322500000003</v>
      </c>
      <c r="E135">
        <v>688.19253112033198</v>
      </c>
      <c r="F135">
        <v>158.89242999999999</v>
      </c>
      <c r="G135">
        <v>79.858209999999985</v>
      </c>
      <c r="H135">
        <v>55</v>
      </c>
      <c r="I135">
        <v>55</v>
      </c>
      <c r="J135">
        <v>11</v>
      </c>
      <c r="K135">
        <v>142</v>
      </c>
      <c r="L135">
        <v>58</v>
      </c>
      <c r="M135">
        <v>17</v>
      </c>
      <c r="N135">
        <v>1995</v>
      </c>
      <c r="O135">
        <v>0.27</v>
      </c>
      <c r="P135">
        <v>2.4700000000000002</v>
      </c>
      <c r="Q135">
        <v>1.4999999999999999E-2</v>
      </c>
      <c r="R135">
        <v>65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>
      <c r="A136">
        <v>405.01745687946197</v>
      </c>
      <c r="B136">
        <v>42</v>
      </c>
      <c r="C136">
        <v>6.7502909479910347</v>
      </c>
      <c r="D136">
        <v>643.11840000000007</v>
      </c>
      <c r="E136">
        <v>685.15264950170911</v>
      </c>
      <c r="F136">
        <v>197.35919999999999</v>
      </c>
      <c r="G136">
        <v>78.487200000000016</v>
      </c>
      <c r="H136">
        <v>8</v>
      </c>
      <c r="I136">
        <v>51</v>
      </c>
      <c r="J136">
        <v>5</v>
      </c>
      <c r="K136">
        <v>323</v>
      </c>
      <c r="L136">
        <v>62</v>
      </c>
      <c r="M136">
        <v>28</v>
      </c>
      <c r="N136">
        <v>1995</v>
      </c>
      <c r="O136">
        <v>0.27</v>
      </c>
      <c r="P136">
        <v>2.4700000000000002</v>
      </c>
      <c r="Q136">
        <v>1.4999999999999999E-2</v>
      </c>
      <c r="R136">
        <v>65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>
      <c r="A137">
        <v>337.30299255117171</v>
      </c>
      <c r="B137">
        <v>35</v>
      </c>
      <c r="C137">
        <v>6.7460598510234338</v>
      </c>
      <c r="D137">
        <v>390.67200000000003</v>
      </c>
      <c r="E137">
        <v>690.80384264821248</v>
      </c>
      <c r="F137">
        <v>174.22200000000001</v>
      </c>
      <c r="G137">
        <v>65.465999999999994</v>
      </c>
      <c r="H137">
        <v>9</v>
      </c>
      <c r="I137">
        <v>52</v>
      </c>
      <c r="J137">
        <v>3</v>
      </c>
      <c r="K137">
        <v>273</v>
      </c>
      <c r="L137">
        <v>56</v>
      </c>
      <c r="M137">
        <v>2</v>
      </c>
      <c r="N137">
        <v>1995</v>
      </c>
      <c r="O137">
        <v>0.27</v>
      </c>
      <c r="P137">
        <v>2.4700000000000002</v>
      </c>
      <c r="Q137">
        <v>1.4999999999999999E-2</v>
      </c>
      <c r="R137">
        <v>65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>
      <c r="A138">
        <v>337.30299255117171</v>
      </c>
      <c r="B138">
        <v>35</v>
      </c>
      <c r="C138">
        <v>6.7460598510234338</v>
      </c>
      <c r="D138">
        <v>390.67200000000003</v>
      </c>
      <c r="E138">
        <v>690.80384264821248</v>
      </c>
      <c r="F138">
        <v>174.22200000000001</v>
      </c>
      <c r="G138">
        <v>65.465999999999994</v>
      </c>
      <c r="H138">
        <v>9</v>
      </c>
      <c r="I138">
        <v>52</v>
      </c>
      <c r="J138">
        <v>3</v>
      </c>
      <c r="K138">
        <v>274</v>
      </c>
      <c r="L138">
        <v>56</v>
      </c>
      <c r="M138">
        <v>2</v>
      </c>
      <c r="N138">
        <v>1995</v>
      </c>
      <c r="O138">
        <v>0.27</v>
      </c>
      <c r="P138">
        <v>2.4700000000000002</v>
      </c>
      <c r="Q138">
        <v>1.4999999999999999E-2</v>
      </c>
      <c r="R138">
        <v>65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>
      <c r="A139">
        <v>430.37305266521412</v>
      </c>
      <c r="B139">
        <v>44.744</v>
      </c>
      <c r="C139">
        <v>6.7329951918838251</v>
      </c>
      <c r="D139">
        <v>534.43200000000002</v>
      </c>
      <c r="E139">
        <v>689.93316628431046</v>
      </c>
      <c r="F139">
        <v>407.4</v>
      </c>
      <c r="G139">
        <v>83.509799999999998</v>
      </c>
      <c r="H139">
        <v>181</v>
      </c>
      <c r="I139">
        <v>55</v>
      </c>
      <c r="J139">
        <v>5</v>
      </c>
      <c r="K139">
        <v>40</v>
      </c>
      <c r="L139">
        <v>60</v>
      </c>
      <c r="M139">
        <v>6</v>
      </c>
      <c r="N139">
        <v>1995</v>
      </c>
      <c r="O139">
        <v>0.27</v>
      </c>
      <c r="P139">
        <v>2.4700000000000002</v>
      </c>
      <c r="Q139">
        <v>1.4999999999999999E-2</v>
      </c>
      <c r="R139">
        <v>65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>
      <c r="A140">
        <v>382.82311679968097</v>
      </c>
      <c r="B140">
        <v>39.9</v>
      </c>
      <c r="C140">
        <v>6.7161950315733527</v>
      </c>
      <c r="D140">
        <v>455.86799999999999</v>
      </c>
      <c r="E140">
        <v>691.84668790638284</v>
      </c>
      <c r="F140">
        <v>269.21519999999998</v>
      </c>
      <c r="G140">
        <v>74.322000000000003</v>
      </c>
      <c r="H140">
        <v>163</v>
      </c>
      <c r="I140">
        <v>56</v>
      </c>
      <c r="J140">
        <v>9</v>
      </c>
      <c r="K140">
        <v>153</v>
      </c>
      <c r="L140">
        <v>57</v>
      </c>
      <c r="M140">
        <v>45</v>
      </c>
      <c r="N140">
        <v>1995</v>
      </c>
      <c r="O140">
        <v>0.27</v>
      </c>
      <c r="P140">
        <v>2.4700000000000002</v>
      </c>
      <c r="Q140">
        <v>1.4999999999999999E-2</v>
      </c>
      <c r="R140">
        <v>65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>
      <c r="A141">
        <v>429.12143567431542</v>
      </c>
      <c r="B141">
        <v>44.744</v>
      </c>
      <c r="C141">
        <v>6.7134142001613801</v>
      </c>
      <c r="D141">
        <v>470.52</v>
      </c>
      <c r="E141">
        <v>690.8033195020746</v>
      </c>
      <c r="F141">
        <v>401.61599999999999</v>
      </c>
      <c r="G141">
        <v>83.286720000000003</v>
      </c>
      <c r="H141">
        <v>130</v>
      </c>
      <c r="I141">
        <v>55</v>
      </c>
      <c r="J141">
        <v>5</v>
      </c>
      <c r="K141">
        <v>40</v>
      </c>
      <c r="L141">
        <v>59</v>
      </c>
      <c r="M141">
        <v>6</v>
      </c>
      <c r="N141">
        <v>1995</v>
      </c>
      <c r="O141">
        <v>0.27</v>
      </c>
      <c r="P141">
        <v>2.4700000000000002</v>
      </c>
      <c r="Q141">
        <v>1.4999999999999999E-2</v>
      </c>
      <c r="R141">
        <v>65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>
      <c r="A142">
        <v>415.92612634672651</v>
      </c>
      <c r="B142">
        <v>43.400000000000013</v>
      </c>
      <c r="C142">
        <v>6.7084859088181688</v>
      </c>
      <c r="D142">
        <v>430.21559999999999</v>
      </c>
      <c r="E142">
        <v>690.58517833856831</v>
      </c>
      <c r="F142">
        <v>202.9716</v>
      </c>
      <c r="G142">
        <v>80.720880000000022</v>
      </c>
      <c r="H142">
        <v>52</v>
      </c>
      <c r="I142">
        <v>55</v>
      </c>
      <c r="J142">
        <v>12</v>
      </c>
      <c r="K142">
        <v>126</v>
      </c>
      <c r="L142">
        <v>58</v>
      </c>
      <c r="M142">
        <v>28</v>
      </c>
      <c r="N142">
        <v>1995</v>
      </c>
      <c r="O142">
        <v>0.27</v>
      </c>
      <c r="P142">
        <v>2.4700000000000002</v>
      </c>
      <c r="Q142">
        <v>1.4999999999999999E-2</v>
      </c>
      <c r="R142">
        <v>65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>
      <c r="A143">
        <v>400.73479858601343</v>
      </c>
      <c r="B143">
        <v>42</v>
      </c>
      <c r="C143">
        <v>6.6789133097668909</v>
      </c>
      <c r="D143">
        <v>404.19109999999989</v>
      </c>
      <c r="E143">
        <v>689.7410788381743</v>
      </c>
      <c r="F143">
        <v>155.5094</v>
      </c>
      <c r="G143">
        <v>77.754700000000014</v>
      </c>
      <c r="H143">
        <v>33</v>
      </c>
      <c r="I143">
        <v>55</v>
      </c>
      <c r="J143">
        <v>5</v>
      </c>
      <c r="K143">
        <v>39</v>
      </c>
      <c r="L143">
        <v>51</v>
      </c>
      <c r="M143">
        <v>4</v>
      </c>
      <c r="N143">
        <v>1995</v>
      </c>
      <c r="O143">
        <v>0.27</v>
      </c>
      <c r="P143">
        <v>2.4700000000000002</v>
      </c>
      <c r="Q143">
        <v>1.4999999999999999E-2</v>
      </c>
      <c r="R143">
        <v>65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>
      <c r="A144">
        <v>400.73479858601343</v>
      </c>
      <c r="B144">
        <v>42</v>
      </c>
      <c r="C144">
        <v>6.6789133097668909</v>
      </c>
      <c r="D144">
        <v>404.19109999999989</v>
      </c>
      <c r="E144">
        <v>689.7410788381743</v>
      </c>
      <c r="F144">
        <v>155.5094</v>
      </c>
      <c r="G144">
        <v>77.754700000000014</v>
      </c>
      <c r="H144">
        <v>332</v>
      </c>
      <c r="I144">
        <v>55</v>
      </c>
      <c r="J144">
        <v>5</v>
      </c>
      <c r="K144">
        <v>39</v>
      </c>
      <c r="L144">
        <v>51</v>
      </c>
      <c r="M144">
        <v>4</v>
      </c>
      <c r="N144">
        <v>1995</v>
      </c>
      <c r="O144">
        <v>0.27</v>
      </c>
      <c r="P144">
        <v>2.4700000000000002</v>
      </c>
      <c r="Q144">
        <v>1.4999999999999999E-2</v>
      </c>
      <c r="R144">
        <v>65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>
      <c r="A145">
        <v>426.01948067382313</v>
      </c>
      <c r="B145">
        <v>44.744</v>
      </c>
      <c r="C145">
        <v>6.6648854923939789</v>
      </c>
      <c r="D145">
        <v>528.86400000000003</v>
      </c>
      <c r="E145">
        <v>667.23319502074696</v>
      </c>
      <c r="F145">
        <v>402.24</v>
      </c>
      <c r="G145">
        <v>82.152640000000019</v>
      </c>
      <c r="H145">
        <v>178</v>
      </c>
      <c r="I145">
        <v>62</v>
      </c>
      <c r="J145">
        <v>5</v>
      </c>
      <c r="K145">
        <v>40</v>
      </c>
      <c r="L145">
        <v>58</v>
      </c>
      <c r="M145">
        <v>6</v>
      </c>
      <c r="N145">
        <v>1995</v>
      </c>
      <c r="O145">
        <v>0.27</v>
      </c>
      <c r="P145">
        <v>2.4700000000000002</v>
      </c>
      <c r="Q145">
        <v>1.4999999999999999E-2</v>
      </c>
      <c r="R145">
        <v>65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>
      <c r="A146">
        <v>366.40077995304722</v>
      </c>
      <c r="B146">
        <v>38.5</v>
      </c>
      <c r="C146">
        <v>6.6618323627826763</v>
      </c>
      <c r="D146">
        <v>429.54899999999998</v>
      </c>
      <c r="E146">
        <v>689.44440417721546</v>
      </c>
      <c r="F146">
        <v>221.0994</v>
      </c>
      <c r="G146">
        <v>71.087100000000007</v>
      </c>
      <c r="H146">
        <v>22</v>
      </c>
      <c r="I146">
        <v>55</v>
      </c>
      <c r="J146">
        <v>3</v>
      </c>
      <c r="K146">
        <v>84</v>
      </c>
      <c r="L146">
        <v>58</v>
      </c>
      <c r="M146">
        <v>30</v>
      </c>
      <c r="N146">
        <v>1995</v>
      </c>
      <c r="O146">
        <v>0.27</v>
      </c>
      <c r="P146">
        <v>2.4700000000000002</v>
      </c>
      <c r="Q146">
        <v>1.4999999999999999E-2</v>
      </c>
      <c r="R146">
        <v>65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>
      <c r="A147">
        <v>365.1452043282635</v>
      </c>
      <c r="B147">
        <v>38.5</v>
      </c>
      <c r="C147">
        <v>6.6390037150593368</v>
      </c>
      <c r="D147">
        <v>585.54</v>
      </c>
      <c r="E147">
        <v>689.44440417721546</v>
      </c>
      <c r="F147">
        <v>220.73400000000001</v>
      </c>
      <c r="G147">
        <v>70.843500000000006</v>
      </c>
      <c r="H147">
        <v>22</v>
      </c>
      <c r="I147">
        <v>55</v>
      </c>
      <c r="J147">
        <v>3</v>
      </c>
      <c r="K147">
        <v>323</v>
      </c>
      <c r="L147">
        <v>58</v>
      </c>
      <c r="M147">
        <v>30</v>
      </c>
      <c r="N147">
        <v>1995</v>
      </c>
      <c r="O147">
        <v>0.27</v>
      </c>
      <c r="P147">
        <v>2.4700000000000002</v>
      </c>
      <c r="Q147">
        <v>1.4999999999999999E-2</v>
      </c>
      <c r="R147">
        <v>65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>
      <c r="A148">
        <v>424.23531719637441</v>
      </c>
      <c r="B148">
        <v>44.744</v>
      </c>
      <c r="C148">
        <v>6.63697304750273</v>
      </c>
      <c r="D148">
        <v>524.61680000000001</v>
      </c>
      <c r="E148">
        <v>686.21078838174276</v>
      </c>
      <c r="F148">
        <v>397.74040000000002</v>
      </c>
      <c r="G148">
        <v>82.235160000000008</v>
      </c>
      <c r="H148">
        <v>1</v>
      </c>
      <c r="I148">
        <v>63</v>
      </c>
      <c r="J148">
        <v>10</v>
      </c>
      <c r="K148">
        <v>40</v>
      </c>
      <c r="L148">
        <v>57</v>
      </c>
      <c r="M148">
        <v>6</v>
      </c>
      <c r="N148">
        <v>1995</v>
      </c>
      <c r="O148">
        <v>0.27</v>
      </c>
      <c r="P148">
        <v>2.4700000000000002</v>
      </c>
      <c r="Q148">
        <v>1.4999999999999999E-2</v>
      </c>
      <c r="R148">
        <v>65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>
      <c r="A149">
        <v>397.46152415096958</v>
      </c>
      <c r="B149">
        <v>42.000000000000007</v>
      </c>
      <c r="C149">
        <v>6.6243587358494924</v>
      </c>
      <c r="D149">
        <v>479.892</v>
      </c>
      <c r="E149">
        <v>688.12726896035929</v>
      </c>
      <c r="F149">
        <v>191.16720000000001</v>
      </c>
      <c r="G149">
        <v>77.085599999999999</v>
      </c>
      <c r="H149">
        <v>53</v>
      </c>
      <c r="I149">
        <v>56</v>
      </c>
      <c r="J149">
        <v>11</v>
      </c>
      <c r="K149">
        <v>323</v>
      </c>
      <c r="L149">
        <v>57</v>
      </c>
      <c r="M149">
        <v>32</v>
      </c>
      <c r="N149">
        <v>1995</v>
      </c>
      <c r="O149">
        <v>0.27</v>
      </c>
      <c r="P149">
        <v>2.4700000000000002</v>
      </c>
      <c r="Q149">
        <v>1.4999999999999999E-2</v>
      </c>
      <c r="R149">
        <v>65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>
      <c r="A150">
        <v>409.92192415743972</v>
      </c>
      <c r="B150">
        <v>43.400000000000013</v>
      </c>
      <c r="C150">
        <v>6.6116439380232208</v>
      </c>
      <c r="D150">
        <v>587.93280000000004</v>
      </c>
      <c r="E150">
        <v>685.27314116671346</v>
      </c>
      <c r="F150">
        <v>198.60480000000001</v>
      </c>
      <c r="G150">
        <v>79.440240000000003</v>
      </c>
      <c r="H150">
        <v>8</v>
      </c>
      <c r="I150">
        <v>52</v>
      </c>
      <c r="J150">
        <v>5</v>
      </c>
      <c r="K150">
        <v>126</v>
      </c>
      <c r="L150">
        <v>61</v>
      </c>
      <c r="M150">
        <v>27</v>
      </c>
      <c r="N150">
        <v>1995</v>
      </c>
      <c r="O150">
        <v>0.27</v>
      </c>
      <c r="P150">
        <v>2.4700000000000002</v>
      </c>
      <c r="Q150">
        <v>1.4999999999999999E-2</v>
      </c>
      <c r="R150">
        <v>65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>
      <c r="A151">
        <v>420.95728403023821</v>
      </c>
      <c r="B151">
        <v>44.744</v>
      </c>
      <c r="C151">
        <v>6.5856896750663054</v>
      </c>
      <c r="D151">
        <v>477.60120000000001</v>
      </c>
      <c r="E151">
        <v>654.69211618257259</v>
      </c>
      <c r="F151">
        <v>407.50920000000002</v>
      </c>
      <c r="G151">
        <v>80.896740000000008</v>
      </c>
      <c r="H151">
        <v>131</v>
      </c>
      <c r="I151">
        <v>61</v>
      </c>
      <c r="J151">
        <v>4</v>
      </c>
      <c r="K151">
        <v>40</v>
      </c>
      <c r="L151">
        <v>59</v>
      </c>
      <c r="M151">
        <v>6</v>
      </c>
      <c r="N151">
        <v>1995</v>
      </c>
      <c r="O151">
        <v>0.27</v>
      </c>
      <c r="P151">
        <v>2.4700000000000002</v>
      </c>
      <c r="Q151">
        <v>1.4999999999999999E-2</v>
      </c>
      <c r="R151">
        <v>65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>
      <c r="A152">
        <v>418.59169248703063</v>
      </c>
      <c r="B152">
        <v>44.744</v>
      </c>
      <c r="C152">
        <v>6.548681046417876</v>
      </c>
      <c r="D152">
        <v>470.10239999999999</v>
      </c>
      <c r="E152">
        <v>683.28630705394198</v>
      </c>
      <c r="F152">
        <v>401.19839999999999</v>
      </c>
      <c r="G152">
        <v>81.07632000000001</v>
      </c>
      <c r="H152">
        <v>132</v>
      </c>
      <c r="I152">
        <v>62</v>
      </c>
      <c r="J152">
        <v>4</v>
      </c>
      <c r="K152">
        <v>40</v>
      </c>
      <c r="L152">
        <v>58</v>
      </c>
      <c r="M152">
        <v>6</v>
      </c>
      <c r="N152">
        <v>1995</v>
      </c>
      <c r="O152">
        <v>0.27</v>
      </c>
      <c r="P152">
        <v>2.4700000000000002</v>
      </c>
      <c r="Q152">
        <v>1.4999999999999999E-2</v>
      </c>
      <c r="R152">
        <v>65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>
      <c r="A153">
        <v>418.15155553140562</v>
      </c>
      <c r="B153">
        <v>44.744</v>
      </c>
      <c r="C153">
        <v>6.5417952993023407</v>
      </c>
      <c r="D153">
        <v>472.09500000000003</v>
      </c>
      <c r="E153">
        <v>691.79751037344397</v>
      </c>
      <c r="F153">
        <v>403.19099999999997</v>
      </c>
      <c r="G153">
        <v>81.179640000000006</v>
      </c>
      <c r="H153">
        <v>317</v>
      </c>
      <c r="I153">
        <v>60</v>
      </c>
      <c r="J153">
        <v>10</v>
      </c>
      <c r="K153">
        <v>40</v>
      </c>
      <c r="L153">
        <v>58</v>
      </c>
      <c r="M153">
        <v>6</v>
      </c>
      <c r="N153">
        <v>1995</v>
      </c>
      <c r="O153">
        <v>0.27</v>
      </c>
      <c r="P153">
        <v>2.4700000000000002</v>
      </c>
      <c r="Q153">
        <v>1.4999999999999999E-2</v>
      </c>
      <c r="R153">
        <v>65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>
      <c r="A154">
        <v>416.60569717198871</v>
      </c>
      <c r="B154">
        <v>44.744</v>
      </c>
      <c r="C154">
        <v>6.5176110321024519</v>
      </c>
      <c r="D154">
        <v>527.904</v>
      </c>
      <c r="E154">
        <v>689.49211618257254</v>
      </c>
      <c r="F154">
        <v>401.76</v>
      </c>
      <c r="G154">
        <v>80.828639999999993</v>
      </c>
      <c r="H154">
        <v>117</v>
      </c>
      <c r="I154">
        <v>54</v>
      </c>
      <c r="J154">
        <v>5</v>
      </c>
      <c r="K154">
        <v>40</v>
      </c>
      <c r="L154">
        <v>58</v>
      </c>
      <c r="M154">
        <v>6</v>
      </c>
      <c r="N154">
        <v>1995</v>
      </c>
      <c r="O154">
        <v>0.27</v>
      </c>
      <c r="P154">
        <v>2.4700000000000002</v>
      </c>
      <c r="Q154">
        <v>1.4999999999999999E-2</v>
      </c>
      <c r="R154">
        <v>65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>
      <c r="A155">
        <v>401.83011883673919</v>
      </c>
      <c r="B155">
        <v>43.400000000000013</v>
      </c>
      <c r="C155">
        <v>6.4811309489796649</v>
      </c>
      <c r="D155">
        <v>416.68560000000002</v>
      </c>
      <c r="E155">
        <v>691.97936920993766</v>
      </c>
      <c r="F155">
        <v>194.8536</v>
      </c>
      <c r="G155">
        <v>78.014880000000005</v>
      </c>
      <c r="H155">
        <v>53</v>
      </c>
      <c r="I155">
        <v>54</v>
      </c>
      <c r="J155">
        <v>12</v>
      </c>
      <c r="K155">
        <v>126</v>
      </c>
      <c r="L155">
        <v>58</v>
      </c>
      <c r="M155">
        <v>28</v>
      </c>
      <c r="N155">
        <v>1995</v>
      </c>
      <c r="O155">
        <v>0.27</v>
      </c>
      <c r="P155">
        <v>2.4700000000000002</v>
      </c>
      <c r="Q155">
        <v>1.4999999999999999E-2</v>
      </c>
      <c r="R155">
        <v>65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>
      <c r="A156">
        <v>453.50123524454148</v>
      </c>
      <c r="B156">
        <v>49</v>
      </c>
      <c r="C156">
        <v>6.4785890749220219</v>
      </c>
      <c r="D156">
        <v>440.62684999999999</v>
      </c>
      <c r="E156">
        <v>687.94951473000197</v>
      </c>
      <c r="F156">
        <v>163.46091000000001</v>
      </c>
      <c r="G156">
        <v>87.949939999999998</v>
      </c>
      <c r="H156">
        <v>39</v>
      </c>
      <c r="I156">
        <v>54</v>
      </c>
      <c r="J156">
        <v>10</v>
      </c>
      <c r="K156">
        <v>84</v>
      </c>
      <c r="L156">
        <v>59</v>
      </c>
      <c r="M156">
        <v>29</v>
      </c>
      <c r="N156">
        <v>1995</v>
      </c>
      <c r="O156">
        <v>0.27</v>
      </c>
      <c r="P156">
        <v>2.4700000000000002</v>
      </c>
      <c r="Q156">
        <v>1.4999999999999999E-2</v>
      </c>
      <c r="R156">
        <v>65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>
      <c r="A157">
        <v>369.14371080733991</v>
      </c>
      <c r="B157">
        <v>39.900000000000013</v>
      </c>
      <c r="C157">
        <v>6.4762054527603476</v>
      </c>
      <c r="D157">
        <v>522.34559999999999</v>
      </c>
      <c r="E157">
        <v>689.14230844968256</v>
      </c>
      <c r="F157">
        <v>220.95359999999999</v>
      </c>
      <c r="G157">
        <v>71.61336</v>
      </c>
      <c r="H157">
        <v>22</v>
      </c>
      <c r="I157">
        <v>56</v>
      </c>
      <c r="J157">
        <v>3</v>
      </c>
      <c r="K157">
        <v>126</v>
      </c>
      <c r="L157">
        <v>57</v>
      </c>
      <c r="M157">
        <v>29</v>
      </c>
      <c r="N157">
        <v>1995</v>
      </c>
      <c r="O157">
        <v>0.27</v>
      </c>
      <c r="P157">
        <v>2.4700000000000002</v>
      </c>
      <c r="Q157">
        <v>1.4999999999999999E-2</v>
      </c>
      <c r="R157">
        <v>65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>
      <c r="A158">
        <v>452.26608163453932</v>
      </c>
      <c r="B158">
        <v>49</v>
      </c>
      <c r="C158">
        <v>6.4609440233505619</v>
      </c>
      <c r="D158">
        <v>594.01800000000003</v>
      </c>
      <c r="E158">
        <v>687.94951473000197</v>
      </c>
      <c r="F158">
        <v>163.10159999999999</v>
      </c>
      <c r="G158">
        <v>87.710399999999993</v>
      </c>
      <c r="H158">
        <v>39</v>
      </c>
      <c r="I158">
        <v>54</v>
      </c>
      <c r="J158">
        <v>10</v>
      </c>
      <c r="K158">
        <v>323</v>
      </c>
      <c r="L158">
        <v>59</v>
      </c>
      <c r="M158">
        <v>29</v>
      </c>
      <c r="N158">
        <v>1995</v>
      </c>
      <c r="O158">
        <v>0.27</v>
      </c>
      <c r="P158">
        <v>2.4700000000000002</v>
      </c>
      <c r="Q158">
        <v>1.4999999999999999E-2</v>
      </c>
      <c r="R158">
        <v>65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>
      <c r="A159">
        <v>409.76163267485703</v>
      </c>
      <c r="B159">
        <v>44.744</v>
      </c>
      <c r="C159">
        <v>6.4105386838995146</v>
      </c>
      <c r="D159">
        <v>526.64400000000001</v>
      </c>
      <c r="E159">
        <v>689.76597510373449</v>
      </c>
      <c r="F159">
        <v>401.13</v>
      </c>
      <c r="G159">
        <v>79.506720000000001</v>
      </c>
      <c r="H159">
        <v>177</v>
      </c>
      <c r="I159">
        <v>60</v>
      </c>
      <c r="J159">
        <v>5</v>
      </c>
      <c r="K159">
        <v>40</v>
      </c>
      <c r="L159">
        <v>59</v>
      </c>
      <c r="M159">
        <v>6</v>
      </c>
      <c r="N159">
        <v>1995</v>
      </c>
      <c r="O159">
        <v>0.27</v>
      </c>
      <c r="P159">
        <v>2.4700000000000002</v>
      </c>
      <c r="Q159">
        <v>1.4999999999999999E-2</v>
      </c>
      <c r="R159">
        <v>65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>
      <c r="A160">
        <v>489.9775420779481</v>
      </c>
      <c r="B160">
        <v>53.666666666666657</v>
      </c>
      <c r="C160">
        <v>6.39101141840802</v>
      </c>
      <c r="D160">
        <v>374.38200000000001</v>
      </c>
      <c r="E160">
        <v>691.62475237860576</v>
      </c>
      <c r="F160">
        <v>265.08600000000001</v>
      </c>
      <c r="G160">
        <v>95.119400000000013</v>
      </c>
      <c r="H160">
        <v>164</v>
      </c>
      <c r="I160">
        <v>52</v>
      </c>
      <c r="J160">
        <v>7</v>
      </c>
      <c r="K160">
        <v>111</v>
      </c>
      <c r="L160">
        <v>61</v>
      </c>
      <c r="M160">
        <v>11</v>
      </c>
      <c r="N160">
        <v>1995</v>
      </c>
      <c r="O160">
        <v>0.27</v>
      </c>
      <c r="P160">
        <v>2.4700000000000002</v>
      </c>
      <c r="Q160">
        <v>1.4999999999999999E-2</v>
      </c>
      <c r="R160">
        <v>65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>
      <c r="A161">
        <v>457.87092227117188</v>
      </c>
      <c r="B161">
        <v>50.400000000000013</v>
      </c>
      <c r="C161">
        <v>6.3593183648773879</v>
      </c>
      <c r="D161">
        <v>534.82560000000001</v>
      </c>
      <c r="E161">
        <v>687.84658912695022</v>
      </c>
      <c r="F161">
        <v>162.95359999999999</v>
      </c>
      <c r="G161">
        <v>88.794880000000006</v>
      </c>
      <c r="H161">
        <v>39</v>
      </c>
      <c r="I161">
        <v>55</v>
      </c>
      <c r="J161">
        <v>10</v>
      </c>
      <c r="K161">
        <v>126</v>
      </c>
      <c r="L161">
        <v>58</v>
      </c>
      <c r="M161">
        <v>28</v>
      </c>
      <c r="N161">
        <v>1995</v>
      </c>
      <c r="O161">
        <v>0.27</v>
      </c>
      <c r="P161">
        <v>2.4700000000000002</v>
      </c>
      <c r="Q161">
        <v>1.4999999999999999E-2</v>
      </c>
      <c r="R161">
        <v>65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>
      <c r="A162">
        <v>392.95243407192561</v>
      </c>
      <c r="B162">
        <v>43.400000000000013</v>
      </c>
      <c r="C162">
        <v>6.3379424850310579</v>
      </c>
      <c r="D162">
        <v>556.92959999999994</v>
      </c>
      <c r="E162">
        <v>688.5400694919723</v>
      </c>
      <c r="F162">
        <v>187.4376</v>
      </c>
      <c r="G162">
        <v>76.219679999999997</v>
      </c>
      <c r="H162">
        <v>9</v>
      </c>
      <c r="I162">
        <v>46</v>
      </c>
      <c r="J162">
        <v>4</v>
      </c>
      <c r="K162">
        <v>126</v>
      </c>
      <c r="L162">
        <v>64</v>
      </c>
      <c r="M162">
        <v>26</v>
      </c>
      <c r="N162">
        <v>1995</v>
      </c>
      <c r="O162">
        <v>0.27</v>
      </c>
      <c r="P162">
        <v>2.4700000000000002</v>
      </c>
      <c r="Q162">
        <v>1.4999999999999999E-2</v>
      </c>
      <c r="R162">
        <v>65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>
      <c r="A163">
        <v>340.72971570501858</v>
      </c>
      <c r="B163">
        <v>37.744</v>
      </c>
      <c r="C163">
        <v>6.3191712853304631</v>
      </c>
      <c r="D163">
        <v>505.72800000000001</v>
      </c>
      <c r="E163">
        <v>690.88132780082992</v>
      </c>
      <c r="F163">
        <v>385.92</v>
      </c>
      <c r="G163">
        <v>66.132480000000015</v>
      </c>
      <c r="H163">
        <v>56</v>
      </c>
      <c r="I163">
        <v>60</v>
      </c>
      <c r="J163">
        <v>8</v>
      </c>
      <c r="K163">
        <v>40</v>
      </c>
      <c r="L163">
        <v>56</v>
      </c>
      <c r="M163">
        <v>6</v>
      </c>
      <c r="N163">
        <v>1995</v>
      </c>
      <c r="O163">
        <v>0.27</v>
      </c>
      <c r="P163">
        <v>2.4700000000000002</v>
      </c>
      <c r="Q163">
        <v>1.4999999999999999E-2</v>
      </c>
      <c r="R163">
        <v>65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>
      <c r="A164">
        <v>375.26146177669881</v>
      </c>
      <c r="B164">
        <v>42</v>
      </c>
      <c r="C164">
        <v>6.254357696278313</v>
      </c>
      <c r="D164">
        <v>445.81085000000002</v>
      </c>
      <c r="E164">
        <v>690.6383114104998</v>
      </c>
      <c r="F164">
        <v>181.17291</v>
      </c>
      <c r="G164">
        <v>72.829940000000008</v>
      </c>
      <c r="H164">
        <v>6</v>
      </c>
      <c r="I164">
        <v>54</v>
      </c>
      <c r="J164">
        <v>6</v>
      </c>
      <c r="K164">
        <v>84</v>
      </c>
      <c r="L164">
        <v>59</v>
      </c>
      <c r="M164">
        <v>29</v>
      </c>
      <c r="N164">
        <v>1995</v>
      </c>
      <c r="O164">
        <v>0.27</v>
      </c>
      <c r="P164">
        <v>2.4700000000000002</v>
      </c>
      <c r="Q164">
        <v>1.4999999999999999E-2</v>
      </c>
      <c r="R164">
        <v>65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>
      <c r="A165">
        <v>395.85298405747773</v>
      </c>
      <c r="B165">
        <v>44.744</v>
      </c>
      <c r="C165">
        <v>6.1929440559680504</v>
      </c>
      <c r="D165">
        <v>513.28800000000001</v>
      </c>
      <c r="E165">
        <v>690.36852452392054</v>
      </c>
      <c r="F165">
        <v>394.452</v>
      </c>
      <c r="G165">
        <v>76.820639999999997</v>
      </c>
      <c r="H165">
        <v>183</v>
      </c>
      <c r="I165">
        <v>62</v>
      </c>
      <c r="J165">
        <v>3</v>
      </c>
      <c r="K165">
        <v>40</v>
      </c>
      <c r="L165">
        <v>58</v>
      </c>
      <c r="M165">
        <v>6</v>
      </c>
      <c r="N165">
        <v>1995</v>
      </c>
      <c r="O165">
        <v>0.27</v>
      </c>
      <c r="P165">
        <v>2.4700000000000002</v>
      </c>
      <c r="Q165">
        <v>1.4999999999999999E-2</v>
      </c>
      <c r="R165">
        <v>65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>
      <c r="A166">
        <v>408.71994806443058</v>
      </c>
      <c r="B166">
        <v>46.2</v>
      </c>
      <c r="C166">
        <v>6.1927264858247071</v>
      </c>
      <c r="D166">
        <v>505.00799999999998</v>
      </c>
      <c r="E166">
        <v>690.25544284294915</v>
      </c>
      <c r="F166">
        <v>282.44159999999999</v>
      </c>
      <c r="G166">
        <v>79.315200000000019</v>
      </c>
      <c r="H166">
        <v>111</v>
      </c>
      <c r="I166">
        <v>57</v>
      </c>
      <c r="J166">
        <v>24</v>
      </c>
      <c r="K166">
        <v>277</v>
      </c>
      <c r="L166">
        <v>56</v>
      </c>
      <c r="M166">
        <v>15</v>
      </c>
      <c r="N166">
        <v>1995</v>
      </c>
      <c r="O166">
        <v>0.27</v>
      </c>
      <c r="P166">
        <v>2.4700000000000002</v>
      </c>
      <c r="Q166">
        <v>1.4999999999999999E-2</v>
      </c>
      <c r="R166">
        <v>65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>
      <c r="A167">
        <v>393.54204393868309</v>
      </c>
      <c r="B167">
        <v>44.744</v>
      </c>
      <c r="C167">
        <v>6.1567904245726401</v>
      </c>
      <c r="D167">
        <v>514.12879999999996</v>
      </c>
      <c r="E167">
        <v>688.43817427385886</v>
      </c>
      <c r="F167">
        <v>394.87240000000003</v>
      </c>
      <c r="G167">
        <v>76.331919999999997</v>
      </c>
      <c r="H167">
        <v>65</v>
      </c>
      <c r="I167">
        <v>52</v>
      </c>
      <c r="J167">
        <v>4</v>
      </c>
      <c r="K167">
        <v>40</v>
      </c>
      <c r="L167">
        <v>59</v>
      </c>
      <c r="M167">
        <v>6</v>
      </c>
      <c r="N167">
        <v>1995</v>
      </c>
      <c r="O167">
        <v>0.27</v>
      </c>
      <c r="P167">
        <v>2.4700000000000002</v>
      </c>
      <c r="Q167">
        <v>1.4999999999999999E-2</v>
      </c>
      <c r="R167">
        <v>65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>
      <c r="A168">
        <v>429.9134426224789</v>
      </c>
      <c r="B168">
        <v>49</v>
      </c>
      <c r="C168">
        <v>6.1416206088925556</v>
      </c>
      <c r="D168">
        <v>387.81</v>
      </c>
      <c r="E168">
        <v>689.39682841050421</v>
      </c>
      <c r="F168">
        <v>203.65559999999999</v>
      </c>
      <c r="G168">
        <v>83.408400000000015</v>
      </c>
      <c r="H168">
        <v>52</v>
      </c>
      <c r="I168">
        <v>57</v>
      </c>
      <c r="J168">
        <v>12</v>
      </c>
      <c r="K168">
        <v>127</v>
      </c>
      <c r="L168">
        <v>56</v>
      </c>
      <c r="M168">
        <v>25</v>
      </c>
      <c r="N168">
        <v>1995</v>
      </c>
      <c r="O168">
        <v>0.27</v>
      </c>
      <c r="P168">
        <v>2.4700000000000002</v>
      </c>
      <c r="Q168">
        <v>1.4999999999999999E-2</v>
      </c>
      <c r="R168">
        <v>65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>
      <c r="A169">
        <v>439.4707963869883</v>
      </c>
      <c r="B169">
        <v>50.400000000000013</v>
      </c>
      <c r="C169">
        <v>6.1037610609303927</v>
      </c>
      <c r="D169">
        <v>370.57920000000001</v>
      </c>
      <c r="E169">
        <v>685.44398340248972</v>
      </c>
      <c r="F169">
        <v>180.50640000000001</v>
      </c>
      <c r="G169">
        <v>85.170600000000007</v>
      </c>
      <c r="H169">
        <v>174</v>
      </c>
      <c r="I169">
        <v>53</v>
      </c>
      <c r="J169">
        <v>4</v>
      </c>
      <c r="K169">
        <v>96</v>
      </c>
      <c r="L169">
        <v>60</v>
      </c>
      <c r="M169">
        <v>21</v>
      </c>
      <c r="N169">
        <v>1995</v>
      </c>
      <c r="O169">
        <v>0.27</v>
      </c>
      <c r="P169">
        <v>2.4700000000000002</v>
      </c>
      <c r="Q169">
        <v>1.4999999999999999E-2</v>
      </c>
      <c r="R169">
        <v>65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>
      <c r="A170">
        <v>378.17784112466097</v>
      </c>
      <c r="B170">
        <v>43.400000000000013</v>
      </c>
      <c r="C170">
        <v>6.0996425987848557</v>
      </c>
      <c r="D170">
        <v>542.72640000000001</v>
      </c>
      <c r="E170">
        <v>690.58517833856831</v>
      </c>
      <c r="F170">
        <v>181.5984</v>
      </c>
      <c r="G170">
        <v>73.394880000000001</v>
      </c>
      <c r="H170">
        <v>6</v>
      </c>
      <c r="I170">
        <v>55</v>
      </c>
      <c r="J170">
        <v>6</v>
      </c>
      <c r="K170">
        <v>126</v>
      </c>
      <c r="L170">
        <v>58</v>
      </c>
      <c r="M170">
        <v>28</v>
      </c>
      <c r="N170">
        <v>1995</v>
      </c>
      <c r="O170">
        <v>0.27</v>
      </c>
      <c r="P170">
        <v>2.4700000000000002</v>
      </c>
      <c r="Q170">
        <v>1.4999999999999999E-2</v>
      </c>
      <c r="R170">
        <v>65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>
      <c r="A171">
        <v>362.63025110778472</v>
      </c>
      <c r="B171">
        <v>42</v>
      </c>
      <c r="C171">
        <v>6.0438375184630786</v>
      </c>
      <c r="D171">
        <v>423.01884999999999</v>
      </c>
      <c r="E171">
        <v>691.89253695729849</v>
      </c>
      <c r="F171">
        <v>172.62591</v>
      </c>
      <c r="G171">
        <v>70.402600000000007</v>
      </c>
      <c r="H171">
        <v>7</v>
      </c>
      <c r="I171">
        <v>53</v>
      </c>
      <c r="J171">
        <v>5</v>
      </c>
      <c r="K171">
        <v>84</v>
      </c>
      <c r="L171">
        <v>60</v>
      </c>
      <c r="M171">
        <v>29</v>
      </c>
      <c r="N171">
        <v>1995</v>
      </c>
      <c r="O171">
        <v>0.27</v>
      </c>
      <c r="P171">
        <v>2.4700000000000002</v>
      </c>
      <c r="Q171">
        <v>1.4999999999999999E-2</v>
      </c>
      <c r="R171">
        <v>65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>
      <c r="A172">
        <v>386.04988145443531</v>
      </c>
      <c r="B172">
        <v>44.744</v>
      </c>
      <c r="C172">
        <v>6.0395788713146947</v>
      </c>
      <c r="D172">
        <v>515.62400000000002</v>
      </c>
      <c r="E172">
        <v>689.92876940477345</v>
      </c>
      <c r="F172">
        <v>395.62</v>
      </c>
      <c r="G172">
        <v>74.909220000000005</v>
      </c>
      <c r="H172">
        <v>47</v>
      </c>
      <c r="I172">
        <v>57</v>
      </c>
      <c r="J172">
        <v>5</v>
      </c>
      <c r="K172">
        <v>40</v>
      </c>
      <c r="L172">
        <v>59</v>
      </c>
      <c r="M172">
        <v>6</v>
      </c>
      <c r="N172">
        <v>1995</v>
      </c>
      <c r="O172">
        <v>0.27</v>
      </c>
      <c r="P172">
        <v>2.4700000000000002</v>
      </c>
      <c r="Q172">
        <v>1.4999999999999999E-2</v>
      </c>
      <c r="R172">
        <v>65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>
      <c r="A173">
        <v>385.36616316003619</v>
      </c>
      <c r="B173">
        <v>44.744</v>
      </c>
      <c r="C173">
        <v>6.0288824023785397</v>
      </c>
      <c r="D173">
        <v>564.30719999999997</v>
      </c>
      <c r="E173">
        <v>688.01327800829881</v>
      </c>
      <c r="F173">
        <v>394.81439999999998</v>
      </c>
      <c r="G173">
        <v>74.737440000000007</v>
      </c>
      <c r="H173">
        <v>75</v>
      </c>
      <c r="I173">
        <v>54</v>
      </c>
      <c r="J173">
        <v>4</v>
      </c>
      <c r="K173">
        <v>40</v>
      </c>
      <c r="L173">
        <v>58</v>
      </c>
      <c r="M173">
        <v>6</v>
      </c>
      <c r="N173">
        <v>1995</v>
      </c>
      <c r="O173">
        <v>0.27</v>
      </c>
      <c r="P173">
        <v>2.4700000000000002</v>
      </c>
      <c r="Q173">
        <v>1.4999999999999999E-2</v>
      </c>
      <c r="R173">
        <v>65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>
      <c r="A174">
        <v>421.61863192226559</v>
      </c>
      <c r="B174">
        <v>49</v>
      </c>
      <c r="C174">
        <v>6.0231233131752244</v>
      </c>
      <c r="D174">
        <v>557.52</v>
      </c>
      <c r="E174">
        <v>684.78131580618447</v>
      </c>
      <c r="F174">
        <v>201.8664</v>
      </c>
      <c r="G174">
        <v>81.695999999999998</v>
      </c>
      <c r="H174">
        <v>8</v>
      </c>
      <c r="I174">
        <v>55</v>
      </c>
      <c r="J174">
        <v>5</v>
      </c>
      <c r="K174">
        <v>127</v>
      </c>
      <c r="L174">
        <v>58</v>
      </c>
      <c r="M174">
        <v>23</v>
      </c>
      <c r="N174">
        <v>1995</v>
      </c>
      <c r="O174">
        <v>0.27</v>
      </c>
      <c r="P174">
        <v>2.4700000000000002</v>
      </c>
      <c r="Q174">
        <v>1.4999999999999999E-2</v>
      </c>
      <c r="R174">
        <v>65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>
      <c r="A175">
        <v>384.76139799474538</v>
      </c>
      <c r="B175">
        <v>44.744</v>
      </c>
      <c r="C175">
        <v>6.0194211200679817</v>
      </c>
      <c r="D175">
        <v>464.66399999999999</v>
      </c>
      <c r="E175">
        <v>690.14644852457855</v>
      </c>
      <c r="F175">
        <v>395.76</v>
      </c>
      <c r="G175">
        <v>74.663640000000001</v>
      </c>
      <c r="H175">
        <v>118</v>
      </c>
      <c r="I175">
        <v>57</v>
      </c>
      <c r="J175">
        <v>5</v>
      </c>
      <c r="K175">
        <v>40</v>
      </c>
      <c r="L175">
        <v>58</v>
      </c>
      <c r="M175">
        <v>6</v>
      </c>
      <c r="N175">
        <v>1995</v>
      </c>
      <c r="O175">
        <v>0.27</v>
      </c>
      <c r="P175">
        <v>2.4700000000000002</v>
      </c>
      <c r="Q175">
        <v>1.4999999999999999E-2</v>
      </c>
      <c r="R175">
        <v>65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>
      <c r="A176">
        <v>359.53244355212792</v>
      </c>
      <c r="B176">
        <v>42</v>
      </c>
      <c r="C176">
        <v>5.9922073925354642</v>
      </c>
      <c r="D176">
        <v>576.41</v>
      </c>
      <c r="E176">
        <v>688.75449398311389</v>
      </c>
      <c r="F176">
        <v>172.26660000000001</v>
      </c>
      <c r="G176">
        <v>69.741399999999999</v>
      </c>
      <c r="H176">
        <v>7</v>
      </c>
      <c r="I176">
        <v>53</v>
      </c>
      <c r="J176">
        <v>5</v>
      </c>
      <c r="K176">
        <v>323</v>
      </c>
      <c r="L176">
        <v>59</v>
      </c>
      <c r="M176">
        <v>29</v>
      </c>
      <c r="N176">
        <v>1995</v>
      </c>
      <c r="O176">
        <v>0.27</v>
      </c>
      <c r="P176">
        <v>2.4700000000000002</v>
      </c>
      <c r="Q176">
        <v>1.4999999999999999E-2</v>
      </c>
      <c r="R176">
        <v>65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>
      <c r="A177">
        <v>417.20138387987191</v>
      </c>
      <c r="B177">
        <v>49</v>
      </c>
      <c r="C177">
        <v>5.9600197697124564</v>
      </c>
      <c r="D177">
        <v>520.50720000000013</v>
      </c>
      <c r="E177">
        <v>685.61004958855801</v>
      </c>
      <c r="F177">
        <v>197.0856</v>
      </c>
      <c r="G177">
        <v>80.858399999999989</v>
      </c>
      <c r="H177">
        <v>8</v>
      </c>
      <c r="I177">
        <v>53</v>
      </c>
      <c r="J177">
        <v>5</v>
      </c>
      <c r="K177">
        <v>319</v>
      </c>
      <c r="L177">
        <v>60</v>
      </c>
      <c r="M177">
        <v>26</v>
      </c>
      <c r="N177">
        <v>1995</v>
      </c>
      <c r="O177">
        <v>0.27</v>
      </c>
      <c r="P177">
        <v>2.4700000000000002</v>
      </c>
      <c r="Q177">
        <v>1.4999999999999999E-2</v>
      </c>
      <c r="R177">
        <v>65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>
      <c r="A178">
        <v>415.5543438347247</v>
      </c>
      <c r="B178">
        <v>49.000000000000007</v>
      </c>
      <c r="C178">
        <v>5.9364906262103529</v>
      </c>
      <c r="D178">
        <v>1067.4892500000001</v>
      </c>
      <c r="E178">
        <v>680.88729330884803</v>
      </c>
      <c r="F178">
        <v>155.30885000000001</v>
      </c>
      <c r="G178">
        <v>80.43519999999998</v>
      </c>
      <c r="H178">
        <v>142</v>
      </c>
      <c r="I178">
        <v>65</v>
      </c>
      <c r="J178">
        <v>44</v>
      </c>
      <c r="K178">
        <v>84</v>
      </c>
      <c r="L178">
        <v>45</v>
      </c>
      <c r="M178">
        <v>17</v>
      </c>
      <c r="N178">
        <v>1995</v>
      </c>
      <c r="O178">
        <v>0.27</v>
      </c>
      <c r="P178">
        <v>2.4700000000000002</v>
      </c>
      <c r="Q178">
        <v>1.4999999999999999E-2</v>
      </c>
      <c r="R178">
        <v>65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>
      <c r="A179">
        <v>473.40965547327869</v>
      </c>
      <c r="B179">
        <v>56</v>
      </c>
      <c r="C179">
        <v>5.9176206934159836</v>
      </c>
      <c r="D179">
        <v>496.22399999999999</v>
      </c>
      <c r="E179">
        <v>686.55865413664537</v>
      </c>
      <c r="F179">
        <v>162.1824</v>
      </c>
      <c r="G179">
        <v>91.775999999999996</v>
      </c>
      <c r="H179">
        <v>39</v>
      </c>
      <c r="I179">
        <v>57</v>
      </c>
      <c r="J179">
        <v>10</v>
      </c>
      <c r="K179">
        <v>127</v>
      </c>
      <c r="L179">
        <v>56</v>
      </c>
      <c r="M179">
        <v>25</v>
      </c>
      <c r="N179">
        <v>1995</v>
      </c>
      <c r="O179">
        <v>0.27</v>
      </c>
      <c r="P179">
        <v>2.4700000000000002</v>
      </c>
      <c r="Q179">
        <v>1.4999999999999999E-2</v>
      </c>
      <c r="R179">
        <v>65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>
      <c r="A180">
        <v>377.03234663121282</v>
      </c>
      <c r="B180">
        <v>44.744</v>
      </c>
      <c r="C180">
        <v>5.8985035455446324</v>
      </c>
      <c r="D180">
        <v>575.25811199999998</v>
      </c>
      <c r="E180">
        <v>686.04149377593365</v>
      </c>
      <c r="F180">
        <v>395.09316000000001</v>
      </c>
      <c r="G180">
        <v>73.081800000000001</v>
      </c>
      <c r="H180">
        <v>175</v>
      </c>
      <c r="I180">
        <v>54</v>
      </c>
      <c r="J180">
        <v>6</v>
      </c>
      <c r="K180">
        <v>40</v>
      </c>
      <c r="L180">
        <v>58</v>
      </c>
      <c r="M180">
        <v>6</v>
      </c>
      <c r="N180">
        <v>1995</v>
      </c>
      <c r="O180">
        <v>0.27</v>
      </c>
      <c r="P180">
        <v>2.4700000000000002</v>
      </c>
      <c r="Q180">
        <v>1.4999999999999999E-2</v>
      </c>
      <c r="R180">
        <v>65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>
      <c r="A181">
        <v>412.87481217008639</v>
      </c>
      <c r="B181">
        <v>49</v>
      </c>
      <c r="C181">
        <v>5.8982116024298046</v>
      </c>
      <c r="D181">
        <v>373.96800000000002</v>
      </c>
      <c r="E181">
        <v>687.62775804683565</v>
      </c>
      <c r="F181">
        <v>195.35040000000001</v>
      </c>
      <c r="G181">
        <v>80.063999999999993</v>
      </c>
      <c r="H181">
        <v>53</v>
      </c>
      <c r="I181">
        <v>56</v>
      </c>
      <c r="J181">
        <v>12</v>
      </c>
      <c r="K181">
        <v>127</v>
      </c>
      <c r="L181">
        <v>57</v>
      </c>
      <c r="M181">
        <v>24</v>
      </c>
      <c r="N181">
        <v>1995</v>
      </c>
      <c r="O181">
        <v>0.27</v>
      </c>
      <c r="P181">
        <v>2.4700000000000002</v>
      </c>
      <c r="Q181">
        <v>1.4999999999999999E-2</v>
      </c>
      <c r="R181">
        <v>65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>
      <c r="A182">
        <v>376.89198809474141</v>
      </c>
      <c r="B182">
        <v>44.744000000000007</v>
      </c>
      <c r="C182">
        <v>5.8963076986035876</v>
      </c>
      <c r="D182">
        <v>514.60199999999998</v>
      </c>
      <c r="E182">
        <v>688.19711475257657</v>
      </c>
      <c r="F182">
        <v>395.10899999999998</v>
      </c>
      <c r="G182">
        <v>73.097639999999984</v>
      </c>
      <c r="H182">
        <v>179</v>
      </c>
      <c r="I182">
        <v>55</v>
      </c>
      <c r="J182">
        <v>6</v>
      </c>
      <c r="K182">
        <v>40</v>
      </c>
      <c r="L182">
        <v>58</v>
      </c>
      <c r="M182">
        <v>6</v>
      </c>
      <c r="N182">
        <v>1995</v>
      </c>
      <c r="O182">
        <v>0.27</v>
      </c>
      <c r="P182">
        <v>2.4700000000000002</v>
      </c>
      <c r="Q182">
        <v>1.4999999999999999E-2</v>
      </c>
      <c r="R182">
        <v>65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>
      <c r="A183">
        <v>376.68691713523111</v>
      </c>
      <c r="B183">
        <v>44.744</v>
      </c>
      <c r="C183">
        <v>5.8930994545561806</v>
      </c>
      <c r="D183">
        <v>513.79899999999998</v>
      </c>
      <c r="E183">
        <v>689.51751755414011</v>
      </c>
      <c r="F183">
        <v>394.70749999999998</v>
      </c>
      <c r="G183">
        <v>73.084220000000002</v>
      </c>
      <c r="H183">
        <v>180</v>
      </c>
      <c r="I183">
        <v>55</v>
      </c>
      <c r="J183">
        <v>5</v>
      </c>
      <c r="K183">
        <v>40</v>
      </c>
      <c r="L183">
        <v>59</v>
      </c>
      <c r="M183">
        <v>6</v>
      </c>
      <c r="N183">
        <v>1995</v>
      </c>
      <c r="O183">
        <v>0.27</v>
      </c>
      <c r="P183">
        <v>2.4700000000000002</v>
      </c>
      <c r="Q183">
        <v>1.4999999999999999E-2</v>
      </c>
      <c r="R183">
        <v>65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>
      <c r="A184">
        <v>375.10359866013403</v>
      </c>
      <c r="B184">
        <v>44.744</v>
      </c>
      <c r="C184">
        <v>5.8683291404902072</v>
      </c>
      <c r="D184">
        <v>463.32</v>
      </c>
      <c r="E184">
        <v>690.30712110735612</v>
      </c>
      <c r="F184">
        <v>394.416</v>
      </c>
      <c r="G184">
        <v>72.792720000000003</v>
      </c>
      <c r="H184">
        <v>123</v>
      </c>
      <c r="I184">
        <v>56</v>
      </c>
      <c r="J184">
        <v>5</v>
      </c>
      <c r="K184">
        <v>40</v>
      </c>
      <c r="L184">
        <v>59</v>
      </c>
      <c r="M184">
        <v>6</v>
      </c>
      <c r="N184">
        <v>1995</v>
      </c>
      <c r="O184">
        <v>0.27</v>
      </c>
      <c r="P184">
        <v>2.4700000000000002</v>
      </c>
      <c r="Q184">
        <v>1.4999999999999999E-2</v>
      </c>
      <c r="R184">
        <v>65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>
      <c r="A185">
        <v>447.27702960809182</v>
      </c>
      <c r="B185">
        <v>53.666666666666657</v>
      </c>
      <c r="C185">
        <v>5.8340482122794581</v>
      </c>
      <c r="D185">
        <v>445.11</v>
      </c>
      <c r="E185">
        <v>690.44559916781805</v>
      </c>
      <c r="F185">
        <v>245.53200000000001</v>
      </c>
      <c r="G185">
        <v>86.802000000000007</v>
      </c>
      <c r="H185">
        <v>164</v>
      </c>
      <c r="I185">
        <v>55</v>
      </c>
      <c r="J185">
        <v>6</v>
      </c>
      <c r="K185">
        <v>148</v>
      </c>
      <c r="L185">
        <v>58</v>
      </c>
      <c r="M185">
        <v>30</v>
      </c>
      <c r="N185">
        <v>1995</v>
      </c>
      <c r="O185">
        <v>0.27</v>
      </c>
      <c r="P185">
        <v>2.4700000000000002</v>
      </c>
      <c r="Q185">
        <v>1.4999999999999999E-2</v>
      </c>
      <c r="R185">
        <v>65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>
      <c r="A186">
        <v>420.00603941479773</v>
      </c>
      <c r="B186">
        <v>50.400000000000013</v>
      </c>
      <c r="C186">
        <v>5.8334172140944123</v>
      </c>
      <c r="D186">
        <v>385.00349999999997</v>
      </c>
      <c r="E186">
        <v>687.51650546590213</v>
      </c>
      <c r="F186">
        <v>309.36439999999999</v>
      </c>
      <c r="G186">
        <v>81.444399999999987</v>
      </c>
      <c r="H186">
        <v>163</v>
      </c>
      <c r="I186">
        <v>56</v>
      </c>
      <c r="J186">
        <v>11</v>
      </c>
      <c r="K186">
        <v>148</v>
      </c>
      <c r="L186">
        <v>57</v>
      </c>
      <c r="M186">
        <v>29</v>
      </c>
      <c r="N186">
        <v>1995</v>
      </c>
      <c r="O186">
        <v>0.27</v>
      </c>
      <c r="P186">
        <v>2.4700000000000002</v>
      </c>
      <c r="Q186">
        <v>1.4999999999999999E-2</v>
      </c>
      <c r="R186">
        <v>65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>
      <c r="A187">
        <v>361.39506659348882</v>
      </c>
      <c r="B187">
        <v>43.400000000000013</v>
      </c>
      <c r="C187">
        <v>5.8289526869917543</v>
      </c>
      <c r="D187">
        <v>516.73680000000002</v>
      </c>
      <c r="E187">
        <v>685.48798001833188</v>
      </c>
      <c r="F187">
        <v>172.27080000000001</v>
      </c>
      <c r="G187">
        <v>70.04016</v>
      </c>
      <c r="H187">
        <v>7</v>
      </c>
      <c r="I187">
        <v>54</v>
      </c>
      <c r="J187">
        <v>5</v>
      </c>
      <c r="K187">
        <v>126</v>
      </c>
      <c r="L187">
        <v>59</v>
      </c>
      <c r="M187">
        <v>27</v>
      </c>
      <c r="N187">
        <v>1995</v>
      </c>
      <c r="O187">
        <v>0.27</v>
      </c>
      <c r="P187">
        <v>2.4700000000000002</v>
      </c>
      <c r="Q187">
        <v>1.4999999999999999E-2</v>
      </c>
      <c r="R187">
        <v>65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>
      <c r="A188">
        <v>349.7278945162808</v>
      </c>
      <c r="B188">
        <v>42</v>
      </c>
      <c r="C188">
        <v>5.8287982419380144</v>
      </c>
      <c r="D188">
        <v>902.40899999999999</v>
      </c>
      <c r="E188">
        <v>680.88982565430149</v>
      </c>
      <c r="F188">
        <v>163.82339999999999</v>
      </c>
      <c r="G188">
        <v>67.693799999999982</v>
      </c>
      <c r="H188">
        <v>2</v>
      </c>
      <c r="I188">
        <v>54</v>
      </c>
      <c r="J188">
        <v>7</v>
      </c>
      <c r="K188">
        <v>84</v>
      </c>
      <c r="L188">
        <v>59</v>
      </c>
      <c r="M188">
        <v>30</v>
      </c>
      <c r="N188">
        <v>1995</v>
      </c>
      <c r="O188">
        <v>0.27</v>
      </c>
      <c r="P188">
        <v>2.4700000000000002</v>
      </c>
      <c r="Q188">
        <v>1.4999999999999999E-2</v>
      </c>
      <c r="R188">
        <v>65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>
      <c r="A189">
        <v>465.82286050147877</v>
      </c>
      <c r="B189">
        <v>56</v>
      </c>
      <c r="C189">
        <v>5.8227857562684848</v>
      </c>
      <c r="D189">
        <v>467.24340000000001</v>
      </c>
      <c r="E189">
        <v>687.96008028073891</v>
      </c>
      <c r="F189">
        <v>160.73416</v>
      </c>
      <c r="G189">
        <v>90.339799999999997</v>
      </c>
      <c r="H189">
        <v>39</v>
      </c>
      <c r="I189">
        <v>56</v>
      </c>
      <c r="J189">
        <v>10</v>
      </c>
      <c r="K189">
        <v>319</v>
      </c>
      <c r="L189">
        <v>57</v>
      </c>
      <c r="M189">
        <v>27</v>
      </c>
      <c r="N189">
        <v>1995</v>
      </c>
      <c r="O189">
        <v>0.27</v>
      </c>
      <c r="P189">
        <v>2.4700000000000002</v>
      </c>
      <c r="Q189">
        <v>1.4999999999999999E-2</v>
      </c>
      <c r="R189">
        <v>65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>
      <c r="A190">
        <v>348.44768019442068</v>
      </c>
      <c r="B190">
        <v>42</v>
      </c>
      <c r="C190">
        <v>5.8074613365736782</v>
      </c>
      <c r="D190">
        <v>1054.7460000000001</v>
      </c>
      <c r="E190">
        <v>680.88982565430149</v>
      </c>
      <c r="F190">
        <v>162.83160000000001</v>
      </c>
      <c r="G190">
        <v>67.445999999999998</v>
      </c>
      <c r="H190">
        <v>2</v>
      </c>
      <c r="I190">
        <v>54</v>
      </c>
      <c r="J190">
        <v>7</v>
      </c>
      <c r="K190">
        <v>323</v>
      </c>
      <c r="L190">
        <v>59</v>
      </c>
      <c r="M190">
        <v>30</v>
      </c>
      <c r="N190">
        <v>1995</v>
      </c>
      <c r="O190">
        <v>0.27</v>
      </c>
      <c r="P190">
        <v>2.4700000000000002</v>
      </c>
      <c r="Q190">
        <v>1.4999999999999999E-2</v>
      </c>
      <c r="R190">
        <v>65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>
      <c r="A191">
        <v>417.84664201213297</v>
      </c>
      <c r="B191">
        <v>50.400000000000013</v>
      </c>
      <c r="C191">
        <v>5.8034255835018467</v>
      </c>
      <c r="D191">
        <v>1111.2855</v>
      </c>
      <c r="E191">
        <v>680.88729330884803</v>
      </c>
      <c r="F191">
        <v>155.1482</v>
      </c>
      <c r="G191">
        <v>80.878899999999987</v>
      </c>
      <c r="H191">
        <v>142</v>
      </c>
      <c r="I191">
        <v>65</v>
      </c>
      <c r="J191">
        <v>44</v>
      </c>
      <c r="K191">
        <v>126</v>
      </c>
      <c r="L191">
        <v>45</v>
      </c>
      <c r="M191">
        <v>17</v>
      </c>
      <c r="N191">
        <v>1995</v>
      </c>
      <c r="O191">
        <v>0.27</v>
      </c>
      <c r="P191">
        <v>2.4700000000000002</v>
      </c>
      <c r="Q191">
        <v>1.4999999999999999E-2</v>
      </c>
      <c r="R191">
        <v>65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>
      <c r="A192">
        <v>376.90544834066628</v>
      </c>
      <c r="B192">
        <v>45.500000000000007</v>
      </c>
      <c r="C192">
        <v>5.7985453590871732</v>
      </c>
      <c r="D192">
        <v>540.96100000000001</v>
      </c>
      <c r="E192">
        <v>688.87560141600954</v>
      </c>
      <c r="F192">
        <v>175.49340000000001</v>
      </c>
      <c r="G192">
        <v>73.113800000000012</v>
      </c>
      <c r="H192">
        <v>52</v>
      </c>
      <c r="I192">
        <v>55</v>
      </c>
      <c r="J192">
        <v>10</v>
      </c>
      <c r="K192">
        <v>153</v>
      </c>
      <c r="L192">
        <v>58</v>
      </c>
      <c r="M192">
        <v>42</v>
      </c>
      <c r="N192">
        <v>1995</v>
      </c>
      <c r="O192">
        <v>0.27</v>
      </c>
      <c r="P192">
        <v>2.4700000000000002</v>
      </c>
      <c r="Q192">
        <v>1.4999999999999999E-2</v>
      </c>
      <c r="R192">
        <v>65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>
      <c r="A193">
        <v>368.48192103690508</v>
      </c>
      <c r="B193">
        <v>44.744000000000007</v>
      </c>
      <c r="C193">
        <v>5.7647359361217942</v>
      </c>
      <c r="D193">
        <v>506.45519999999999</v>
      </c>
      <c r="E193">
        <v>684.24909698649662</v>
      </c>
      <c r="F193">
        <v>391.03559999999999</v>
      </c>
      <c r="G193">
        <v>71.389440000000008</v>
      </c>
      <c r="H193">
        <v>182</v>
      </c>
      <c r="I193">
        <v>62</v>
      </c>
      <c r="J193">
        <v>3</v>
      </c>
      <c r="K193">
        <v>40</v>
      </c>
      <c r="L193">
        <v>58</v>
      </c>
      <c r="M193">
        <v>6</v>
      </c>
      <c r="N193">
        <v>1995</v>
      </c>
      <c r="O193">
        <v>0.27</v>
      </c>
      <c r="P193">
        <v>2.4700000000000002</v>
      </c>
      <c r="Q193">
        <v>1.4999999999999999E-2</v>
      </c>
      <c r="R193">
        <v>65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>
      <c r="A194">
        <v>403.14376608360641</v>
      </c>
      <c r="B194">
        <v>49</v>
      </c>
      <c r="C194">
        <v>5.7591966583372356</v>
      </c>
      <c r="D194">
        <v>519.98400000000004</v>
      </c>
      <c r="E194">
        <v>688.89311488112151</v>
      </c>
      <c r="F194">
        <v>187.9632</v>
      </c>
      <c r="G194">
        <v>78.203999999999994</v>
      </c>
      <c r="H194">
        <v>9</v>
      </c>
      <c r="I194">
        <v>49</v>
      </c>
      <c r="J194">
        <v>4</v>
      </c>
      <c r="K194">
        <v>127</v>
      </c>
      <c r="L194">
        <v>63</v>
      </c>
      <c r="M194">
        <v>21</v>
      </c>
      <c r="N194">
        <v>1995</v>
      </c>
      <c r="O194">
        <v>0.27</v>
      </c>
      <c r="P194">
        <v>2.4700000000000002</v>
      </c>
      <c r="Q194">
        <v>1.4999999999999999E-2</v>
      </c>
      <c r="R194">
        <v>65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>
      <c r="A195">
        <v>344.77130991810611</v>
      </c>
      <c r="B195">
        <v>42</v>
      </c>
      <c r="C195">
        <v>5.7461884986351004</v>
      </c>
      <c r="D195">
        <v>418.97064</v>
      </c>
      <c r="E195">
        <v>692.1493775933609</v>
      </c>
      <c r="F195">
        <v>165.85524000000001</v>
      </c>
      <c r="G195">
        <v>66.940079999999995</v>
      </c>
      <c r="H195">
        <v>8</v>
      </c>
      <c r="I195">
        <v>52</v>
      </c>
      <c r="J195">
        <v>4</v>
      </c>
      <c r="K195">
        <v>69</v>
      </c>
      <c r="L195">
        <v>60</v>
      </c>
      <c r="M195">
        <v>21</v>
      </c>
      <c r="N195">
        <v>1995</v>
      </c>
      <c r="O195">
        <v>0.27</v>
      </c>
      <c r="P195">
        <v>2.4700000000000002</v>
      </c>
      <c r="Q195">
        <v>1.4999999999999999E-2</v>
      </c>
      <c r="R195">
        <v>65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>
      <c r="A196">
        <v>372.90567676552553</v>
      </c>
      <c r="B196">
        <v>45.5</v>
      </c>
      <c r="C196">
        <v>5.7370104117773169</v>
      </c>
      <c r="D196">
        <v>680.83295999999996</v>
      </c>
      <c r="E196">
        <v>688.63334806472494</v>
      </c>
      <c r="F196">
        <v>170.55936</v>
      </c>
      <c r="G196">
        <v>72.333119999999994</v>
      </c>
      <c r="H196">
        <v>8</v>
      </c>
      <c r="I196">
        <v>53</v>
      </c>
      <c r="J196">
        <v>4</v>
      </c>
      <c r="K196">
        <v>153</v>
      </c>
      <c r="L196">
        <v>60</v>
      </c>
      <c r="M196">
        <v>43</v>
      </c>
      <c r="N196">
        <v>1995</v>
      </c>
      <c r="O196">
        <v>0.27</v>
      </c>
      <c r="P196">
        <v>2.4700000000000002</v>
      </c>
      <c r="Q196">
        <v>1.4999999999999999E-2</v>
      </c>
      <c r="R196">
        <v>65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>
      <c r="A197">
        <v>366.69999819858748</v>
      </c>
      <c r="B197">
        <v>44.744</v>
      </c>
      <c r="C197">
        <v>5.7368585450342229</v>
      </c>
      <c r="D197">
        <v>580.96799999999996</v>
      </c>
      <c r="E197">
        <v>687.56514522821578</v>
      </c>
      <c r="F197">
        <v>391.32</v>
      </c>
      <c r="G197">
        <v>71.108639999999994</v>
      </c>
      <c r="H197">
        <v>128</v>
      </c>
      <c r="I197">
        <v>54</v>
      </c>
      <c r="J197">
        <v>5</v>
      </c>
      <c r="K197">
        <v>40</v>
      </c>
      <c r="L197">
        <v>58</v>
      </c>
      <c r="M197">
        <v>6</v>
      </c>
      <c r="N197">
        <v>1995</v>
      </c>
      <c r="O197">
        <v>0.27</v>
      </c>
      <c r="P197">
        <v>2.4700000000000002</v>
      </c>
      <c r="Q197">
        <v>1.4999999999999999E-2</v>
      </c>
      <c r="R197">
        <v>65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>
      <c r="A198">
        <v>400.99601375640162</v>
      </c>
      <c r="B198">
        <v>49</v>
      </c>
      <c r="C198">
        <v>5.7285144822343081</v>
      </c>
      <c r="D198">
        <v>489.67680000000001</v>
      </c>
      <c r="E198">
        <v>690.9373411270733</v>
      </c>
      <c r="F198">
        <v>185.43672000000001</v>
      </c>
      <c r="G198">
        <v>77.830799999999996</v>
      </c>
      <c r="H198">
        <v>9</v>
      </c>
      <c r="I198">
        <v>47</v>
      </c>
      <c r="J198">
        <v>4</v>
      </c>
      <c r="K198">
        <v>319</v>
      </c>
      <c r="L198">
        <v>66</v>
      </c>
      <c r="M198">
        <v>24</v>
      </c>
      <c r="N198">
        <v>1995</v>
      </c>
      <c r="O198">
        <v>0.27</v>
      </c>
      <c r="P198">
        <v>2.4700000000000002</v>
      </c>
      <c r="Q198">
        <v>1.4999999999999999E-2</v>
      </c>
      <c r="R198">
        <v>65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>
      <c r="A199">
        <v>365.47958023548898</v>
      </c>
      <c r="B199">
        <v>44.744</v>
      </c>
      <c r="C199">
        <v>5.7177656482398156</v>
      </c>
      <c r="D199">
        <v>453.47039999999998</v>
      </c>
      <c r="E199">
        <v>683.46372209881929</v>
      </c>
      <c r="F199">
        <v>385.75439999999998</v>
      </c>
      <c r="G199">
        <v>70.792560000000009</v>
      </c>
      <c r="H199">
        <v>231</v>
      </c>
      <c r="I199">
        <v>65</v>
      </c>
      <c r="J199">
        <v>4</v>
      </c>
      <c r="K199">
        <v>40</v>
      </c>
      <c r="L199">
        <v>57</v>
      </c>
      <c r="M199">
        <v>6</v>
      </c>
      <c r="N199">
        <v>1995</v>
      </c>
      <c r="O199">
        <v>0.27</v>
      </c>
      <c r="P199">
        <v>2.4700000000000002</v>
      </c>
      <c r="Q199">
        <v>1.4999999999999999E-2</v>
      </c>
      <c r="R199">
        <v>65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>
      <c r="A200">
        <v>365.34209061939481</v>
      </c>
      <c r="B200">
        <v>44.744</v>
      </c>
      <c r="C200">
        <v>5.7156146842833984</v>
      </c>
      <c r="D200">
        <v>547.71839999999997</v>
      </c>
      <c r="E200">
        <v>685.58340248962656</v>
      </c>
      <c r="F200">
        <v>385.7208</v>
      </c>
      <c r="G200">
        <v>70.806960000000004</v>
      </c>
      <c r="H200">
        <v>176</v>
      </c>
      <c r="I200">
        <v>63</v>
      </c>
      <c r="J200">
        <v>7</v>
      </c>
      <c r="K200">
        <v>40</v>
      </c>
      <c r="L200">
        <v>57</v>
      </c>
      <c r="M200">
        <v>6</v>
      </c>
      <c r="N200">
        <v>1995</v>
      </c>
      <c r="O200">
        <v>0.27</v>
      </c>
      <c r="P200">
        <v>2.4700000000000002</v>
      </c>
      <c r="Q200">
        <v>1.4999999999999999E-2</v>
      </c>
      <c r="R200">
        <v>65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>
      <c r="A201">
        <v>361.29585273190071</v>
      </c>
      <c r="B201">
        <v>44.744</v>
      </c>
      <c r="C201">
        <v>5.652313090298823</v>
      </c>
      <c r="D201">
        <v>545.11199999999997</v>
      </c>
      <c r="E201">
        <v>681.42738589211626</v>
      </c>
      <c r="F201">
        <v>383.66399999999999</v>
      </c>
      <c r="G201">
        <v>69.943200000000019</v>
      </c>
      <c r="H201">
        <v>74</v>
      </c>
      <c r="I201">
        <v>54</v>
      </c>
      <c r="J201">
        <v>4</v>
      </c>
      <c r="K201">
        <v>40</v>
      </c>
      <c r="L201">
        <v>68</v>
      </c>
      <c r="M201">
        <v>5</v>
      </c>
      <c r="N201">
        <v>1995</v>
      </c>
      <c r="O201">
        <v>0.27</v>
      </c>
      <c r="P201">
        <v>2.4700000000000002</v>
      </c>
      <c r="Q201">
        <v>1.4999999999999999E-2</v>
      </c>
      <c r="R201">
        <v>65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>
      <c r="A202">
        <v>349.53546892315222</v>
      </c>
      <c r="B202">
        <v>43.400000000000013</v>
      </c>
      <c r="C202">
        <v>5.6376688535992292</v>
      </c>
      <c r="D202">
        <v>1019.6256</v>
      </c>
      <c r="E202">
        <v>680.18604913699494</v>
      </c>
      <c r="F202">
        <v>165.00960000000001</v>
      </c>
      <c r="G202">
        <v>67.643520000000009</v>
      </c>
      <c r="H202">
        <v>2</v>
      </c>
      <c r="I202">
        <v>56</v>
      </c>
      <c r="J202">
        <v>7</v>
      </c>
      <c r="K202">
        <v>126</v>
      </c>
      <c r="L202">
        <v>57</v>
      </c>
      <c r="M202">
        <v>28</v>
      </c>
      <c r="N202">
        <v>1995</v>
      </c>
      <c r="O202">
        <v>0.27</v>
      </c>
      <c r="P202">
        <v>2.4700000000000002</v>
      </c>
      <c r="Q202">
        <v>1.4999999999999999E-2</v>
      </c>
      <c r="R202">
        <v>65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>
      <c r="A203">
        <v>359.91007583876348</v>
      </c>
      <c r="B203">
        <v>44.744</v>
      </c>
      <c r="C203">
        <v>5.6306332265138206</v>
      </c>
      <c r="D203">
        <v>518.25599999999997</v>
      </c>
      <c r="E203">
        <v>690.54937759336099</v>
      </c>
      <c r="F203">
        <v>401.68799999999999</v>
      </c>
      <c r="G203">
        <v>69.848880000000008</v>
      </c>
      <c r="H203">
        <v>5</v>
      </c>
      <c r="I203">
        <v>52</v>
      </c>
      <c r="J203">
        <v>1</v>
      </c>
      <c r="K203">
        <v>40</v>
      </c>
      <c r="L203">
        <v>61</v>
      </c>
      <c r="M203">
        <v>6</v>
      </c>
      <c r="N203">
        <v>1995</v>
      </c>
      <c r="O203">
        <v>0.27</v>
      </c>
      <c r="P203">
        <v>2.4700000000000002</v>
      </c>
      <c r="Q203">
        <v>1.4999999999999999E-2</v>
      </c>
      <c r="R203">
        <v>65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>
      <c r="A204">
        <v>364.39917630299288</v>
      </c>
      <c r="B204">
        <v>45.500000000000007</v>
      </c>
      <c r="C204">
        <v>5.6061411738921976</v>
      </c>
      <c r="D204">
        <v>527.54399999999998</v>
      </c>
      <c r="E204">
        <v>688.22416388662441</v>
      </c>
      <c r="F204">
        <v>168.4836</v>
      </c>
      <c r="G204">
        <v>70.675200000000004</v>
      </c>
      <c r="H204">
        <v>53</v>
      </c>
      <c r="I204">
        <v>54</v>
      </c>
      <c r="J204">
        <v>10</v>
      </c>
      <c r="K204">
        <v>153</v>
      </c>
      <c r="L204">
        <v>59</v>
      </c>
      <c r="M204">
        <v>41</v>
      </c>
      <c r="N204">
        <v>1995</v>
      </c>
      <c r="O204">
        <v>0.27</v>
      </c>
      <c r="P204">
        <v>2.4700000000000002</v>
      </c>
      <c r="Q204">
        <v>1.4999999999999999E-2</v>
      </c>
      <c r="R204">
        <v>65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>
      <c r="A205">
        <v>390.77979634983842</v>
      </c>
      <c r="B205">
        <v>49</v>
      </c>
      <c r="C205">
        <v>5.5825685192834058</v>
      </c>
      <c r="D205">
        <v>503.928</v>
      </c>
      <c r="E205">
        <v>689.39682841050421</v>
      </c>
      <c r="F205">
        <v>181.548</v>
      </c>
      <c r="G205">
        <v>75.816000000000003</v>
      </c>
      <c r="H205">
        <v>6</v>
      </c>
      <c r="I205">
        <v>57</v>
      </c>
      <c r="J205">
        <v>6</v>
      </c>
      <c r="K205">
        <v>127</v>
      </c>
      <c r="L205">
        <v>56</v>
      </c>
      <c r="M205">
        <v>25</v>
      </c>
      <c r="N205">
        <v>1995</v>
      </c>
      <c r="O205">
        <v>0.27</v>
      </c>
      <c r="P205">
        <v>2.4700000000000002</v>
      </c>
      <c r="Q205">
        <v>1.4999999999999999E-2</v>
      </c>
      <c r="R205">
        <v>65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>
      <c r="A206">
        <v>387.21517014686759</v>
      </c>
      <c r="B206">
        <v>49</v>
      </c>
      <c r="C206">
        <v>5.5316452878123954</v>
      </c>
      <c r="D206">
        <v>466.82760000000002</v>
      </c>
      <c r="E206">
        <v>690.58517833856831</v>
      </c>
      <c r="F206">
        <v>176.96304000000001</v>
      </c>
      <c r="G206">
        <v>75.148799999999994</v>
      </c>
      <c r="H206">
        <v>6</v>
      </c>
      <c r="I206">
        <v>55</v>
      </c>
      <c r="J206">
        <v>6</v>
      </c>
      <c r="K206">
        <v>319</v>
      </c>
      <c r="L206">
        <v>58</v>
      </c>
      <c r="M206">
        <v>28</v>
      </c>
      <c r="N206">
        <v>1995</v>
      </c>
      <c r="O206">
        <v>0.27</v>
      </c>
      <c r="P206">
        <v>2.4700000000000002</v>
      </c>
      <c r="Q206">
        <v>1.4999999999999999E-2</v>
      </c>
      <c r="R206">
        <v>65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>
      <c r="A207">
        <v>364.67654083249448</v>
      </c>
      <c r="B207">
        <v>46.2</v>
      </c>
      <c r="C207">
        <v>5.5254021338256756</v>
      </c>
      <c r="D207">
        <v>464.65949999999998</v>
      </c>
      <c r="E207">
        <v>688.23478203420211</v>
      </c>
      <c r="F207">
        <v>277.61189999999999</v>
      </c>
      <c r="G207">
        <v>70.729199999999992</v>
      </c>
      <c r="H207">
        <v>112</v>
      </c>
      <c r="I207">
        <v>54</v>
      </c>
      <c r="J207">
        <v>5</v>
      </c>
      <c r="K207">
        <v>277</v>
      </c>
      <c r="L207">
        <v>57</v>
      </c>
      <c r="M207">
        <v>15</v>
      </c>
      <c r="N207">
        <v>1995</v>
      </c>
      <c r="O207">
        <v>0.27</v>
      </c>
      <c r="P207">
        <v>2.4700000000000002</v>
      </c>
      <c r="Q207">
        <v>1.4999999999999999E-2</v>
      </c>
      <c r="R207">
        <v>65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>
      <c r="A208">
        <v>349.77306830320288</v>
      </c>
      <c r="B208">
        <v>44.744000000000007</v>
      </c>
      <c r="C208">
        <v>5.4720442475469788</v>
      </c>
      <c r="D208">
        <v>940.49099999999999</v>
      </c>
      <c r="E208">
        <v>683.22821576763488</v>
      </c>
      <c r="F208">
        <v>711.76859999999999</v>
      </c>
      <c r="G208">
        <v>67.74588</v>
      </c>
      <c r="H208">
        <v>40</v>
      </c>
      <c r="I208">
        <v>58</v>
      </c>
      <c r="J208">
        <v>12</v>
      </c>
      <c r="K208">
        <v>111</v>
      </c>
      <c r="L208">
        <v>61</v>
      </c>
      <c r="M208">
        <v>9</v>
      </c>
      <c r="N208">
        <v>1995</v>
      </c>
      <c r="O208">
        <v>0.27</v>
      </c>
      <c r="P208">
        <v>2.4700000000000002</v>
      </c>
      <c r="Q208">
        <v>1.4999999999999999E-2</v>
      </c>
      <c r="R208">
        <v>65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>
      <c r="A209">
        <v>355.41900216593842</v>
      </c>
      <c r="B209">
        <v>45.5</v>
      </c>
      <c r="C209">
        <v>5.4679846487067447</v>
      </c>
      <c r="D209">
        <v>650.52</v>
      </c>
      <c r="E209">
        <v>683.31243357243534</v>
      </c>
      <c r="F209">
        <v>161.16300000000001</v>
      </c>
      <c r="G209">
        <v>68.840999999999994</v>
      </c>
      <c r="H209">
        <v>9</v>
      </c>
      <c r="I209">
        <v>50</v>
      </c>
      <c r="J209">
        <v>3</v>
      </c>
      <c r="K209">
        <v>153</v>
      </c>
      <c r="L209">
        <v>63</v>
      </c>
      <c r="M209">
        <v>40</v>
      </c>
      <c r="N209">
        <v>1995</v>
      </c>
      <c r="O209">
        <v>0.27</v>
      </c>
      <c r="P209">
        <v>2.4700000000000002</v>
      </c>
      <c r="Q209">
        <v>1.4999999999999999E-2</v>
      </c>
      <c r="R209">
        <v>65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>
      <c r="A210">
        <v>382.41065098971859</v>
      </c>
      <c r="B210">
        <v>49</v>
      </c>
      <c r="C210">
        <v>5.4630092998531232</v>
      </c>
      <c r="D210">
        <v>456.01920000000001</v>
      </c>
      <c r="E210">
        <v>690.78838174273869</v>
      </c>
      <c r="F210">
        <v>177.66720000000001</v>
      </c>
      <c r="G210">
        <v>74.220480000000009</v>
      </c>
      <c r="H210">
        <v>8</v>
      </c>
      <c r="I210">
        <v>62</v>
      </c>
      <c r="J210">
        <v>4</v>
      </c>
      <c r="K210">
        <v>56</v>
      </c>
      <c r="L210">
        <v>48</v>
      </c>
      <c r="M210">
        <v>5</v>
      </c>
      <c r="N210">
        <v>1995</v>
      </c>
      <c r="O210">
        <v>0.27</v>
      </c>
      <c r="P210">
        <v>2.4700000000000002</v>
      </c>
      <c r="Q210">
        <v>1.4999999999999999E-2</v>
      </c>
      <c r="R210">
        <v>65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>
      <c r="A211">
        <v>348.91963431832357</v>
      </c>
      <c r="B211">
        <v>44.744</v>
      </c>
      <c r="C211">
        <v>5.4586926520388559</v>
      </c>
      <c r="D211">
        <v>499.26400000000001</v>
      </c>
      <c r="E211">
        <v>686.90954356846464</v>
      </c>
      <c r="F211">
        <v>387.44</v>
      </c>
      <c r="G211">
        <v>67.64864</v>
      </c>
      <c r="H211">
        <v>4</v>
      </c>
      <c r="I211">
        <v>61</v>
      </c>
      <c r="J211">
        <v>1</v>
      </c>
      <c r="K211">
        <v>40</v>
      </c>
      <c r="L211">
        <v>58</v>
      </c>
      <c r="M211">
        <v>6</v>
      </c>
      <c r="N211">
        <v>1995</v>
      </c>
      <c r="O211">
        <v>0.27</v>
      </c>
      <c r="P211">
        <v>2.4700000000000002</v>
      </c>
      <c r="Q211">
        <v>1.4999999999999999E-2</v>
      </c>
      <c r="R211">
        <v>65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>
      <c r="A212">
        <v>347.7778935000045</v>
      </c>
      <c r="B212">
        <v>44.744</v>
      </c>
      <c r="C212">
        <v>5.4408306242178428</v>
      </c>
      <c r="D212">
        <v>490.5</v>
      </c>
      <c r="E212">
        <v>690.92116182572613</v>
      </c>
      <c r="F212">
        <v>379.89</v>
      </c>
      <c r="G212">
        <v>67.501200000000011</v>
      </c>
      <c r="H212">
        <v>3</v>
      </c>
      <c r="I212">
        <v>41</v>
      </c>
      <c r="J212">
        <v>2</v>
      </c>
      <c r="K212">
        <v>40</v>
      </c>
      <c r="L212">
        <v>68</v>
      </c>
      <c r="M212">
        <v>5</v>
      </c>
      <c r="N212">
        <v>1995</v>
      </c>
      <c r="O212">
        <v>0.27</v>
      </c>
      <c r="P212">
        <v>2.4700000000000002</v>
      </c>
      <c r="Q212">
        <v>1.4999999999999999E-2</v>
      </c>
      <c r="R212">
        <v>65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>
      <c r="A213">
        <v>485.81779247310561</v>
      </c>
      <c r="B213">
        <v>63.000000000000007</v>
      </c>
      <c r="C213">
        <v>5.3979754719233943</v>
      </c>
      <c r="D213">
        <v>545.84939999999995</v>
      </c>
      <c r="E213">
        <v>689.85062240663899</v>
      </c>
      <c r="F213">
        <v>168.78460000000001</v>
      </c>
      <c r="G213">
        <v>94.266199999999998</v>
      </c>
      <c r="H213">
        <v>39</v>
      </c>
      <c r="I213">
        <v>58</v>
      </c>
      <c r="J213">
        <v>11</v>
      </c>
      <c r="K213">
        <v>111</v>
      </c>
      <c r="L213">
        <v>53</v>
      </c>
      <c r="M213">
        <v>9</v>
      </c>
      <c r="N213">
        <v>1995</v>
      </c>
      <c r="O213">
        <v>0.27</v>
      </c>
      <c r="P213">
        <v>2.4700000000000002</v>
      </c>
      <c r="Q213">
        <v>1.4999999999999999E-2</v>
      </c>
      <c r="R213">
        <v>65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>
      <c r="A214">
        <v>344.72810724143642</v>
      </c>
      <c r="B214">
        <v>44.744000000000007</v>
      </c>
      <c r="C214">
        <v>5.3931180732389903</v>
      </c>
      <c r="D214">
        <v>857.68200000000002</v>
      </c>
      <c r="E214">
        <v>684.5605063151487</v>
      </c>
      <c r="F214">
        <v>687.29292000000009</v>
      </c>
      <c r="G214">
        <v>66.793080000000003</v>
      </c>
      <c r="H214">
        <v>40</v>
      </c>
      <c r="I214">
        <v>61</v>
      </c>
      <c r="J214">
        <v>11</v>
      </c>
      <c r="K214">
        <v>165</v>
      </c>
      <c r="L214">
        <v>60</v>
      </c>
      <c r="M214">
        <v>19</v>
      </c>
      <c r="N214">
        <v>1995</v>
      </c>
      <c r="O214">
        <v>0.27</v>
      </c>
      <c r="P214">
        <v>2.4700000000000002</v>
      </c>
      <c r="Q214">
        <v>1.4999999999999999E-2</v>
      </c>
      <c r="R214">
        <v>65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>
      <c r="A215">
        <v>344.44270878209932</v>
      </c>
      <c r="B215">
        <v>44.744000000000007</v>
      </c>
      <c r="C215">
        <v>5.388653141146734</v>
      </c>
      <c r="D215">
        <v>818.35775999999998</v>
      </c>
      <c r="E215">
        <v>683.92804777845686</v>
      </c>
      <c r="F215">
        <v>666.18287999999995</v>
      </c>
      <c r="G215">
        <v>66.726240000000004</v>
      </c>
      <c r="H215">
        <v>40</v>
      </c>
      <c r="I215">
        <v>59</v>
      </c>
      <c r="J215">
        <v>11</v>
      </c>
      <c r="K215">
        <v>333</v>
      </c>
      <c r="L215">
        <v>61</v>
      </c>
      <c r="M215">
        <v>23</v>
      </c>
      <c r="N215">
        <v>1995</v>
      </c>
      <c r="O215">
        <v>0.27</v>
      </c>
      <c r="P215">
        <v>2.4700000000000002</v>
      </c>
      <c r="Q215">
        <v>1.4999999999999999E-2</v>
      </c>
      <c r="R215">
        <v>65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>
      <c r="A216">
        <v>429.86567741436789</v>
      </c>
      <c r="B216">
        <v>56.000000000000007</v>
      </c>
      <c r="C216">
        <v>5.3733209676795992</v>
      </c>
      <c r="D216">
        <v>523.03200000000004</v>
      </c>
      <c r="E216">
        <v>684.83533661015929</v>
      </c>
      <c r="F216">
        <v>196.44479999999999</v>
      </c>
      <c r="G216">
        <v>83.295240000000007</v>
      </c>
      <c r="H216">
        <v>8</v>
      </c>
      <c r="I216">
        <v>56</v>
      </c>
      <c r="J216">
        <v>5</v>
      </c>
      <c r="K216">
        <v>165</v>
      </c>
      <c r="L216">
        <v>57</v>
      </c>
      <c r="M216">
        <v>21</v>
      </c>
      <c r="N216">
        <v>1995</v>
      </c>
      <c r="O216">
        <v>0.27</v>
      </c>
      <c r="P216">
        <v>2.4700000000000002</v>
      </c>
      <c r="Q216">
        <v>1.4999999999999999E-2</v>
      </c>
      <c r="R216">
        <v>65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>
      <c r="A217">
        <v>483.32344458287997</v>
      </c>
      <c r="B217">
        <v>63</v>
      </c>
      <c r="C217">
        <v>5.3702604953653346</v>
      </c>
      <c r="D217">
        <v>461.82600000000002</v>
      </c>
      <c r="E217">
        <v>686.7107911398698</v>
      </c>
      <c r="F217">
        <v>156.8526</v>
      </c>
      <c r="G217">
        <v>93.701800000000006</v>
      </c>
      <c r="H217">
        <v>39</v>
      </c>
      <c r="I217">
        <v>58</v>
      </c>
      <c r="J217">
        <v>10</v>
      </c>
      <c r="K217">
        <v>165</v>
      </c>
      <c r="L217">
        <v>55</v>
      </c>
      <c r="M217">
        <v>23</v>
      </c>
      <c r="N217">
        <v>1995</v>
      </c>
      <c r="O217">
        <v>0.27</v>
      </c>
      <c r="P217">
        <v>2.4700000000000002</v>
      </c>
      <c r="Q217">
        <v>1.4999999999999999E-2</v>
      </c>
      <c r="R217">
        <v>65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>
      <c r="A218">
        <v>428.9748146654523</v>
      </c>
      <c r="B218">
        <v>56</v>
      </c>
      <c r="C218">
        <v>5.3621851833181537</v>
      </c>
      <c r="D218">
        <v>510.58176000000009</v>
      </c>
      <c r="E218">
        <v>690.96774338386263</v>
      </c>
      <c r="F218">
        <v>197.60687999999999</v>
      </c>
      <c r="G218">
        <v>83.262</v>
      </c>
      <c r="H218">
        <v>8</v>
      </c>
      <c r="I218">
        <v>55</v>
      </c>
      <c r="J218">
        <v>5</v>
      </c>
      <c r="K218">
        <v>333</v>
      </c>
      <c r="L218">
        <v>58</v>
      </c>
      <c r="M218">
        <v>25</v>
      </c>
      <c r="N218">
        <v>1995</v>
      </c>
      <c r="O218">
        <v>0.27</v>
      </c>
      <c r="P218">
        <v>2.4700000000000002</v>
      </c>
      <c r="Q218">
        <v>1.4999999999999999E-2</v>
      </c>
      <c r="R218">
        <v>65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>
      <c r="A219">
        <v>342.46537246720351</v>
      </c>
      <c r="B219">
        <v>44.744</v>
      </c>
      <c r="C219">
        <v>5.3577185930413567</v>
      </c>
      <c r="D219">
        <v>533.79</v>
      </c>
      <c r="E219">
        <v>689.10373443983394</v>
      </c>
      <c r="F219">
        <v>379.89</v>
      </c>
      <c r="G219">
        <v>66.437100000000001</v>
      </c>
      <c r="H219">
        <v>76</v>
      </c>
      <c r="I219">
        <v>53</v>
      </c>
      <c r="J219">
        <v>3</v>
      </c>
      <c r="K219">
        <v>40</v>
      </c>
      <c r="L219">
        <v>69</v>
      </c>
      <c r="M219">
        <v>5</v>
      </c>
      <c r="N219">
        <v>1995</v>
      </c>
      <c r="O219">
        <v>0.27</v>
      </c>
      <c r="P219">
        <v>2.4700000000000002</v>
      </c>
      <c r="Q219">
        <v>1.4999999999999999E-2</v>
      </c>
      <c r="R219">
        <v>65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>
      <c r="A220">
        <v>342.29572975771549</v>
      </c>
      <c r="B220">
        <v>44.744000000000007</v>
      </c>
      <c r="C220">
        <v>5.355064608224585</v>
      </c>
      <c r="D220">
        <v>846.09359999999992</v>
      </c>
      <c r="E220">
        <v>679.49614176516275</v>
      </c>
      <c r="F220">
        <v>666.36504000000002</v>
      </c>
      <c r="G220">
        <v>66.229944000000003</v>
      </c>
      <c r="H220">
        <v>40</v>
      </c>
      <c r="I220">
        <v>59</v>
      </c>
      <c r="J220">
        <v>11</v>
      </c>
      <c r="K220">
        <v>125</v>
      </c>
      <c r="L220">
        <v>61</v>
      </c>
      <c r="M220">
        <v>22</v>
      </c>
      <c r="N220">
        <v>1995</v>
      </c>
      <c r="O220">
        <v>0.27</v>
      </c>
      <c r="P220">
        <v>2.4700000000000002</v>
      </c>
      <c r="Q220">
        <v>1.4999999999999999E-2</v>
      </c>
      <c r="R220">
        <v>65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>
      <c r="A221">
        <v>341.7963486531188</v>
      </c>
      <c r="B221">
        <v>44.744</v>
      </c>
      <c r="C221">
        <v>5.3472520127208831</v>
      </c>
      <c r="D221">
        <v>842.29200000000003</v>
      </c>
      <c r="E221">
        <v>679.49614176516275</v>
      </c>
      <c r="F221">
        <v>666.27</v>
      </c>
      <c r="G221">
        <v>66.133320000000012</v>
      </c>
      <c r="H221">
        <v>40</v>
      </c>
      <c r="I221">
        <v>59</v>
      </c>
      <c r="J221">
        <v>11</v>
      </c>
      <c r="K221">
        <v>124</v>
      </c>
      <c r="L221">
        <v>61</v>
      </c>
      <c r="M221">
        <v>22</v>
      </c>
      <c r="N221">
        <v>1995</v>
      </c>
      <c r="O221">
        <v>0.27</v>
      </c>
      <c r="P221">
        <v>2.4700000000000002</v>
      </c>
      <c r="Q221">
        <v>1.4999999999999999E-2</v>
      </c>
      <c r="R221">
        <v>65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>
      <c r="A222">
        <v>384.8635369738771</v>
      </c>
      <c r="B222">
        <v>50.4</v>
      </c>
      <c r="C222">
        <v>5.3453269024149606</v>
      </c>
      <c r="D222">
        <v>371.71199999999999</v>
      </c>
      <c r="E222">
        <v>686.39686998093566</v>
      </c>
      <c r="F222">
        <v>166.48500000000001</v>
      </c>
      <c r="G222">
        <v>74.606999999999999</v>
      </c>
      <c r="H222">
        <v>129</v>
      </c>
      <c r="I222">
        <v>56</v>
      </c>
      <c r="J222">
        <v>5</v>
      </c>
      <c r="K222">
        <v>96</v>
      </c>
      <c r="L222">
        <v>57</v>
      </c>
      <c r="M222">
        <v>20</v>
      </c>
      <c r="N222">
        <v>1995</v>
      </c>
      <c r="O222">
        <v>0.27</v>
      </c>
      <c r="P222">
        <v>2.4700000000000002</v>
      </c>
      <c r="Q222">
        <v>1.4999999999999999E-2</v>
      </c>
      <c r="R222">
        <v>65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>
      <c r="A223">
        <v>427.27236584158851</v>
      </c>
      <c r="B223">
        <v>56</v>
      </c>
      <c r="C223">
        <v>5.3409045730198574</v>
      </c>
      <c r="D223">
        <v>537.34992</v>
      </c>
      <c r="E223">
        <v>686.93311670276807</v>
      </c>
      <c r="F223">
        <v>197.16004799999999</v>
      </c>
      <c r="G223">
        <v>82.840224000000006</v>
      </c>
      <c r="H223">
        <v>8</v>
      </c>
      <c r="I223">
        <v>55</v>
      </c>
      <c r="J223">
        <v>5</v>
      </c>
      <c r="K223">
        <v>125</v>
      </c>
      <c r="L223">
        <v>58</v>
      </c>
      <c r="M223">
        <v>24</v>
      </c>
      <c r="N223">
        <v>1995</v>
      </c>
      <c r="O223">
        <v>0.27</v>
      </c>
      <c r="P223">
        <v>2.4700000000000002</v>
      </c>
      <c r="Q223">
        <v>1.4999999999999999E-2</v>
      </c>
      <c r="R223">
        <v>65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>
      <c r="A224">
        <v>426.75543163346617</v>
      </c>
      <c r="B224">
        <v>56</v>
      </c>
      <c r="C224">
        <v>5.3344428954183281</v>
      </c>
      <c r="D224">
        <v>533.50800000000004</v>
      </c>
      <c r="E224">
        <v>686.93311670276807</v>
      </c>
      <c r="F224">
        <v>197.06399999999999</v>
      </c>
      <c r="G224">
        <v>82.74</v>
      </c>
      <c r="H224">
        <v>8</v>
      </c>
      <c r="I224">
        <v>55</v>
      </c>
      <c r="J224">
        <v>5</v>
      </c>
      <c r="K224">
        <v>124</v>
      </c>
      <c r="L224">
        <v>58</v>
      </c>
      <c r="M224">
        <v>24</v>
      </c>
      <c r="N224">
        <v>1995</v>
      </c>
      <c r="O224">
        <v>0.27</v>
      </c>
      <c r="P224">
        <v>2.4700000000000002</v>
      </c>
      <c r="Q224">
        <v>1.4999999999999999E-2</v>
      </c>
      <c r="R224">
        <v>65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>
      <c r="A225">
        <v>478.92337349628713</v>
      </c>
      <c r="B225">
        <v>63.000000000000007</v>
      </c>
      <c r="C225">
        <v>5.3213708166254117</v>
      </c>
      <c r="D225">
        <v>475.90271999999999</v>
      </c>
      <c r="E225">
        <v>688.28998819136791</v>
      </c>
      <c r="F225">
        <v>157.44076799999999</v>
      </c>
      <c r="G225">
        <v>92.888831999999994</v>
      </c>
      <c r="H225">
        <v>39</v>
      </c>
      <c r="I225">
        <v>57</v>
      </c>
      <c r="J225">
        <v>10</v>
      </c>
      <c r="K225">
        <v>125</v>
      </c>
      <c r="L225">
        <v>56</v>
      </c>
      <c r="M225">
        <v>26</v>
      </c>
      <c r="N225">
        <v>1995</v>
      </c>
      <c r="O225">
        <v>0.27</v>
      </c>
      <c r="P225">
        <v>2.4700000000000002</v>
      </c>
      <c r="Q225">
        <v>1.4999999999999999E-2</v>
      </c>
      <c r="R225">
        <v>65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>
      <c r="A226">
        <v>382.9457023790161</v>
      </c>
      <c r="B226">
        <v>50.400000000000013</v>
      </c>
      <c r="C226">
        <v>5.318690310819667</v>
      </c>
      <c r="D226">
        <v>371.88479999999998</v>
      </c>
      <c r="E226">
        <v>691.14688796680502</v>
      </c>
      <c r="F226">
        <v>170.05799999999999</v>
      </c>
      <c r="G226">
        <v>74.331600000000009</v>
      </c>
      <c r="H226">
        <v>128</v>
      </c>
      <c r="I226">
        <v>56</v>
      </c>
      <c r="J226">
        <v>5</v>
      </c>
      <c r="K226">
        <v>96</v>
      </c>
      <c r="L226">
        <v>56</v>
      </c>
      <c r="M226">
        <v>21</v>
      </c>
      <c r="N226">
        <v>1995</v>
      </c>
      <c r="O226">
        <v>0.27</v>
      </c>
      <c r="P226">
        <v>2.4700000000000002</v>
      </c>
      <c r="Q226">
        <v>1.4999999999999999E-2</v>
      </c>
      <c r="R226">
        <v>65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>
      <c r="A227">
        <v>425.34696497911182</v>
      </c>
      <c r="B227">
        <v>56</v>
      </c>
      <c r="C227">
        <v>5.3168370622388981</v>
      </c>
      <c r="D227">
        <v>511.19880000000012</v>
      </c>
      <c r="E227">
        <v>690.50399319063331</v>
      </c>
      <c r="F227">
        <v>197.91540000000001</v>
      </c>
      <c r="G227">
        <v>82.547399999999996</v>
      </c>
      <c r="H227">
        <v>8</v>
      </c>
      <c r="I227">
        <v>55</v>
      </c>
      <c r="J227">
        <v>5</v>
      </c>
      <c r="K227">
        <v>85</v>
      </c>
      <c r="L227">
        <v>57</v>
      </c>
      <c r="M227">
        <v>25</v>
      </c>
      <c r="N227">
        <v>1995</v>
      </c>
      <c r="O227">
        <v>0.27</v>
      </c>
      <c r="P227">
        <v>2.4700000000000002</v>
      </c>
      <c r="Q227">
        <v>1.4999999999999999E-2</v>
      </c>
      <c r="R227">
        <v>65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>
      <c r="A228">
        <v>478.38287262003149</v>
      </c>
      <c r="B228">
        <v>63</v>
      </c>
      <c r="C228">
        <v>5.3153652513336827</v>
      </c>
      <c r="D228">
        <v>472.03199999999998</v>
      </c>
      <c r="E228">
        <v>688.28998819136791</v>
      </c>
      <c r="F228">
        <v>157.34399999999999</v>
      </c>
      <c r="G228">
        <v>92.784000000000006</v>
      </c>
      <c r="H228">
        <v>39</v>
      </c>
      <c r="I228">
        <v>57</v>
      </c>
      <c r="J228">
        <v>10</v>
      </c>
      <c r="K228">
        <v>124</v>
      </c>
      <c r="L228">
        <v>56</v>
      </c>
      <c r="M228">
        <v>26</v>
      </c>
      <c r="N228">
        <v>1995</v>
      </c>
      <c r="O228">
        <v>0.27</v>
      </c>
      <c r="P228">
        <v>2.4700000000000002</v>
      </c>
      <c r="Q228">
        <v>1.4999999999999999E-2</v>
      </c>
      <c r="R228">
        <v>65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>
      <c r="A229">
        <v>345.43385526084057</v>
      </c>
      <c r="B229">
        <v>45.500000000000007</v>
      </c>
      <c r="C229">
        <v>5.3143670040129312</v>
      </c>
      <c r="D229">
        <v>632.53599999999994</v>
      </c>
      <c r="E229">
        <v>688.87560141600954</v>
      </c>
      <c r="F229">
        <v>157.17840000000001</v>
      </c>
      <c r="G229">
        <v>67.008800000000008</v>
      </c>
      <c r="H229">
        <v>6</v>
      </c>
      <c r="I229">
        <v>55</v>
      </c>
      <c r="J229">
        <v>5</v>
      </c>
      <c r="K229">
        <v>153</v>
      </c>
      <c r="L229">
        <v>58</v>
      </c>
      <c r="M229">
        <v>42</v>
      </c>
      <c r="N229">
        <v>1995</v>
      </c>
      <c r="O229">
        <v>0.27</v>
      </c>
      <c r="P229">
        <v>2.4700000000000002</v>
      </c>
      <c r="Q229">
        <v>1.4999999999999999E-2</v>
      </c>
      <c r="R229">
        <v>65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>
      <c r="A230">
        <v>338.95130535685013</v>
      </c>
      <c r="B230">
        <v>44.744</v>
      </c>
      <c r="C230">
        <v>5.302742574418807</v>
      </c>
      <c r="D230">
        <v>458.60320000000002</v>
      </c>
      <c r="E230">
        <v>689.61695081154835</v>
      </c>
      <c r="F230">
        <v>389.3032</v>
      </c>
      <c r="G230">
        <v>65.764600000000002</v>
      </c>
      <c r="H230">
        <v>19</v>
      </c>
      <c r="I230">
        <v>44</v>
      </c>
      <c r="J230">
        <v>1</v>
      </c>
      <c r="K230">
        <v>40</v>
      </c>
      <c r="L230">
        <v>71</v>
      </c>
      <c r="M230">
        <v>5</v>
      </c>
      <c r="N230">
        <v>1995</v>
      </c>
      <c r="O230">
        <v>0.27</v>
      </c>
      <c r="P230">
        <v>2.4700000000000002</v>
      </c>
      <c r="Q230">
        <v>1.4999999999999999E-2</v>
      </c>
      <c r="R230">
        <v>65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>
      <c r="A231">
        <v>424.21806191672482</v>
      </c>
      <c r="B231">
        <v>56</v>
      </c>
      <c r="C231">
        <v>5.302725773959061</v>
      </c>
      <c r="D231">
        <v>568.38599999999997</v>
      </c>
      <c r="E231">
        <v>688.2655601659751</v>
      </c>
      <c r="F231">
        <v>192.93119999999999</v>
      </c>
      <c r="G231">
        <v>82.278000000000006</v>
      </c>
      <c r="H231">
        <v>9</v>
      </c>
      <c r="I231">
        <v>51</v>
      </c>
      <c r="J231">
        <v>4</v>
      </c>
      <c r="K231">
        <v>111</v>
      </c>
      <c r="L231">
        <v>62</v>
      </c>
      <c r="M231">
        <v>10</v>
      </c>
      <c r="N231">
        <v>1995</v>
      </c>
      <c r="O231">
        <v>0.27</v>
      </c>
      <c r="P231">
        <v>2.4700000000000002</v>
      </c>
      <c r="Q231">
        <v>1.4999999999999999E-2</v>
      </c>
      <c r="R231">
        <v>65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>
      <c r="A232">
        <v>424.11339416505842</v>
      </c>
      <c r="B232">
        <v>56</v>
      </c>
      <c r="C232">
        <v>5.3014174270632299</v>
      </c>
      <c r="D232">
        <v>535.34400000000005</v>
      </c>
      <c r="E232">
        <v>690.50399319063331</v>
      </c>
      <c r="F232">
        <v>197.67599999999999</v>
      </c>
      <c r="G232">
        <v>82.308000000000007</v>
      </c>
      <c r="H232">
        <v>8</v>
      </c>
      <c r="I232">
        <v>55</v>
      </c>
      <c r="J232">
        <v>5</v>
      </c>
      <c r="K232">
        <v>41</v>
      </c>
      <c r="L232">
        <v>57</v>
      </c>
      <c r="M232">
        <v>25</v>
      </c>
      <c r="N232">
        <v>1995</v>
      </c>
      <c r="O232">
        <v>0.27</v>
      </c>
      <c r="P232">
        <v>2.4700000000000002</v>
      </c>
      <c r="Q232">
        <v>1.4999999999999999E-2</v>
      </c>
      <c r="R232">
        <v>65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>
      <c r="A233">
        <v>423.13579628959047</v>
      </c>
      <c r="B233">
        <v>56</v>
      </c>
      <c r="C233">
        <v>5.2891974536198818</v>
      </c>
      <c r="D233">
        <v>477.55007999999998</v>
      </c>
      <c r="E233">
        <v>690.72358500066389</v>
      </c>
      <c r="F233">
        <v>194.37407999999999</v>
      </c>
      <c r="G233">
        <v>82.123200000000011</v>
      </c>
      <c r="H233">
        <v>8</v>
      </c>
      <c r="I233">
        <v>54</v>
      </c>
      <c r="J233">
        <v>5</v>
      </c>
      <c r="K233">
        <v>133</v>
      </c>
      <c r="L233">
        <v>59</v>
      </c>
      <c r="M233">
        <v>25</v>
      </c>
      <c r="N233">
        <v>1995</v>
      </c>
      <c r="O233">
        <v>0.27</v>
      </c>
      <c r="P233">
        <v>2.4700000000000002</v>
      </c>
      <c r="Q233">
        <v>1.4999999999999999E-2</v>
      </c>
      <c r="R233">
        <v>65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>
      <c r="A234">
        <v>337.36657085388089</v>
      </c>
      <c r="B234">
        <v>44.744000000000007</v>
      </c>
      <c r="C234">
        <v>5.2779501072259221</v>
      </c>
      <c r="D234">
        <v>458.32159999999999</v>
      </c>
      <c r="E234">
        <v>691.06455732577774</v>
      </c>
      <c r="F234">
        <v>389.02159999999998</v>
      </c>
      <c r="G234">
        <v>65.483000000000004</v>
      </c>
      <c r="H234">
        <v>14</v>
      </c>
      <c r="I234">
        <v>44</v>
      </c>
      <c r="J234">
        <v>1</v>
      </c>
      <c r="K234">
        <v>40</v>
      </c>
      <c r="L234">
        <v>71</v>
      </c>
      <c r="M234">
        <v>5</v>
      </c>
      <c r="N234">
        <v>1995</v>
      </c>
      <c r="O234">
        <v>0.27</v>
      </c>
      <c r="P234">
        <v>2.4700000000000002</v>
      </c>
      <c r="Q234">
        <v>1.4999999999999999E-2</v>
      </c>
      <c r="R234">
        <v>65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>
      <c r="A235">
        <v>431.42940855439912</v>
      </c>
      <c r="B235">
        <v>57.235294117647072</v>
      </c>
      <c r="C235">
        <v>5.2764747808811387</v>
      </c>
      <c r="D235">
        <v>528.14435000000003</v>
      </c>
      <c r="E235">
        <v>687.44023363260089</v>
      </c>
      <c r="F235">
        <v>195.42693499999999</v>
      </c>
      <c r="G235">
        <v>83.657790000000006</v>
      </c>
      <c r="H235">
        <v>8</v>
      </c>
      <c r="I235">
        <v>54</v>
      </c>
      <c r="J235">
        <v>5</v>
      </c>
      <c r="K235">
        <v>77</v>
      </c>
      <c r="L235">
        <v>59</v>
      </c>
      <c r="M235">
        <v>36</v>
      </c>
      <c r="N235">
        <v>1995</v>
      </c>
      <c r="O235">
        <v>0.27</v>
      </c>
      <c r="P235">
        <v>2.4700000000000002</v>
      </c>
      <c r="Q235">
        <v>1.4999999999999999E-2</v>
      </c>
      <c r="R235">
        <v>65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>
      <c r="A236">
        <v>431.23772011610822</v>
      </c>
      <c r="B236">
        <v>57.235294117647072</v>
      </c>
      <c r="C236">
        <v>5.274130389909236</v>
      </c>
      <c r="D236">
        <v>528.04110000000014</v>
      </c>
      <c r="E236">
        <v>687.44023363260089</v>
      </c>
      <c r="F236">
        <v>195.39183</v>
      </c>
      <c r="G236">
        <v>83.620620000000017</v>
      </c>
      <c r="H236">
        <v>8</v>
      </c>
      <c r="I236">
        <v>54</v>
      </c>
      <c r="J236">
        <v>5</v>
      </c>
      <c r="K236">
        <v>312</v>
      </c>
      <c r="L236">
        <v>59</v>
      </c>
      <c r="M236">
        <v>36</v>
      </c>
      <c r="N236">
        <v>1995</v>
      </c>
      <c r="O236">
        <v>0.27</v>
      </c>
      <c r="P236">
        <v>2.4700000000000002</v>
      </c>
      <c r="Q236">
        <v>1.4999999999999999E-2</v>
      </c>
      <c r="R236">
        <v>65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>
      <c r="A237">
        <v>395.5546754474617</v>
      </c>
      <c r="B237">
        <v>52.500000000000007</v>
      </c>
      <c r="C237">
        <v>5.2740623392994888</v>
      </c>
      <c r="D237">
        <v>531.00300000000004</v>
      </c>
      <c r="E237">
        <v>690.31369294605804</v>
      </c>
      <c r="F237">
        <v>231.40860000000001</v>
      </c>
      <c r="G237">
        <v>76.761600000000001</v>
      </c>
      <c r="H237">
        <v>22</v>
      </c>
      <c r="I237">
        <v>47</v>
      </c>
      <c r="J237">
        <v>4</v>
      </c>
      <c r="K237">
        <v>111</v>
      </c>
      <c r="L237">
        <v>66</v>
      </c>
      <c r="M237">
        <v>9</v>
      </c>
      <c r="N237">
        <v>1995</v>
      </c>
      <c r="O237">
        <v>0.27</v>
      </c>
      <c r="P237">
        <v>2.4700000000000002</v>
      </c>
      <c r="Q237">
        <v>1.4999999999999999E-2</v>
      </c>
      <c r="R237">
        <v>65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>
      <c r="A238">
        <v>474.54022845004442</v>
      </c>
      <c r="B238">
        <v>63</v>
      </c>
      <c r="C238">
        <v>5.2726692050004944</v>
      </c>
      <c r="D238">
        <v>447.96600000000001</v>
      </c>
      <c r="E238">
        <v>686.7107911398698</v>
      </c>
      <c r="F238">
        <v>157.40700000000001</v>
      </c>
      <c r="G238">
        <v>91.998999999999995</v>
      </c>
      <c r="H238">
        <v>39</v>
      </c>
      <c r="I238">
        <v>58</v>
      </c>
      <c r="J238">
        <v>10</v>
      </c>
      <c r="K238">
        <v>333</v>
      </c>
      <c r="L238">
        <v>55</v>
      </c>
      <c r="M238">
        <v>25</v>
      </c>
      <c r="N238">
        <v>1995</v>
      </c>
      <c r="O238">
        <v>0.27</v>
      </c>
      <c r="P238">
        <v>2.4700000000000002</v>
      </c>
      <c r="Q238">
        <v>1.4999999999999999E-2</v>
      </c>
      <c r="R238">
        <v>65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>
      <c r="A239">
        <v>474.2390325687382</v>
      </c>
      <c r="B239">
        <v>63.000000000000007</v>
      </c>
      <c r="C239">
        <v>5.2693225840970914</v>
      </c>
      <c r="D239">
        <v>448.31040000000002</v>
      </c>
      <c r="E239">
        <v>688.28998819136791</v>
      </c>
      <c r="F239">
        <v>157.57919999999999</v>
      </c>
      <c r="G239">
        <v>91.980288000000002</v>
      </c>
      <c r="H239">
        <v>39</v>
      </c>
      <c r="I239">
        <v>57</v>
      </c>
      <c r="J239">
        <v>10</v>
      </c>
      <c r="K239">
        <v>85</v>
      </c>
      <c r="L239">
        <v>56</v>
      </c>
      <c r="M239">
        <v>26</v>
      </c>
      <c r="N239">
        <v>1995</v>
      </c>
      <c r="O239">
        <v>0.27</v>
      </c>
      <c r="P239">
        <v>2.4700000000000002</v>
      </c>
      <c r="Q239">
        <v>1.4999999999999999E-2</v>
      </c>
      <c r="R239">
        <v>65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>
      <c r="A240">
        <v>336.6842769422197</v>
      </c>
      <c r="B240">
        <v>44.744</v>
      </c>
      <c r="C240">
        <v>5.2672759221248384</v>
      </c>
      <c r="D240">
        <v>495.95280000000002</v>
      </c>
      <c r="E240">
        <v>691.64943185812808</v>
      </c>
      <c r="F240">
        <v>384.59640000000002</v>
      </c>
      <c r="G240">
        <v>65.361000000000004</v>
      </c>
      <c r="H240">
        <v>17</v>
      </c>
      <c r="I240">
        <v>59</v>
      </c>
      <c r="J240">
        <v>1</v>
      </c>
      <c r="K240">
        <v>40</v>
      </c>
      <c r="L240">
        <v>69</v>
      </c>
      <c r="M240">
        <v>5</v>
      </c>
      <c r="N240">
        <v>1995</v>
      </c>
      <c r="O240">
        <v>0.27</v>
      </c>
      <c r="P240">
        <v>2.4700000000000002</v>
      </c>
      <c r="Q240">
        <v>1.4999999999999999E-2</v>
      </c>
      <c r="R240">
        <v>65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>
      <c r="A241">
        <v>341.78400382159327</v>
      </c>
      <c r="B241">
        <v>45.5</v>
      </c>
      <c r="C241">
        <v>5.2582154434091279</v>
      </c>
      <c r="D241">
        <v>399.6</v>
      </c>
      <c r="E241">
        <v>690.07468879668056</v>
      </c>
      <c r="F241">
        <v>199.8</v>
      </c>
      <c r="G241">
        <v>66.322500000000005</v>
      </c>
      <c r="H241">
        <v>22</v>
      </c>
      <c r="I241">
        <v>53</v>
      </c>
      <c r="J241">
        <v>3</v>
      </c>
      <c r="K241">
        <v>56</v>
      </c>
      <c r="L241">
        <v>60</v>
      </c>
      <c r="M241">
        <v>4</v>
      </c>
      <c r="N241">
        <v>1995</v>
      </c>
      <c r="O241">
        <v>0.27</v>
      </c>
      <c r="P241">
        <v>2.4700000000000002</v>
      </c>
      <c r="Q241">
        <v>1.4999999999999999E-2</v>
      </c>
      <c r="R241">
        <v>65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>
      <c r="A242">
        <v>482.36608109833298</v>
      </c>
      <c r="B242">
        <v>64.235294117647072</v>
      </c>
      <c r="C242">
        <v>5.2565534478664491</v>
      </c>
      <c r="D242">
        <v>476.80880000000002</v>
      </c>
      <c r="E242">
        <v>691.92578970628517</v>
      </c>
      <c r="F242">
        <v>159.45195200000001</v>
      </c>
      <c r="G242">
        <v>93.649480000000011</v>
      </c>
      <c r="H242">
        <v>39</v>
      </c>
      <c r="I242">
        <v>57</v>
      </c>
      <c r="J242">
        <v>10</v>
      </c>
      <c r="K242">
        <v>77</v>
      </c>
      <c r="L242">
        <v>56</v>
      </c>
      <c r="M242">
        <v>38</v>
      </c>
      <c r="N242">
        <v>1995</v>
      </c>
      <c r="O242">
        <v>0.27</v>
      </c>
      <c r="P242">
        <v>2.4700000000000002</v>
      </c>
      <c r="Q242">
        <v>1.4999999999999999E-2</v>
      </c>
      <c r="R242">
        <v>65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>
      <c r="A243">
        <v>472.97786385747497</v>
      </c>
      <c r="B243">
        <v>63.000000000000007</v>
      </c>
      <c r="C243">
        <v>5.2553095984163898</v>
      </c>
      <c r="D243">
        <v>473.5872</v>
      </c>
      <c r="E243">
        <v>688.28998819136791</v>
      </c>
      <c r="F243">
        <v>157.86240000000001</v>
      </c>
      <c r="G243">
        <v>91.735679999999988</v>
      </c>
      <c r="H243">
        <v>39</v>
      </c>
      <c r="I243">
        <v>57</v>
      </c>
      <c r="J243">
        <v>10</v>
      </c>
      <c r="K243">
        <v>41</v>
      </c>
      <c r="L243">
        <v>56</v>
      </c>
      <c r="M243">
        <v>26</v>
      </c>
      <c r="N243">
        <v>1995</v>
      </c>
      <c r="O243">
        <v>0.27</v>
      </c>
      <c r="P243">
        <v>2.4700000000000002</v>
      </c>
      <c r="Q243">
        <v>1.4999999999999999E-2</v>
      </c>
      <c r="R243">
        <v>65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>
      <c r="A244">
        <v>482.17426676193622</v>
      </c>
      <c r="B244">
        <v>64.235294117647072</v>
      </c>
      <c r="C244">
        <v>5.254463163431355</v>
      </c>
      <c r="D244">
        <v>476.70240000000001</v>
      </c>
      <c r="E244">
        <v>691.92578970628517</v>
      </c>
      <c r="F244">
        <v>159.41577599999999</v>
      </c>
      <c r="G244">
        <v>93.61224</v>
      </c>
      <c r="H244">
        <v>39</v>
      </c>
      <c r="I244">
        <v>57</v>
      </c>
      <c r="J244">
        <v>10</v>
      </c>
      <c r="K244">
        <v>312</v>
      </c>
      <c r="L244">
        <v>56</v>
      </c>
      <c r="M244">
        <v>38</v>
      </c>
      <c r="N244">
        <v>1995</v>
      </c>
      <c r="O244">
        <v>0.27</v>
      </c>
      <c r="P244">
        <v>2.4700000000000002</v>
      </c>
      <c r="Q244">
        <v>1.4999999999999999E-2</v>
      </c>
      <c r="R244">
        <v>65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>
      <c r="A245">
        <v>345.05262838650509</v>
      </c>
      <c r="B245">
        <v>45.979294117647058</v>
      </c>
      <c r="C245">
        <v>5.2531654629697906</v>
      </c>
      <c r="D245">
        <v>841.96719999999993</v>
      </c>
      <c r="E245">
        <v>682.13642619861457</v>
      </c>
      <c r="F245">
        <v>666.63476800000001</v>
      </c>
      <c r="G245">
        <v>66.811640000000011</v>
      </c>
      <c r="H245">
        <v>40</v>
      </c>
      <c r="I245">
        <v>59</v>
      </c>
      <c r="J245">
        <v>11</v>
      </c>
      <c r="K245">
        <v>77</v>
      </c>
      <c r="L245">
        <v>61</v>
      </c>
      <c r="M245">
        <v>32</v>
      </c>
      <c r="N245">
        <v>1995</v>
      </c>
      <c r="O245">
        <v>0.27</v>
      </c>
      <c r="P245">
        <v>2.4700000000000002</v>
      </c>
      <c r="Q245">
        <v>1.4999999999999999E-2</v>
      </c>
      <c r="R245">
        <v>65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>
      <c r="A246">
        <v>344.87620706552451</v>
      </c>
      <c r="B246">
        <v>45.979294117647058</v>
      </c>
      <c r="C246">
        <v>5.2504795817039671</v>
      </c>
      <c r="D246">
        <v>841.86959999999999</v>
      </c>
      <c r="E246">
        <v>682.13642619861457</v>
      </c>
      <c r="F246">
        <v>666.601584</v>
      </c>
      <c r="G246">
        <v>66.777480000000011</v>
      </c>
      <c r="H246">
        <v>40</v>
      </c>
      <c r="I246">
        <v>59</v>
      </c>
      <c r="J246">
        <v>11</v>
      </c>
      <c r="K246">
        <v>312</v>
      </c>
      <c r="L246">
        <v>61</v>
      </c>
      <c r="M246">
        <v>32</v>
      </c>
      <c r="N246">
        <v>1995</v>
      </c>
      <c r="O246">
        <v>0.27</v>
      </c>
      <c r="P246">
        <v>2.4700000000000002</v>
      </c>
      <c r="Q246">
        <v>1.4999999999999999E-2</v>
      </c>
      <c r="R246">
        <v>65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>
      <c r="A247">
        <v>367.52758786130141</v>
      </c>
      <c r="B247">
        <v>49</v>
      </c>
      <c r="C247">
        <v>5.2503941123043063</v>
      </c>
      <c r="D247">
        <v>447.72879999999998</v>
      </c>
      <c r="E247">
        <v>685.79234254141511</v>
      </c>
      <c r="F247">
        <v>169.73052000000001</v>
      </c>
      <c r="G247">
        <v>71.2346</v>
      </c>
      <c r="H247">
        <v>7</v>
      </c>
      <c r="I247">
        <v>55</v>
      </c>
      <c r="J247">
        <v>5</v>
      </c>
      <c r="K247">
        <v>319</v>
      </c>
      <c r="L247">
        <v>58</v>
      </c>
      <c r="M247">
        <v>26</v>
      </c>
      <c r="N247">
        <v>1995</v>
      </c>
      <c r="O247">
        <v>0.27</v>
      </c>
      <c r="P247">
        <v>2.4700000000000002</v>
      </c>
      <c r="Q247">
        <v>1.4999999999999999E-2</v>
      </c>
      <c r="R247">
        <v>65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>
      <c r="A248">
        <v>472.396951865971</v>
      </c>
      <c r="B248">
        <v>63.000000000000007</v>
      </c>
      <c r="C248">
        <v>5.2488550207330107</v>
      </c>
      <c r="D248">
        <v>424.16640000000001</v>
      </c>
      <c r="E248">
        <v>692.79145673364644</v>
      </c>
      <c r="F248">
        <v>157.86240000000001</v>
      </c>
      <c r="G248">
        <v>91.735679999999988</v>
      </c>
      <c r="H248">
        <v>39</v>
      </c>
      <c r="I248">
        <v>57</v>
      </c>
      <c r="J248">
        <v>10</v>
      </c>
      <c r="K248">
        <v>133</v>
      </c>
      <c r="L248">
        <v>56</v>
      </c>
      <c r="M248">
        <v>26</v>
      </c>
      <c r="N248">
        <v>1995</v>
      </c>
      <c r="O248">
        <v>0.27</v>
      </c>
      <c r="P248">
        <v>2.4700000000000002</v>
      </c>
      <c r="Q248">
        <v>1.4999999999999999E-2</v>
      </c>
      <c r="R248">
        <v>65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>
      <c r="A249">
        <v>482.0331851510914</v>
      </c>
      <c r="B249">
        <v>64.358208955223887</v>
      </c>
      <c r="C249">
        <v>5.2428934099225852</v>
      </c>
      <c r="D249">
        <v>470.19743999999997</v>
      </c>
      <c r="E249">
        <v>691.40638948986839</v>
      </c>
      <c r="F249">
        <v>156.8503824</v>
      </c>
      <c r="G249">
        <v>93.571584000000001</v>
      </c>
      <c r="H249">
        <v>39</v>
      </c>
      <c r="I249">
        <v>57</v>
      </c>
      <c r="J249">
        <v>10</v>
      </c>
      <c r="K249">
        <v>316</v>
      </c>
      <c r="L249">
        <v>56</v>
      </c>
      <c r="M249">
        <v>32</v>
      </c>
      <c r="N249">
        <v>1995</v>
      </c>
      <c r="O249">
        <v>0.27</v>
      </c>
      <c r="P249">
        <v>2.4700000000000002</v>
      </c>
      <c r="Q249">
        <v>1.4999999999999999E-2</v>
      </c>
      <c r="R249">
        <v>65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>
      <c r="A250">
        <v>344.95118811672933</v>
      </c>
      <c r="B250">
        <v>46.102208955223887</v>
      </c>
      <c r="C250">
        <v>5.237619566477405</v>
      </c>
      <c r="D250">
        <v>840.40307999999993</v>
      </c>
      <c r="E250">
        <v>681.94783445336805</v>
      </c>
      <c r="F250">
        <v>665.75601180000001</v>
      </c>
      <c r="G250">
        <v>66.788551499999997</v>
      </c>
      <c r="H250">
        <v>40</v>
      </c>
      <c r="I250">
        <v>59</v>
      </c>
      <c r="J250">
        <v>11</v>
      </c>
      <c r="K250">
        <v>316</v>
      </c>
      <c r="L250">
        <v>61</v>
      </c>
      <c r="M250">
        <v>27</v>
      </c>
      <c r="N250">
        <v>1995</v>
      </c>
      <c r="O250">
        <v>0.27</v>
      </c>
      <c r="P250">
        <v>2.4700000000000002</v>
      </c>
      <c r="Q250">
        <v>1.4999999999999999E-2</v>
      </c>
      <c r="R250">
        <v>65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>
      <c r="A251">
        <v>428.19146712373572</v>
      </c>
      <c r="B251">
        <v>57.358208955223887</v>
      </c>
      <c r="C251">
        <v>5.2256517845701804</v>
      </c>
      <c r="D251">
        <v>532.21344000000011</v>
      </c>
      <c r="E251">
        <v>687.11243344415016</v>
      </c>
      <c r="F251">
        <v>196.75038240000001</v>
      </c>
      <c r="G251">
        <v>83.022489000000007</v>
      </c>
      <c r="H251">
        <v>8</v>
      </c>
      <c r="I251">
        <v>55</v>
      </c>
      <c r="J251">
        <v>5</v>
      </c>
      <c r="K251">
        <v>316</v>
      </c>
      <c r="L251">
        <v>58</v>
      </c>
      <c r="M251">
        <v>29</v>
      </c>
      <c r="N251">
        <v>1995</v>
      </c>
      <c r="O251">
        <v>0.27</v>
      </c>
      <c r="P251">
        <v>2.4700000000000002</v>
      </c>
      <c r="Q251">
        <v>1.4999999999999999E-2</v>
      </c>
      <c r="R251">
        <v>65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>
      <c r="A252">
        <v>415.39382412229259</v>
      </c>
      <c r="B252">
        <v>56.000000000000007</v>
      </c>
      <c r="C252">
        <v>5.1924228015286564</v>
      </c>
      <c r="D252">
        <v>494.89350000000002</v>
      </c>
      <c r="E252">
        <v>691.16795774805985</v>
      </c>
      <c r="F252">
        <v>192.9624</v>
      </c>
      <c r="G252">
        <v>80.630400000000023</v>
      </c>
      <c r="H252">
        <v>52</v>
      </c>
      <c r="I252">
        <v>55</v>
      </c>
      <c r="J252">
        <v>12</v>
      </c>
      <c r="K252">
        <v>148</v>
      </c>
      <c r="L252">
        <v>57</v>
      </c>
      <c r="M252">
        <v>29</v>
      </c>
      <c r="N252">
        <v>1995</v>
      </c>
      <c r="O252">
        <v>0.27</v>
      </c>
      <c r="P252">
        <v>2.4700000000000002</v>
      </c>
      <c r="Q252">
        <v>1.4999999999999999E-2</v>
      </c>
      <c r="R252">
        <v>65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>
      <c r="A253">
        <v>363.44241538269779</v>
      </c>
      <c r="B253">
        <v>49</v>
      </c>
      <c r="C253">
        <v>5.1920345054671122</v>
      </c>
      <c r="D253">
        <v>426.24</v>
      </c>
      <c r="E253">
        <v>687.98340248962654</v>
      </c>
      <c r="F253">
        <v>166.5</v>
      </c>
      <c r="G253">
        <v>70.484999999999999</v>
      </c>
      <c r="H253">
        <v>9</v>
      </c>
      <c r="I253">
        <v>58</v>
      </c>
      <c r="J253">
        <v>3</v>
      </c>
      <c r="K253">
        <v>56</v>
      </c>
      <c r="L253">
        <v>48</v>
      </c>
      <c r="M253">
        <v>5</v>
      </c>
      <c r="N253">
        <v>1995</v>
      </c>
      <c r="O253">
        <v>0.27</v>
      </c>
      <c r="P253">
        <v>2.4700000000000002</v>
      </c>
      <c r="Q253">
        <v>1.4999999999999999E-2</v>
      </c>
      <c r="R253">
        <v>65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>
      <c r="A254">
        <v>467.18069096220029</v>
      </c>
      <c r="B254">
        <v>63</v>
      </c>
      <c r="C254">
        <v>5.1908965662466713</v>
      </c>
      <c r="D254">
        <v>438.24959999999999</v>
      </c>
      <c r="E254">
        <v>691.64315352697099</v>
      </c>
      <c r="F254">
        <v>155.1481</v>
      </c>
      <c r="G254">
        <v>90.694299999999998</v>
      </c>
      <c r="H254">
        <v>39</v>
      </c>
      <c r="I254">
        <v>56</v>
      </c>
      <c r="J254">
        <v>10</v>
      </c>
      <c r="K254">
        <v>1</v>
      </c>
      <c r="L254">
        <v>53</v>
      </c>
      <c r="M254">
        <v>5</v>
      </c>
      <c r="N254">
        <v>1995</v>
      </c>
      <c r="O254">
        <v>0.27</v>
      </c>
      <c r="P254">
        <v>2.4700000000000002</v>
      </c>
      <c r="Q254">
        <v>1.4999999999999999E-2</v>
      </c>
      <c r="R254">
        <v>65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>
      <c r="A255">
        <v>415.23860872056889</v>
      </c>
      <c r="B255">
        <v>56</v>
      </c>
      <c r="C255">
        <v>5.1904826090071117</v>
      </c>
      <c r="D255">
        <v>507.27359999999999</v>
      </c>
      <c r="E255">
        <v>690.46473029045637</v>
      </c>
      <c r="F255">
        <v>195.9528</v>
      </c>
      <c r="G255">
        <v>80.584800000000001</v>
      </c>
      <c r="H255">
        <v>8</v>
      </c>
      <c r="I255">
        <v>55</v>
      </c>
      <c r="J255">
        <v>5</v>
      </c>
      <c r="K255">
        <v>1</v>
      </c>
      <c r="L255">
        <v>48</v>
      </c>
      <c r="M255">
        <v>5</v>
      </c>
      <c r="N255">
        <v>1995</v>
      </c>
      <c r="O255">
        <v>0.27</v>
      </c>
      <c r="P255">
        <v>2.4700000000000002</v>
      </c>
      <c r="Q255">
        <v>1.4999999999999999E-2</v>
      </c>
      <c r="R255">
        <v>65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>
      <c r="A256">
        <v>414.81742720671389</v>
      </c>
      <c r="B256">
        <v>56.000000000000007</v>
      </c>
      <c r="C256">
        <v>5.1852178400839239</v>
      </c>
      <c r="D256">
        <v>499.05936000000003</v>
      </c>
      <c r="E256">
        <v>689.21161825726142</v>
      </c>
      <c r="F256">
        <v>192.89447999999999</v>
      </c>
      <c r="G256">
        <v>80.475520000000003</v>
      </c>
      <c r="H256">
        <v>8</v>
      </c>
      <c r="I256">
        <v>54</v>
      </c>
      <c r="J256">
        <v>5</v>
      </c>
      <c r="K256">
        <v>331</v>
      </c>
      <c r="L256">
        <v>56</v>
      </c>
      <c r="M256">
        <v>10</v>
      </c>
      <c r="N256">
        <v>1995</v>
      </c>
      <c r="O256">
        <v>0.27</v>
      </c>
      <c r="P256">
        <v>2.4700000000000002</v>
      </c>
      <c r="Q256">
        <v>1.4999999999999999E-2</v>
      </c>
      <c r="R256">
        <v>65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>
      <c r="A257">
        <v>413.55690415848937</v>
      </c>
      <c r="B257">
        <v>56</v>
      </c>
      <c r="C257">
        <v>5.1694613019811184</v>
      </c>
      <c r="D257">
        <v>506.10879999999997</v>
      </c>
      <c r="E257">
        <v>678.78008298755185</v>
      </c>
      <c r="F257">
        <v>195.37039999999999</v>
      </c>
      <c r="G257">
        <v>80.002400000000009</v>
      </c>
      <c r="H257">
        <v>8</v>
      </c>
      <c r="I257">
        <v>55</v>
      </c>
      <c r="J257">
        <v>5</v>
      </c>
      <c r="K257">
        <v>178</v>
      </c>
      <c r="L257">
        <v>58</v>
      </c>
      <c r="M257">
        <v>2</v>
      </c>
      <c r="N257">
        <v>1995</v>
      </c>
      <c r="O257">
        <v>0.27</v>
      </c>
      <c r="P257">
        <v>2.4700000000000002</v>
      </c>
      <c r="Q257">
        <v>1.4999999999999999E-2</v>
      </c>
      <c r="R257">
        <v>65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>
      <c r="A258">
        <v>361.23056310097712</v>
      </c>
      <c r="B258">
        <v>49</v>
      </c>
      <c r="C258">
        <v>5.1604366157282451</v>
      </c>
      <c r="D258">
        <v>1002.528</v>
      </c>
      <c r="E258">
        <v>680.45763356550765</v>
      </c>
      <c r="F258">
        <v>164.89439999999999</v>
      </c>
      <c r="G258">
        <v>69.912000000000006</v>
      </c>
      <c r="H258">
        <v>2</v>
      </c>
      <c r="I258">
        <v>51</v>
      </c>
      <c r="J258">
        <v>8</v>
      </c>
      <c r="K258">
        <v>127</v>
      </c>
      <c r="L258">
        <v>57</v>
      </c>
      <c r="M258">
        <v>24</v>
      </c>
      <c r="N258">
        <v>1995</v>
      </c>
      <c r="O258">
        <v>0.27</v>
      </c>
      <c r="P258">
        <v>2.4700000000000002</v>
      </c>
      <c r="Q258">
        <v>1.4999999999999999E-2</v>
      </c>
      <c r="R258">
        <v>65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>
      <c r="A259">
        <v>463.70180916961368</v>
      </c>
      <c r="B259">
        <v>63.000000000000007</v>
      </c>
      <c r="C259">
        <v>5.1522423241068189</v>
      </c>
      <c r="D259">
        <v>445.43376000000001</v>
      </c>
      <c r="E259">
        <v>690.48962655601667</v>
      </c>
      <c r="F259">
        <v>156.14088000000001</v>
      </c>
      <c r="G259">
        <v>89.990599999999986</v>
      </c>
      <c r="H259">
        <v>39</v>
      </c>
      <c r="I259">
        <v>57</v>
      </c>
      <c r="J259">
        <v>10</v>
      </c>
      <c r="K259">
        <v>331</v>
      </c>
      <c r="L259">
        <v>55</v>
      </c>
      <c r="M259">
        <v>10</v>
      </c>
      <c r="N259">
        <v>1995</v>
      </c>
      <c r="O259">
        <v>0.27</v>
      </c>
      <c r="P259">
        <v>2.4700000000000002</v>
      </c>
      <c r="Q259">
        <v>1.4999999999999999E-2</v>
      </c>
      <c r="R259">
        <v>65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>
      <c r="A260">
        <v>411.71229343540688</v>
      </c>
      <c r="B260">
        <v>56</v>
      </c>
      <c r="C260">
        <v>5.1464036679425869</v>
      </c>
      <c r="D260">
        <v>512.13600000000008</v>
      </c>
      <c r="E260">
        <v>686.59328338343926</v>
      </c>
      <c r="F260">
        <v>188.8912</v>
      </c>
      <c r="G260">
        <v>79.816000000000003</v>
      </c>
      <c r="H260">
        <v>8</v>
      </c>
      <c r="I260">
        <v>52</v>
      </c>
      <c r="J260">
        <v>5</v>
      </c>
      <c r="K260">
        <v>327</v>
      </c>
      <c r="L260">
        <v>61</v>
      </c>
      <c r="M260">
        <v>28</v>
      </c>
      <c r="N260">
        <v>1995</v>
      </c>
      <c r="O260">
        <v>0.27</v>
      </c>
      <c r="P260">
        <v>2.4700000000000002</v>
      </c>
      <c r="Q260">
        <v>1.4999999999999999E-2</v>
      </c>
      <c r="R260">
        <v>65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>
      <c r="A261">
        <v>410.04088506347591</v>
      </c>
      <c r="B261">
        <v>56</v>
      </c>
      <c r="C261">
        <v>5.1255110632934491</v>
      </c>
      <c r="D261">
        <v>505.25040000000013</v>
      </c>
      <c r="E261">
        <v>690.33195020746882</v>
      </c>
      <c r="F261">
        <v>194.94120000000001</v>
      </c>
      <c r="G261">
        <v>79.573200000000014</v>
      </c>
      <c r="H261">
        <v>8</v>
      </c>
      <c r="I261">
        <v>55</v>
      </c>
      <c r="J261">
        <v>5</v>
      </c>
      <c r="K261">
        <v>177</v>
      </c>
      <c r="L261">
        <v>58</v>
      </c>
      <c r="M261">
        <v>2</v>
      </c>
      <c r="N261">
        <v>1995</v>
      </c>
      <c r="O261">
        <v>0.27</v>
      </c>
      <c r="P261">
        <v>2.4700000000000002</v>
      </c>
      <c r="Q261">
        <v>1.4999999999999999E-2</v>
      </c>
      <c r="R261">
        <v>65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>
      <c r="A262">
        <v>383.58128078400199</v>
      </c>
      <c r="B262">
        <v>52.5</v>
      </c>
      <c r="C262">
        <v>5.1144170771200272</v>
      </c>
      <c r="D262">
        <v>461.16</v>
      </c>
      <c r="E262">
        <v>691.04017436494121</v>
      </c>
      <c r="F262">
        <v>223.19280000000001</v>
      </c>
      <c r="G262">
        <v>74.452799999999982</v>
      </c>
      <c r="H262">
        <v>22</v>
      </c>
      <c r="I262">
        <v>46</v>
      </c>
      <c r="J262">
        <v>4</v>
      </c>
      <c r="K262">
        <v>165</v>
      </c>
      <c r="L262">
        <v>57</v>
      </c>
      <c r="M262">
        <v>20</v>
      </c>
      <c r="N262">
        <v>1995</v>
      </c>
      <c r="O262">
        <v>0.27</v>
      </c>
      <c r="P262">
        <v>2.4700000000000002</v>
      </c>
      <c r="Q262">
        <v>1.4999999999999999E-2</v>
      </c>
      <c r="R262">
        <v>65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>
      <c r="A263">
        <v>408.90079002474602</v>
      </c>
      <c r="B263">
        <v>56</v>
      </c>
      <c r="C263">
        <v>5.111259875309325</v>
      </c>
      <c r="D263">
        <v>649.09640000000002</v>
      </c>
      <c r="E263">
        <v>682.46908171688915</v>
      </c>
      <c r="F263">
        <v>185.7448</v>
      </c>
      <c r="G263">
        <v>79.181600000000003</v>
      </c>
      <c r="H263">
        <v>8</v>
      </c>
      <c r="I263">
        <v>51</v>
      </c>
      <c r="J263">
        <v>5</v>
      </c>
      <c r="K263">
        <v>148</v>
      </c>
      <c r="L263">
        <v>62</v>
      </c>
      <c r="M263">
        <v>28</v>
      </c>
      <c r="N263">
        <v>1995</v>
      </c>
      <c r="O263">
        <v>0.27</v>
      </c>
      <c r="P263">
        <v>2.4700000000000002</v>
      </c>
      <c r="Q263">
        <v>1.4999999999999999E-2</v>
      </c>
      <c r="R263">
        <v>65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>
      <c r="A264">
        <v>408.88095075650142</v>
      </c>
      <c r="B264">
        <v>56.000000000000007</v>
      </c>
      <c r="C264">
        <v>5.1110118844562669</v>
      </c>
      <c r="D264">
        <v>475.82920000000001</v>
      </c>
      <c r="E264">
        <v>691.93360995850617</v>
      </c>
      <c r="F264">
        <v>192.6532</v>
      </c>
      <c r="G264">
        <v>79.382800000000003</v>
      </c>
      <c r="H264">
        <v>8</v>
      </c>
      <c r="I264">
        <v>54</v>
      </c>
      <c r="J264">
        <v>5</v>
      </c>
      <c r="K264">
        <v>98</v>
      </c>
      <c r="L264">
        <v>53</v>
      </c>
      <c r="M264">
        <v>8</v>
      </c>
      <c r="N264">
        <v>1995</v>
      </c>
      <c r="O264">
        <v>0.27</v>
      </c>
      <c r="P264">
        <v>2.4700000000000002</v>
      </c>
      <c r="Q264">
        <v>1.4999999999999999E-2</v>
      </c>
      <c r="R264">
        <v>65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>
      <c r="A265">
        <v>408.09128764736192</v>
      </c>
      <c r="B265">
        <v>56</v>
      </c>
      <c r="C265">
        <v>5.1011410955920242</v>
      </c>
      <c r="D265">
        <v>472.91543999999999</v>
      </c>
      <c r="E265">
        <v>691.82401610233046</v>
      </c>
      <c r="F265">
        <v>183.17771999999999</v>
      </c>
      <c r="G265">
        <v>79.227119999999999</v>
      </c>
      <c r="H265">
        <v>9</v>
      </c>
      <c r="I265">
        <v>49</v>
      </c>
      <c r="J265">
        <v>4</v>
      </c>
      <c r="K265">
        <v>333</v>
      </c>
      <c r="L265">
        <v>64</v>
      </c>
      <c r="M265">
        <v>22</v>
      </c>
      <c r="N265">
        <v>1995</v>
      </c>
      <c r="O265">
        <v>0.27</v>
      </c>
      <c r="P265">
        <v>2.4700000000000002</v>
      </c>
      <c r="Q265">
        <v>1.4999999999999999E-2</v>
      </c>
      <c r="R265">
        <v>65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>
      <c r="A266">
        <v>407.7281479812379</v>
      </c>
      <c r="B266">
        <v>56</v>
      </c>
      <c r="C266">
        <v>5.0966018497654728</v>
      </c>
      <c r="D266">
        <v>546.89599999999996</v>
      </c>
      <c r="E266">
        <v>690.40663900414927</v>
      </c>
      <c r="F266">
        <v>184.8</v>
      </c>
      <c r="G266">
        <v>79.126000000000005</v>
      </c>
      <c r="H266">
        <v>6</v>
      </c>
      <c r="I266">
        <v>52</v>
      </c>
      <c r="J266">
        <v>7</v>
      </c>
      <c r="K266">
        <v>111</v>
      </c>
      <c r="L266">
        <v>61</v>
      </c>
      <c r="M266">
        <v>10</v>
      </c>
      <c r="N266">
        <v>1995</v>
      </c>
      <c r="O266">
        <v>0.27</v>
      </c>
      <c r="P266">
        <v>2.4700000000000002</v>
      </c>
      <c r="Q266">
        <v>1.4999999999999999E-2</v>
      </c>
      <c r="R266">
        <v>65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>
      <c r="A267">
        <v>355.42824253013532</v>
      </c>
      <c r="B267">
        <v>49</v>
      </c>
      <c r="C267">
        <v>5.0775463218590771</v>
      </c>
      <c r="D267">
        <v>959.26319999999998</v>
      </c>
      <c r="E267">
        <v>680.15878601360214</v>
      </c>
      <c r="F267">
        <v>162.26027999999999</v>
      </c>
      <c r="G267">
        <v>68.7834</v>
      </c>
      <c r="H267">
        <v>2</v>
      </c>
      <c r="I267">
        <v>57</v>
      </c>
      <c r="J267">
        <v>7</v>
      </c>
      <c r="K267">
        <v>319</v>
      </c>
      <c r="L267">
        <v>56</v>
      </c>
      <c r="M267">
        <v>27</v>
      </c>
      <c r="N267">
        <v>1995</v>
      </c>
      <c r="O267">
        <v>0.27</v>
      </c>
      <c r="P267">
        <v>2.4700000000000002</v>
      </c>
      <c r="Q267">
        <v>1.4999999999999999E-2</v>
      </c>
      <c r="R267">
        <v>65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>
      <c r="A268">
        <v>405.79269740385939</v>
      </c>
      <c r="B268">
        <v>56</v>
      </c>
      <c r="C268">
        <v>5.0724087175482433</v>
      </c>
      <c r="D268">
        <v>500.29775999999998</v>
      </c>
      <c r="E268">
        <v>687.07521412366293</v>
      </c>
      <c r="F268">
        <v>183.369744</v>
      </c>
      <c r="G268">
        <v>78.678767999999991</v>
      </c>
      <c r="H268">
        <v>9</v>
      </c>
      <c r="I268">
        <v>49</v>
      </c>
      <c r="J268">
        <v>4</v>
      </c>
      <c r="K268">
        <v>125</v>
      </c>
      <c r="L268">
        <v>64</v>
      </c>
      <c r="M268">
        <v>21</v>
      </c>
      <c r="N268">
        <v>1995</v>
      </c>
      <c r="O268">
        <v>0.27</v>
      </c>
      <c r="P268">
        <v>2.4700000000000002</v>
      </c>
      <c r="Q268">
        <v>1.4999999999999999E-2</v>
      </c>
      <c r="R268">
        <v>65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>
      <c r="A269">
        <v>420.64162389524807</v>
      </c>
      <c r="B269">
        <v>58.100000000000009</v>
      </c>
      <c r="C269">
        <v>5.0679713722319049</v>
      </c>
      <c r="D269">
        <v>504.56959999999998</v>
      </c>
      <c r="E269">
        <v>689.66804979253106</v>
      </c>
      <c r="F269">
        <v>194.60079999999999</v>
      </c>
      <c r="G269">
        <v>81.615600000000001</v>
      </c>
      <c r="H269">
        <v>8</v>
      </c>
      <c r="I269">
        <v>55</v>
      </c>
      <c r="J269">
        <v>5</v>
      </c>
      <c r="K269">
        <v>91</v>
      </c>
      <c r="L269">
        <v>55</v>
      </c>
      <c r="M269">
        <v>7</v>
      </c>
      <c r="N269">
        <v>1995</v>
      </c>
      <c r="O269">
        <v>0.27</v>
      </c>
      <c r="P269">
        <v>2.4700000000000002</v>
      </c>
      <c r="Q269">
        <v>1.4999999999999999E-2</v>
      </c>
      <c r="R269">
        <v>65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>
      <c r="A270">
        <v>405.29360789419178</v>
      </c>
      <c r="B270">
        <v>56</v>
      </c>
      <c r="C270">
        <v>5.0661700986773974</v>
      </c>
      <c r="D270">
        <v>496.548</v>
      </c>
      <c r="E270">
        <v>687.07521412366293</v>
      </c>
      <c r="F270">
        <v>183.27600000000001</v>
      </c>
      <c r="G270">
        <v>78.581999999999994</v>
      </c>
      <c r="H270">
        <v>9</v>
      </c>
      <c r="I270">
        <v>49</v>
      </c>
      <c r="J270">
        <v>4</v>
      </c>
      <c r="K270">
        <v>124</v>
      </c>
      <c r="L270">
        <v>64</v>
      </c>
      <c r="M270">
        <v>21</v>
      </c>
      <c r="N270">
        <v>1995</v>
      </c>
      <c r="O270">
        <v>0.27</v>
      </c>
      <c r="P270">
        <v>2.4700000000000002</v>
      </c>
      <c r="Q270">
        <v>1.4999999999999999E-2</v>
      </c>
      <c r="R270">
        <v>65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>
      <c r="A271">
        <v>405.25332680715121</v>
      </c>
      <c r="B271">
        <v>56</v>
      </c>
      <c r="C271">
        <v>5.0656665850893896</v>
      </c>
      <c r="D271">
        <v>430.59428000000003</v>
      </c>
      <c r="E271">
        <v>691.51867219917017</v>
      </c>
      <c r="F271">
        <v>178.88228000000001</v>
      </c>
      <c r="G271">
        <v>78.669600000000003</v>
      </c>
      <c r="H271">
        <v>8</v>
      </c>
      <c r="I271">
        <v>48</v>
      </c>
      <c r="J271">
        <v>5</v>
      </c>
      <c r="K271">
        <v>155</v>
      </c>
      <c r="L271">
        <v>60</v>
      </c>
      <c r="M271">
        <v>44</v>
      </c>
      <c r="N271">
        <v>1995</v>
      </c>
      <c r="O271">
        <v>0.27</v>
      </c>
      <c r="P271">
        <v>2.4700000000000002</v>
      </c>
      <c r="Q271">
        <v>1.4999999999999999E-2</v>
      </c>
      <c r="R271">
        <v>65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>
      <c r="A272">
        <v>404.90248435737152</v>
      </c>
      <c r="B272">
        <v>56.000000000000007</v>
      </c>
      <c r="C272">
        <v>5.0612810544671429</v>
      </c>
      <c r="D272">
        <v>451.97001999999998</v>
      </c>
      <c r="E272">
        <v>691.31950207468878</v>
      </c>
      <c r="F272">
        <v>184.52601999999999</v>
      </c>
      <c r="G272">
        <v>78.597220000000007</v>
      </c>
      <c r="H272">
        <v>8</v>
      </c>
      <c r="I272">
        <v>52</v>
      </c>
      <c r="J272">
        <v>5</v>
      </c>
      <c r="K272">
        <v>62</v>
      </c>
      <c r="L272">
        <v>61</v>
      </c>
      <c r="M272">
        <v>26</v>
      </c>
      <c r="N272">
        <v>1995</v>
      </c>
      <c r="O272">
        <v>0.27</v>
      </c>
      <c r="P272">
        <v>2.4700000000000002</v>
      </c>
      <c r="Q272">
        <v>1.4999999999999999E-2</v>
      </c>
      <c r="R272">
        <v>65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>
      <c r="A273">
        <v>404.74414712924658</v>
      </c>
      <c r="B273">
        <v>56</v>
      </c>
      <c r="C273">
        <v>5.0593018391155828</v>
      </c>
      <c r="D273">
        <v>473.83814399999989</v>
      </c>
      <c r="E273">
        <v>691.61996601730959</v>
      </c>
      <c r="F273">
        <v>183.639072</v>
      </c>
      <c r="G273">
        <v>78.57292799999999</v>
      </c>
      <c r="H273">
        <v>9</v>
      </c>
      <c r="I273">
        <v>49</v>
      </c>
      <c r="J273">
        <v>4</v>
      </c>
      <c r="K273">
        <v>85</v>
      </c>
      <c r="L273">
        <v>63</v>
      </c>
      <c r="M273">
        <v>22</v>
      </c>
      <c r="N273">
        <v>1995</v>
      </c>
      <c r="O273">
        <v>0.27</v>
      </c>
      <c r="P273">
        <v>2.4700000000000002</v>
      </c>
      <c r="Q273">
        <v>1.4999999999999999E-2</v>
      </c>
      <c r="R273">
        <v>65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>
      <c r="A274">
        <v>404.92736941361562</v>
      </c>
      <c r="B274">
        <v>56.190909090909088</v>
      </c>
      <c r="C274">
        <v>5.044395315458404</v>
      </c>
      <c r="D274">
        <v>475.88448000000011</v>
      </c>
      <c r="E274">
        <v>690.7053941908714</v>
      </c>
      <c r="F274">
        <v>184.45344</v>
      </c>
      <c r="G274">
        <v>78.588875000000002</v>
      </c>
      <c r="H274">
        <v>8</v>
      </c>
      <c r="I274">
        <v>51</v>
      </c>
      <c r="J274">
        <v>5</v>
      </c>
      <c r="K274">
        <v>113</v>
      </c>
      <c r="L274">
        <v>59</v>
      </c>
      <c r="M274">
        <v>25</v>
      </c>
      <c r="N274">
        <v>1995</v>
      </c>
      <c r="O274">
        <v>0.27</v>
      </c>
      <c r="P274">
        <v>2.4700000000000002</v>
      </c>
      <c r="Q274">
        <v>1.4999999999999999E-2</v>
      </c>
      <c r="R274">
        <v>65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>
      <c r="A275">
        <v>377.19606588605228</v>
      </c>
      <c r="B275">
        <v>52.5</v>
      </c>
      <c r="C275">
        <v>5.0292808784806979</v>
      </c>
      <c r="D275">
        <v>422.41968000000003</v>
      </c>
      <c r="E275">
        <v>692.62406639004155</v>
      </c>
      <c r="F275">
        <v>222.61967999999999</v>
      </c>
      <c r="G275">
        <v>73.24508999999999</v>
      </c>
      <c r="H275">
        <v>22</v>
      </c>
      <c r="I275">
        <v>60</v>
      </c>
      <c r="J275">
        <v>3</v>
      </c>
      <c r="K275">
        <v>131</v>
      </c>
      <c r="L275">
        <v>49</v>
      </c>
      <c r="M275">
        <v>2</v>
      </c>
      <c r="N275">
        <v>1995</v>
      </c>
      <c r="O275">
        <v>0.27</v>
      </c>
      <c r="P275">
        <v>2.4700000000000002</v>
      </c>
      <c r="Q275">
        <v>1.4999999999999999E-2</v>
      </c>
      <c r="R275">
        <v>65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>
      <c r="A276">
        <v>401.94876702624072</v>
      </c>
      <c r="B276">
        <v>56</v>
      </c>
      <c r="C276">
        <v>5.024359587828009</v>
      </c>
      <c r="D276">
        <v>449.80991999999998</v>
      </c>
      <c r="E276">
        <v>689.74827793453494</v>
      </c>
      <c r="F276">
        <v>183.40992</v>
      </c>
      <c r="G276">
        <v>77.990399999999994</v>
      </c>
      <c r="H276">
        <v>9</v>
      </c>
      <c r="I276">
        <v>48</v>
      </c>
      <c r="J276">
        <v>4</v>
      </c>
      <c r="K276">
        <v>133</v>
      </c>
      <c r="L276">
        <v>65</v>
      </c>
      <c r="M276">
        <v>22</v>
      </c>
      <c r="N276">
        <v>1995</v>
      </c>
      <c r="O276">
        <v>0.27</v>
      </c>
      <c r="P276">
        <v>2.4700000000000002</v>
      </c>
      <c r="Q276">
        <v>1.4999999999999999E-2</v>
      </c>
      <c r="R276">
        <v>65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>
      <c r="A277">
        <v>401.84752120581601</v>
      </c>
      <c r="B277">
        <v>56</v>
      </c>
      <c r="C277">
        <v>5.0230940150726999</v>
      </c>
      <c r="D277">
        <v>496.94976000000003</v>
      </c>
      <c r="E277">
        <v>689.2393816920661</v>
      </c>
      <c r="F277">
        <v>183.40992</v>
      </c>
      <c r="G277">
        <v>77.959919999999997</v>
      </c>
      <c r="H277">
        <v>9</v>
      </c>
      <c r="I277">
        <v>49</v>
      </c>
      <c r="J277">
        <v>4</v>
      </c>
      <c r="K277">
        <v>41</v>
      </c>
      <c r="L277">
        <v>62</v>
      </c>
      <c r="M277">
        <v>22</v>
      </c>
      <c r="N277">
        <v>1995</v>
      </c>
      <c r="O277">
        <v>0.27</v>
      </c>
      <c r="P277">
        <v>2.4700000000000002</v>
      </c>
      <c r="Q277">
        <v>1.4999999999999999E-2</v>
      </c>
      <c r="R277">
        <v>65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>
      <c r="A278">
        <v>401.1008652003062</v>
      </c>
      <c r="B278">
        <v>56</v>
      </c>
      <c r="C278">
        <v>5.0137608150038284</v>
      </c>
      <c r="D278">
        <v>470.8768</v>
      </c>
      <c r="E278">
        <v>691.48547717842325</v>
      </c>
      <c r="F278">
        <v>182.1584</v>
      </c>
      <c r="G278">
        <v>77.862800000000007</v>
      </c>
      <c r="H278">
        <v>9</v>
      </c>
      <c r="I278">
        <v>49</v>
      </c>
      <c r="J278">
        <v>4</v>
      </c>
      <c r="K278">
        <v>178</v>
      </c>
      <c r="L278">
        <v>61</v>
      </c>
      <c r="M278">
        <v>2</v>
      </c>
      <c r="N278">
        <v>1995</v>
      </c>
      <c r="O278">
        <v>0.27</v>
      </c>
      <c r="P278">
        <v>2.4700000000000002</v>
      </c>
      <c r="Q278">
        <v>1.4999999999999999E-2</v>
      </c>
      <c r="R278">
        <v>65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>
      <c r="A279">
        <v>350.77268591337639</v>
      </c>
      <c r="B279">
        <v>49</v>
      </c>
      <c r="C279">
        <v>5.011038370191093</v>
      </c>
      <c r="D279">
        <v>408.48</v>
      </c>
      <c r="E279">
        <v>690.78838174273858</v>
      </c>
      <c r="F279">
        <v>159.84</v>
      </c>
      <c r="G279">
        <v>68.08</v>
      </c>
      <c r="H279">
        <v>6</v>
      </c>
      <c r="I279">
        <v>62</v>
      </c>
      <c r="J279">
        <v>5</v>
      </c>
      <c r="K279">
        <v>56</v>
      </c>
      <c r="L279">
        <v>48</v>
      </c>
      <c r="M279">
        <v>5</v>
      </c>
      <c r="N279">
        <v>1995</v>
      </c>
      <c r="O279">
        <v>0.27</v>
      </c>
      <c r="P279">
        <v>2.4700000000000002</v>
      </c>
      <c r="Q279">
        <v>1.4999999999999999E-2</v>
      </c>
      <c r="R279">
        <v>65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>
      <c r="A280">
        <v>375.30842852578928</v>
      </c>
      <c r="B280">
        <v>52.5</v>
      </c>
      <c r="C280">
        <v>5.0041123803438579</v>
      </c>
      <c r="D280">
        <v>444.52800000000002</v>
      </c>
      <c r="E280">
        <v>690.98755186721996</v>
      </c>
      <c r="F280">
        <v>222.26400000000001</v>
      </c>
      <c r="G280">
        <v>72.846000000000004</v>
      </c>
      <c r="H280">
        <v>22</v>
      </c>
      <c r="I280">
        <v>60</v>
      </c>
      <c r="J280">
        <v>3</v>
      </c>
      <c r="K280">
        <v>137</v>
      </c>
      <c r="L280">
        <v>53</v>
      </c>
      <c r="M280">
        <v>2</v>
      </c>
      <c r="N280">
        <v>1995</v>
      </c>
      <c r="O280">
        <v>0.27</v>
      </c>
      <c r="P280">
        <v>2.4700000000000002</v>
      </c>
      <c r="Q280">
        <v>1.4999999999999999E-2</v>
      </c>
      <c r="R280">
        <v>65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>
      <c r="A281">
        <v>399.9460116548729</v>
      </c>
      <c r="B281">
        <v>56</v>
      </c>
      <c r="C281">
        <v>4.9993251456859111</v>
      </c>
      <c r="D281">
        <v>450.96287999999998</v>
      </c>
      <c r="E281">
        <v>689.19502074688796</v>
      </c>
      <c r="F281">
        <v>183.51888</v>
      </c>
      <c r="G281">
        <v>77.590080000000015</v>
      </c>
      <c r="H281">
        <v>8</v>
      </c>
      <c r="I281">
        <v>52</v>
      </c>
      <c r="J281">
        <v>5</v>
      </c>
      <c r="K281">
        <v>61</v>
      </c>
      <c r="L281">
        <v>59</v>
      </c>
      <c r="M281">
        <v>12</v>
      </c>
      <c r="N281">
        <v>1995</v>
      </c>
      <c r="O281">
        <v>0.27</v>
      </c>
      <c r="P281">
        <v>2.4700000000000002</v>
      </c>
      <c r="Q281">
        <v>1.4999999999999999E-2</v>
      </c>
      <c r="R281">
        <v>65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>
      <c r="A282">
        <v>399.89542418578981</v>
      </c>
      <c r="B282">
        <v>56.000000000000007</v>
      </c>
      <c r="C282">
        <v>4.9986928023223722</v>
      </c>
      <c r="D282">
        <v>469.07040000000012</v>
      </c>
      <c r="E282">
        <v>690.82489626556026</v>
      </c>
      <c r="F282">
        <v>182.09520000000001</v>
      </c>
      <c r="G282">
        <v>77.614800000000017</v>
      </c>
      <c r="H282">
        <v>8</v>
      </c>
      <c r="I282">
        <v>50</v>
      </c>
      <c r="J282">
        <v>5</v>
      </c>
      <c r="K282">
        <v>249</v>
      </c>
      <c r="L282">
        <v>63</v>
      </c>
      <c r="M282">
        <v>27</v>
      </c>
      <c r="N282">
        <v>1995</v>
      </c>
      <c r="O282">
        <v>0.27</v>
      </c>
      <c r="P282">
        <v>2.4700000000000002</v>
      </c>
      <c r="Q282">
        <v>1.4999999999999999E-2</v>
      </c>
      <c r="R282">
        <v>65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>
      <c r="A283">
        <v>399.50458058132187</v>
      </c>
      <c r="B283">
        <v>56</v>
      </c>
      <c r="C283">
        <v>4.993807257266524</v>
      </c>
      <c r="D283">
        <v>461.77668000000011</v>
      </c>
      <c r="E283">
        <v>691.11203319502079</v>
      </c>
      <c r="F283">
        <v>179.49714</v>
      </c>
      <c r="G283">
        <v>77.545020000000008</v>
      </c>
      <c r="H283">
        <v>8</v>
      </c>
      <c r="I283">
        <v>49</v>
      </c>
      <c r="J283">
        <v>5</v>
      </c>
      <c r="K283">
        <v>60</v>
      </c>
      <c r="L283">
        <v>63</v>
      </c>
      <c r="M283">
        <v>34</v>
      </c>
      <c r="N283">
        <v>1995</v>
      </c>
      <c r="O283">
        <v>0.27</v>
      </c>
      <c r="P283">
        <v>2.4700000000000002</v>
      </c>
      <c r="Q283">
        <v>1.4999999999999999E-2</v>
      </c>
      <c r="R283">
        <v>65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>
      <c r="A284">
        <v>399.43487291156242</v>
      </c>
      <c r="B284">
        <v>56.000000000000007</v>
      </c>
      <c r="C284">
        <v>4.9929359113945289</v>
      </c>
      <c r="D284">
        <v>445.32936000000012</v>
      </c>
      <c r="E284">
        <v>690.82429887531998</v>
      </c>
      <c r="F284">
        <v>181.03175999999999</v>
      </c>
      <c r="G284">
        <v>77.525400000000005</v>
      </c>
      <c r="H284">
        <v>8</v>
      </c>
      <c r="I284">
        <v>65</v>
      </c>
      <c r="J284">
        <v>4</v>
      </c>
      <c r="K284">
        <v>123</v>
      </c>
      <c r="L284">
        <v>43</v>
      </c>
      <c r="M284">
        <v>3</v>
      </c>
      <c r="N284">
        <v>1995</v>
      </c>
      <c r="O284">
        <v>0.27</v>
      </c>
      <c r="P284">
        <v>2.4700000000000002</v>
      </c>
      <c r="Q284">
        <v>1.4999999999999999E-2</v>
      </c>
      <c r="R284">
        <v>65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>
      <c r="A285">
        <v>399.42706209064562</v>
      </c>
      <c r="B285">
        <v>56</v>
      </c>
      <c r="C285">
        <v>4.9928382761330701</v>
      </c>
      <c r="D285">
        <v>477.608</v>
      </c>
      <c r="E285">
        <v>689.46893483059</v>
      </c>
      <c r="F285">
        <v>184.4152</v>
      </c>
      <c r="G285">
        <v>77.495200000000011</v>
      </c>
      <c r="H285">
        <v>53</v>
      </c>
      <c r="I285">
        <v>54</v>
      </c>
      <c r="J285">
        <v>12</v>
      </c>
      <c r="K285">
        <v>148</v>
      </c>
      <c r="L285">
        <v>58</v>
      </c>
      <c r="M285">
        <v>28</v>
      </c>
      <c r="N285">
        <v>1995</v>
      </c>
      <c r="O285">
        <v>0.27</v>
      </c>
      <c r="P285">
        <v>2.4700000000000002</v>
      </c>
      <c r="Q285">
        <v>1.4999999999999999E-2</v>
      </c>
      <c r="R285">
        <v>65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>
      <c r="A286">
        <v>408.21693270839421</v>
      </c>
      <c r="B286">
        <v>57.235294117647072</v>
      </c>
      <c r="C286">
        <v>4.9925811913976252</v>
      </c>
      <c r="D286">
        <v>496.0086</v>
      </c>
      <c r="E286">
        <v>689.57482766516853</v>
      </c>
      <c r="F286">
        <v>183.56132400000001</v>
      </c>
      <c r="G286">
        <v>79.202864999999989</v>
      </c>
      <c r="H286">
        <v>9</v>
      </c>
      <c r="I286">
        <v>49</v>
      </c>
      <c r="J286">
        <v>4</v>
      </c>
      <c r="K286">
        <v>312</v>
      </c>
      <c r="L286">
        <v>63</v>
      </c>
      <c r="M286">
        <v>31</v>
      </c>
      <c r="N286">
        <v>1995</v>
      </c>
      <c r="O286">
        <v>0.27</v>
      </c>
      <c r="P286">
        <v>2.4700000000000002</v>
      </c>
      <c r="Q286">
        <v>1.4999999999999999E-2</v>
      </c>
      <c r="R286">
        <v>65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>
      <c r="A287">
        <v>374.24728233694862</v>
      </c>
      <c r="B287">
        <v>52.5</v>
      </c>
      <c r="C287">
        <v>4.9899637644926491</v>
      </c>
      <c r="D287">
        <v>445.00639999999999</v>
      </c>
      <c r="E287">
        <v>691.65145228215772</v>
      </c>
      <c r="F287">
        <v>222.50319999999999</v>
      </c>
      <c r="G287">
        <v>72.653199999999998</v>
      </c>
      <c r="H287">
        <v>22</v>
      </c>
      <c r="I287">
        <v>45</v>
      </c>
      <c r="J287">
        <v>4</v>
      </c>
      <c r="K287">
        <v>178</v>
      </c>
      <c r="L287">
        <v>59</v>
      </c>
      <c r="M287">
        <v>2</v>
      </c>
      <c r="N287">
        <v>1995</v>
      </c>
      <c r="O287">
        <v>0.27</v>
      </c>
      <c r="P287">
        <v>2.4700000000000002</v>
      </c>
      <c r="Q287">
        <v>1.4999999999999999E-2</v>
      </c>
      <c r="R287">
        <v>65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>
      <c r="A288">
        <v>399.0851322846126</v>
      </c>
      <c r="B288">
        <v>56.000000000000007</v>
      </c>
      <c r="C288">
        <v>4.9885641535576566</v>
      </c>
      <c r="D288">
        <v>473.41152</v>
      </c>
      <c r="E288">
        <v>682.81493775933609</v>
      </c>
      <c r="F288">
        <v>183.21696</v>
      </c>
      <c r="G288">
        <v>77.288160000000005</v>
      </c>
      <c r="H288">
        <v>8</v>
      </c>
      <c r="I288">
        <v>52</v>
      </c>
      <c r="J288">
        <v>5</v>
      </c>
      <c r="K288">
        <v>278</v>
      </c>
      <c r="L288">
        <v>61</v>
      </c>
      <c r="M288">
        <v>8</v>
      </c>
      <c r="N288">
        <v>1995</v>
      </c>
      <c r="O288">
        <v>0.27</v>
      </c>
      <c r="P288">
        <v>2.4700000000000002</v>
      </c>
      <c r="Q288">
        <v>1.4999999999999999E-2</v>
      </c>
      <c r="R288">
        <v>65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>
      <c r="A289">
        <v>398.62168554296443</v>
      </c>
      <c r="B289">
        <v>56</v>
      </c>
      <c r="C289">
        <v>4.9827710692870557</v>
      </c>
      <c r="D289">
        <v>448.58427</v>
      </c>
      <c r="E289">
        <v>687.11701244813287</v>
      </c>
      <c r="F289">
        <v>182.18427</v>
      </c>
      <c r="G289">
        <v>77.289270000000002</v>
      </c>
      <c r="H289">
        <v>9</v>
      </c>
      <c r="I289">
        <v>66</v>
      </c>
      <c r="J289">
        <v>3</v>
      </c>
      <c r="K289">
        <v>131</v>
      </c>
      <c r="L289">
        <v>47</v>
      </c>
      <c r="M289">
        <v>2</v>
      </c>
      <c r="N289">
        <v>1995</v>
      </c>
      <c r="O289">
        <v>0.27</v>
      </c>
      <c r="P289">
        <v>2.4700000000000002</v>
      </c>
      <c r="Q289">
        <v>1.4999999999999999E-2</v>
      </c>
      <c r="R289">
        <v>65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>
      <c r="A290">
        <v>397.47455513294352</v>
      </c>
      <c r="B290">
        <v>56</v>
      </c>
      <c r="C290">
        <v>4.9684319391617944</v>
      </c>
      <c r="D290">
        <v>494.80243200000001</v>
      </c>
      <c r="E290">
        <v>684.6340248962656</v>
      </c>
      <c r="F290">
        <v>181.05552</v>
      </c>
      <c r="G290">
        <v>77.014560000000003</v>
      </c>
      <c r="H290">
        <v>8</v>
      </c>
      <c r="I290">
        <v>65</v>
      </c>
      <c r="J290">
        <v>4</v>
      </c>
      <c r="K290">
        <v>175</v>
      </c>
      <c r="L290">
        <v>48</v>
      </c>
      <c r="M290">
        <v>3</v>
      </c>
      <c r="N290">
        <v>1995</v>
      </c>
      <c r="O290">
        <v>0.27</v>
      </c>
      <c r="P290">
        <v>2.4700000000000002</v>
      </c>
      <c r="Q290">
        <v>1.4999999999999999E-2</v>
      </c>
      <c r="R290">
        <v>65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>
      <c r="A291">
        <v>412.15998530627502</v>
      </c>
      <c r="B291">
        <v>58.074074074074083</v>
      </c>
      <c r="C291">
        <v>4.9679998228881352</v>
      </c>
      <c r="D291">
        <v>464.18952000000007</v>
      </c>
      <c r="E291">
        <v>689.18092607642325</v>
      </c>
      <c r="F291">
        <v>189.98514</v>
      </c>
      <c r="G291">
        <v>79.959299999999999</v>
      </c>
      <c r="H291">
        <v>8</v>
      </c>
      <c r="I291">
        <v>53</v>
      </c>
      <c r="J291">
        <v>5</v>
      </c>
      <c r="K291">
        <v>154</v>
      </c>
      <c r="L291">
        <v>59</v>
      </c>
      <c r="M291">
        <v>27</v>
      </c>
      <c r="N291">
        <v>1995</v>
      </c>
      <c r="O291">
        <v>0.27</v>
      </c>
      <c r="P291">
        <v>2.4700000000000002</v>
      </c>
      <c r="Q291">
        <v>1.4999999999999999E-2</v>
      </c>
      <c r="R291">
        <v>65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>
      <c r="A292">
        <v>397.1400371663612</v>
      </c>
      <c r="B292">
        <v>56</v>
      </c>
      <c r="C292">
        <v>4.9642504645795151</v>
      </c>
      <c r="D292">
        <v>472.44040000000001</v>
      </c>
      <c r="E292">
        <v>677.64120955141811</v>
      </c>
      <c r="F292">
        <v>182.73140000000001</v>
      </c>
      <c r="G292">
        <v>76.802600000000012</v>
      </c>
      <c r="H292">
        <v>8</v>
      </c>
      <c r="I292">
        <v>52</v>
      </c>
      <c r="J292">
        <v>5</v>
      </c>
      <c r="K292">
        <v>47</v>
      </c>
      <c r="L292">
        <v>61</v>
      </c>
      <c r="M292">
        <v>2</v>
      </c>
      <c r="N292">
        <v>1995</v>
      </c>
      <c r="O292">
        <v>0.27</v>
      </c>
      <c r="P292">
        <v>2.4700000000000002</v>
      </c>
      <c r="Q292">
        <v>1.4999999999999999E-2</v>
      </c>
      <c r="R292">
        <v>65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>
      <c r="A293">
        <v>397.10751266131348</v>
      </c>
      <c r="B293">
        <v>56</v>
      </c>
      <c r="C293">
        <v>4.9638439082664192</v>
      </c>
      <c r="D293">
        <v>451.51566000000003</v>
      </c>
      <c r="E293">
        <v>691.792531120332</v>
      </c>
      <c r="F293">
        <v>184.07166000000001</v>
      </c>
      <c r="G293">
        <v>77.094059999999999</v>
      </c>
      <c r="H293">
        <v>8</v>
      </c>
      <c r="I293">
        <v>51</v>
      </c>
      <c r="J293">
        <v>5</v>
      </c>
      <c r="K293">
        <v>263</v>
      </c>
      <c r="L293">
        <v>62</v>
      </c>
      <c r="M293">
        <v>21</v>
      </c>
      <c r="N293">
        <v>1995</v>
      </c>
      <c r="O293">
        <v>0.27</v>
      </c>
      <c r="P293">
        <v>2.4700000000000002</v>
      </c>
      <c r="Q293">
        <v>1.4999999999999999E-2</v>
      </c>
      <c r="R293">
        <v>65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>
      <c r="A294">
        <v>371.94015816998552</v>
      </c>
      <c r="B294">
        <v>52.500000000000007</v>
      </c>
      <c r="C294">
        <v>4.9592021089331393</v>
      </c>
      <c r="D294">
        <v>421.82639999999998</v>
      </c>
      <c r="E294">
        <v>690.18423236514536</v>
      </c>
      <c r="F294">
        <v>222.0264</v>
      </c>
      <c r="G294">
        <v>72.176400000000001</v>
      </c>
      <c r="H294">
        <v>22</v>
      </c>
      <c r="I294">
        <v>60</v>
      </c>
      <c r="J294">
        <v>3</v>
      </c>
      <c r="K294">
        <v>134</v>
      </c>
      <c r="L294">
        <v>49</v>
      </c>
      <c r="M294">
        <v>2</v>
      </c>
      <c r="N294">
        <v>1995</v>
      </c>
      <c r="O294">
        <v>0.27</v>
      </c>
      <c r="P294">
        <v>2.4700000000000002</v>
      </c>
      <c r="Q294">
        <v>1.4999999999999999E-2</v>
      </c>
      <c r="R294">
        <v>65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>
      <c r="A295">
        <v>396.59126826514222</v>
      </c>
      <c r="B295">
        <v>56</v>
      </c>
      <c r="C295">
        <v>4.9573908533142772</v>
      </c>
      <c r="D295">
        <v>474.7824</v>
      </c>
      <c r="E295">
        <v>688.50710923273402</v>
      </c>
      <c r="F295">
        <v>183.9024</v>
      </c>
      <c r="G295">
        <v>76.924800000000005</v>
      </c>
      <c r="H295">
        <v>8</v>
      </c>
      <c r="I295">
        <v>51</v>
      </c>
      <c r="J295">
        <v>5</v>
      </c>
      <c r="K295">
        <v>42</v>
      </c>
      <c r="L295">
        <v>62</v>
      </c>
      <c r="M295">
        <v>21</v>
      </c>
      <c r="N295">
        <v>1995</v>
      </c>
      <c r="O295">
        <v>0.27</v>
      </c>
      <c r="P295">
        <v>2.4700000000000002</v>
      </c>
      <c r="Q295">
        <v>1.4999999999999999E-2</v>
      </c>
      <c r="R295">
        <v>65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>
      <c r="A296">
        <v>396.54177407633568</v>
      </c>
      <c r="B296">
        <v>56</v>
      </c>
      <c r="C296">
        <v>4.9567721759541969</v>
      </c>
      <c r="D296">
        <v>471.27823999999998</v>
      </c>
      <c r="E296">
        <v>689.88547717842334</v>
      </c>
      <c r="F296">
        <v>182.35911999999999</v>
      </c>
      <c r="G296">
        <v>76.944159999999997</v>
      </c>
      <c r="H296">
        <v>9</v>
      </c>
      <c r="I296">
        <v>48</v>
      </c>
      <c r="J296">
        <v>4</v>
      </c>
      <c r="K296">
        <v>1</v>
      </c>
      <c r="L296">
        <v>62</v>
      </c>
      <c r="M296">
        <v>4</v>
      </c>
      <c r="N296">
        <v>1995</v>
      </c>
      <c r="O296">
        <v>0.27</v>
      </c>
      <c r="P296">
        <v>2.4700000000000002</v>
      </c>
      <c r="Q296">
        <v>1.4999999999999999E-2</v>
      </c>
      <c r="R296">
        <v>65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>
      <c r="A297">
        <v>396.50407316219457</v>
      </c>
      <c r="B297">
        <v>56</v>
      </c>
      <c r="C297">
        <v>4.956300914527433</v>
      </c>
      <c r="D297">
        <v>510.48</v>
      </c>
      <c r="E297">
        <v>689.88335464107104</v>
      </c>
      <c r="F297">
        <v>182.8656</v>
      </c>
      <c r="G297">
        <v>76.936800000000005</v>
      </c>
      <c r="H297">
        <v>8</v>
      </c>
      <c r="I297">
        <v>52</v>
      </c>
      <c r="J297">
        <v>5</v>
      </c>
      <c r="K297">
        <v>129</v>
      </c>
      <c r="L297">
        <v>61</v>
      </c>
      <c r="M297">
        <v>2</v>
      </c>
      <c r="N297">
        <v>1995</v>
      </c>
      <c r="O297">
        <v>0.27</v>
      </c>
      <c r="P297">
        <v>2.4700000000000002</v>
      </c>
      <c r="Q297">
        <v>1.4999999999999999E-2</v>
      </c>
      <c r="R297">
        <v>65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>
      <c r="A298">
        <v>396.48601710253331</v>
      </c>
      <c r="B298">
        <v>56</v>
      </c>
      <c r="C298">
        <v>4.9560752137816664</v>
      </c>
      <c r="D298">
        <v>472.44040000000001</v>
      </c>
      <c r="E298">
        <v>683.66193664468994</v>
      </c>
      <c r="F298">
        <v>182.73140000000001</v>
      </c>
      <c r="G298">
        <v>76.802600000000012</v>
      </c>
      <c r="H298">
        <v>8</v>
      </c>
      <c r="I298">
        <v>52</v>
      </c>
      <c r="J298">
        <v>5</v>
      </c>
      <c r="K298">
        <v>180</v>
      </c>
      <c r="L298">
        <v>61</v>
      </c>
      <c r="M298">
        <v>2</v>
      </c>
      <c r="N298">
        <v>1995</v>
      </c>
      <c r="O298">
        <v>0.27</v>
      </c>
      <c r="P298">
        <v>2.4700000000000002</v>
      </c>
      <c r="Q298">
        <v>1.4999999999999999E-2</v>
      </c>
      <c r="R298">
        <v>65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>
      <c r="A299">
        <v>396.03750200591259</v>
      </c>
      <c r="B299">
        <v>56.000000000000007</v>
      </c>
      <c r="C299">
        <v>4.9504687750739071</v>
      </c>
      <c r="D299">
        <v>435.77604000000002</v>
      </c>
      <c r="E299">
        <v>689.8572614107884</v>
      </c>
      <c r="F299">
        <v>178.82004000000001</v>
      </c>
      <c r="G299">
        <v>76.845720000000014</v>
      </c>
      <c r="H299">
        <v>8</v>
      </c>
      <c r="I299">
        <v>49</v>
      </c>
      <c r="J299">
        <v>5</v>
      </c>
      <c r="K299">
        <v>203</v>
      </c>
      <c r="L299">
        <v>63</v>
      </c>
      <c r="M299">
        <v>26</v>
      </c>
      <c r="N299">
        <v>1995</v>
      </c>
      <c r="O299">
        <v>0.27</v>
      </c>
      <c r="P299">
        <v>2.4700000000000002</v>
      </c>
      <c r="Q299">
        <v>1.4999999999999999E-2</v>
      </c>
      <c r="R299">
        <v>65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>
      <c r="A300">
        <v>395.3887874510724</v>
      </c>
      <c r="B300">
        <v>56</v>
      </c>
      <c r="C300">
        <v>4.942359843138405</v>
      </c>
      <c r="D300">
        <v>450.37439999999998</v>
      </c>
      <c r="E300">
        <v>688.98631776573757</v>
      </c>
      <c r="F300">
        <v>182.93039999999999</v>
      </c>
      <c r="G300">
        <v>76.701599999999999</v>
      </c>
      <c r="H300">
        <v>8</v>
      </c>
      <c r="I300">
        <v>51</v>
      </c>
      <c r="J300">
        <v>5</v>
      </c>
      <c r="K300">
        <v>231</v>
      </c>
      <c r="L300">
        <v>62</v>
      </c>
      <c r="M300">
        <v>2</v>
      </c>
      <c r="N300">
        <v>1995</v>
      </c>
      <c r="O300">
        <v>0.27</v>
      </c>
      <c r="P300">
        <v>2.4700000000000002</v>
      </c>
      <c r="Q300">
        <v>1.4999999999999999E-2</v>
      </c>
      <c r="R300">
        <v>65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>
      <c r="A301">
        <v>370.67637503018938</v>
      </c>
      <c r="B301">
        <v>52.5</v>
      </c>
      <c r="C301">
        <v>4.9423516670691914</v>
      </c>
      <c r="D301">
        <v>448.88400000000001</v>
      </c>
      <c r="E301">
        <v>690.02343381681806</v>
      </c>
      <c r="F301">
        <v>211.78800000000001</v>
      </c>
      <c r="G301">
        <v>71.927999999999997</v>
      </c>
      <c r="H301">
        <v>22</v>
      </c>
      <c r="I301">
        <v>56</v>
      </c>
      <c r="J301">
        <v>3</v>
      </c>
      <c r="K301">
        <v>327</v>
      </c>
      <c r="L301">
        <v>57</v>
      </c>
      <c r="M301">
        <v>30</v>
      </c>
      <c r="N301">
        <v>1995</v>
      </c>
      <c r="O301">
        <v>0.27</v>
      </c>
      <c r="P301">
        <v>2.4700000000000002</v>
      </c>
      <c r="Q301">
        <v>1.4999999999999999E-2</v>
      </c>
      <c r="R301">
        <v>65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>
      <c r="A302">
        <v>395.11477420372091</v>
      </c>
      <c r="B302">
        <v>56</v>
      </c>
      <c r="C302">
        <v>4.9389346775465119</v>
      </c>
      <c r="D302">
        <v>460.90199999999999</v>
      </c>
      <c r="E302">
        <v>691.4107883817428</v>
      </c>
      <c r="F302">
        <v>179.0598</v>
      </c>
      <c r="G302">
        <v>76.699200000000005</v>
      </c>
      <c r="H302">
        <v>8</v>
      </c>
      <c r="I302">
        <v>49</v>
      </c>
      <c r="J302">
        <v>5</v>
      </c>
      <c r="K302">
        <v>252</v>
      </c>
      <c r="L302">
        <v>60</v>
      </c>
      <c r="M302">
        <v>30</v>
      </c>
      <c r="N302">
        <v>1995</v>
      </c>
      <c r="O302">
        <v>0.27</v>
      </c>
      <c r="P302">
        <v>2.4700000000000002</v>
      </c>
      <c r="Q302">
        <v>1.4999999999999999E-2</v>
      </c>
      <c r="R302">
        <v>65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>
      <c r="A303">
        <v>370.38874904052358</v>
      </c>
      <c r="B303">
        <v>52.5</v>
      </c>
      <c r="C303">
        <v>4.9385166538736476</v>
      </c>
      <c r="D303">
        <v>421.56</v>
      </c>
      <c r="E303">
        <v>691.95020746887974</v>
      </c>
      <c r="F303">
        <v>221.76</v>
      </c>
      <c r="G303">
        <v>71.91</v>
      </c>
      <c r="H303">
        <v>22</v>
      </c>
      <c r="I303">
        <v>60</v>
      </c>
      <c r="J303">
        <v>3</v>
      </c>
      <c r="K303">
        <v>130</v>
      </c>
      <c r="L303">
        <v>50</v>
      </c>
      <c r="M303">
        <v>2</v>
      </c>
      <c r="N303">
        <v>1995</v>
      </c>
      <c r="O303">
        <v>0.27</v>
      </c>
      <c r="P303">
        <v>2.4700000000000002</v>
      </c>
      <c r="Q303">
        <v>1.4999999999999999E-2</v>
      </c>
      <c r="R303">
        <v>65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>
      <c r="A304">
        <v>395.01850993452138</v>
      </c>
      <c r="B304">
        <v>56.000000000000007</v>
      </c>
      <c r="C304">
        <v>4.9377313741815163</v>
      </c>
      <c r="D304">
        <v>471.45146399999999</v>
      </c>
      <c r="E304">
        <v>690.04979253112037</v>
      </c>
      <c r="F304">
        <v>182.44573199999999</v>
      </c>
      <c r="G304">
        <v>76.652027999999987</v>
      </c>
      <c r="H304">
        <v>9</v>
      </c>
      <c r="I304">
        <v>48</v>
      </c>
      <c r="J304">
        <v>4</v>
      </c>
      <c r="K304">
        <v>331</v>
      </c>
      <c r="L304">
        <v>61</v>
      </c>
      <c r="M304">
        <v>9</v>
      </c>
      <c r="N304">
        <v>1995</v>
      </c>
      <c r="O304">
        <v>0.27</v>
      </c>
      <c r="P304">
        <v>2.4700000000000002</v>
      </c>
      <c r="Q304">
        <v>1.4999999999999999E-2</v>
      </c>
      <c r="R304">
        <v>65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>
      <c r="A305">
        <v>370.29319282026711</v>
      </c>
      <c r="B305">
        <v>52.5</v>
      </c>
      <c r="C305">
        <v>4.9372425709368946</v>
      </c>
      <c r="D305">
        <v>443.4</v>
      </c>
      <c r="E305">
        <v>689.83763572164298</v>
      </c>
      <c r="F305">
        <v>221.7</v>
      </c>
      <c r="G305">
        <v>71.849999999999994</v>
      </c>
      <c r="H305">
        <v>22</v>
      </c>
      <c r="I305">
        <v>60</v>
      </c>
      <c r="J305">
        <v>3</v>
      </c>
      <c r="K305">
        <v>181</v>
      </c>
      <c r="L305">
        <v>50</v>
      </c>
      <c r="M305">
        <v>2</v>
      </c>
      <c r="N305">
        <v>1995</v>
      </c>
      <c r="O305">
        <v>0.27</v>
      </c>
      <c r="P305">
        <v>2.4700000000000002</v>
      </c>
      <c r="Q305">
        <v>1.4999999999999999E-2</v>
      </c>
      <c r="R305">
        <v>65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>
      <c r="A306">
        <v>394.70643171569492</v>
      </c>
      <c r="B306">
        <v>56.000000000000007</v>
      </c>
      <c r="C306">
        <v>4.9338303964461856</v>
      </c>
      <c r="D306">
        <v>483.22199999999998</v>
      </c>
      <c r="E306">
        <v>691.35087160020748</v>
      </c>
      <c r="F306">
        <v>181.51092</v>
      </c>
      <c r="G306">
        <v>76.618679999999998</v>
      </c>
      <c r="H306">
        <v>6</v>
      </c>
      <c r="I306">
        <v>51</v>
      </c>
      <c r="J306">
        <v>7</v>
      </c>
      <c r="K306">
        <v>165</v>
      </c>
      <c r="L306">
        <v>61</v>
      </c>
      <c r="M306">
        <v>19</v>
      </c>
      <c r="N306">
        <v>1995</v>
      </c>
      <c r="O306">
        <v>0.27</v>
      </c>
      <c r="P306">
        <v>2.4700000000000002</v>
      </c>
      <c r="Q306">
        <v>1.4999999999999999E-2</v>
      </c>
      <c r="R306">
        <v>65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>
      <c r="A307">
        <v>394.62609485623932</v>
      </c>
      <c r="B307">
        <v>56.000000000000007</v>
      </c>
      <c r="C307">
        <v>4.9328261857029911</v>
      </c>
      <c r="D307">
        <v>474.15744000000001</v>
      </c>
      <c r="E307">
        <v>691.792531120332</v>
      </c>
      <c r="F307">
        <v>183.58992000000001</v>
      </c>
      <c r="G307">
        <v>76.612320000000011</v>
      </c>
      <c r="H307">
        <v>8</v>
      </c>
      <c r="I307">
        <v>51</v>
      </c>
      <c r="J307">
        <v>5</v>
      </c>
      <c r="K307">
        <v>242</v>
      </c>
      <c r="L307">
        <v>62</v>
      </c>
      <c r="M307">
        <v>18</v>
      </c>
      <c r="N307">
        <v>1995</v>
      </c>
      <c r="O307">
        <v>0.27</v>
      </c>
      <c r="P307">
        <v>2.4700000000000002</v>
      </c>
      <c r="Q307">
        <v>1.4999999999999999E-2</v>
      </c>
      <c r="R307">
        <v>65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>
      <c r="A308">
        <v>394.62609485623932</v>
      </c>
      <c r="B308">
        <v>56.000000000000007</v>
      </c>
      <c r="C308">
        <v>4.9328261857029911</v>
      </c>
      <c r="D308">
        <v>474.15744000000001</v>
      </c>
      <c r="E308">
        <v>691.792531120332</v>
      </c>
      <c r="F308">
        <v>183.58992000000001</v>
      </c>
      <c r="G308">
        <v>76.612320000000011</v>
      </c>
      <c r="H308">
        <v>8</v>
      </c>
      <c r="I308">
        <v>51</v>
      </c>
      <c r="J308">
        <v>5</v>
      </c>
      <c r="K308">
        <v>243</v>
      </c>
      <c r="L308">
        <v>62</v>
      </c>
      <c r="M308">
        <v>18</v>
      </c>
      <c r="N308">
        <v>1995</v>
      </c>
      <c r="O308">
        <v>0.27</v>
      </c>
      <c r="P308">
        <v>2.4700000000000002</v>
      </c>
      <c r="Q308">
        <v>1.4999999999999999E-2</v>
      </c>
      <c r="R308">
        <v>65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>
      <c r="A309">
        <v>369.83950473026431</v>
      </c>
      <c r="B309">
        <v>52.5</v>
      </c>
      <c r="C309">
        <v>4.9311933964035237</v>
      </c>
      <c r="D309">
        <v>415.61135999999999</v>
      </c>
      <c r="E309">
        <v>691.2099585062241</v>
      </c>
      <c r="F309">
        <v>219.14135999999999</v>
      </c>
      <c r="G309">
        <v>71.78886</v>
      </c>
      <c r="H309">
        <v>22</v>
      </c>
      <c r="I309">
        <v>59</v>
      </c>
      <c r="J309">
        <v>3</v>
      </c>
      <c r="K309">
        <v>132</v>
      </c>
      <c r="L309">
        <v>48</v>
      </c>
      <c r="M309">
        <v>2</v>
      </c>
      <c r="N309">
        <v>1995</v>
      </c>
      <c r="O309">
        <v>0.27</v>
      </c>
      <c r="P309">
        <v>2.4700000000000002</v>
      </c>
      <c r="Q309">
        <v>1.4999999999999999E-2</v>
      </c>
      <c r="R309">
        <v>65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>
      <c r="A310">
        <v>394.22244353490191</v>
      </c>
      <c r="B310">
        <v>56</v>
      </c>
      <c r="C310">
        <v>4.9277805441862741</v>
      </c>
      <c r="D310">
        <v>495.47519999999997</v>
      </c>
      <c r="E310">
        <v>687.86887966804989</v>
      </c>
      <c r="F310">
        <v>182.988</v>
      </c>
      <c r="G310">
        <v>76.451999999999998</v>
      </c>
      <c r="H310">
        <v>8</v>
      </c>
      <c r="I310">
        <v>51</v>
      </c>
      <c r="J310">
        <v>5</v>
      </c>
      <c r="K310">
        <v>176</v>
      </c>
      <c r="L310">
        <v>52</v>
      </c>
      <c r="M310">
        <v>4</v>
      </c>
      <c r="N310">
        <v>1995</v>
      </c>
      <c r="O310">
        <v>0.27</v>
      </c>
      <c r="P310">
        <v>2.4700000000000002</v>
      </c>
      <c r="Q310">
        <v>1.4999999999999999E-2</v>
      </c>
      <c r="R310">
        <v>65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>
      <c r="A311">
        <v>394.13807562100152</v>
      </c>
      <c r="B311">
        <v>56.000000000000007</v>
      </c>
      <c r="C311">
        <v>4.9267259452625174</v>
      </c>
      <c r="D311">
        <v>467.94636000000003</v>
      </c>
      <c r="E311">
        <v>678.19701728076859</v>
      </c>
      <c r="F311">
        <v>181.11366000000001</v>
      </c>
      <c r="G311">
        <v>76.23366</v>
      </c>
      <c r="H311">
        <v>8</v>
      </c>
      <c r="I311">
        <v>64</v>
      </c>
      <c r="J311">
        <v>4</v>
      </c>
      <c r="K311">
        <v>179</v>
      </c>
      <c r="L311">
        <v>49</v>
      </c>
      <c r="M311">
        <v>3</v>
      </c>
      <c r="N311">
        <v>1995</v>
      </c>
      <c r="O311">
        <v>0.27</v>
      </c>
      <c r="P311">
        <v>2.4700000000000002</v>
      </c>
      <c r="Q311">
        <v>1.4999999999999999E-2</v>
      </c>
      <c r="R311">
        <v>65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>
      <c r="A312">
        <v>394.12806311635148</v>
      </c>
      <c r="B312">
        <v>56</v>
      </c>
      <c r="C312">
        <v>4.9266007889543939</v>
      </c>
      <c r="D312">
        <v>448.91136</v>
      </c>
      <c r="E312">
        <v>687.38921161825726</v>
      </c>
      <c r="F312">
        <v>182.51136</v>
      </c>
      <c r="G312">
        <v>76.42367999999999</v>
      </c>
      <c r="H312">
        <v>9</v>
      </c>
      <c r="I312">
        <v>64</v>
      </c>
      <c r="J312">
        <v>3</v>
      </c>
      <c r="K312">
        <v>132</v>
      </c>
      <c r="L312">
        <v>49</v>
      </c>
      <c r="M312">
        <v>2</v>
      </c>
      <c r="N312">
        <v>1995</v>
      </c>
      <c r="O312">
        <v>0.27</v>
      </c>
      <c r="P312">
        <v>2.4700000000000002</v>
      </c>
      <c r="Q312">
        <v>1.4999999999999999E-2</v>
      </c>
      <c r="R312">
        <v>65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>
      <c r="A313">
        <v>393.60449099794511</v>
      </c>
      <c r="B313">
        <v>56</v>
      </c>
      <c r="C313">
        <v>4.9200561374743144</v>
      </c>
      <c r="D313">
        <v>488.93279999999999</v>
      </c>
      <c r="E313">
        <v>691.71644145169842</v>
      </c>
      <c r="F313">
        <v>180.36760000000001</v>
      </c>
      <c r="G313">
        <v>76.412399999999991</v>
      </c>
      <c r="H313">
        <v>9</v>
      </c>
      <c r="I313">
        <v>47</v>
      </c>
      <c r="J313">
        <v>4</v>
      </c>
      <c r="K313">
        <v>327</v>
      </c>
      <c r="L313">
        <v>63</v>
      </c>
      <c r="M313">
        <v>26</v>
      </c>
      <c r="N313">
        <v>1995</v>
      </c>
      <c r="O313">
        <v>0.27</v>
      </c>
      <c r="P313">
        <v>2.4700000000000002</v>
      </c>
      <c r="Q313">
        <v>1.4999999999999999E-2</v>
      </c>
      <c r="R313">
        <v>65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>
      <c r="A314">
        <v>369.00361662931999</v>
      </c>
      <c r="B314">
        <v>52.5</v>
      </c>
      <c r="C314">
        <v>4.9200482217242669</v>
      </c>
      <c r="D314">
        <v>587.745</v>
      </c>
      <c r="E314">
        <v>686.75465305648572</v>
      </c>
      <c r="F314">
        <v>208.458</v>
      </c>
      <c r="G314">
        <v>71.539500000000004</v>
      </c>
      <c r="H314">
        <v>22</v>
      </c>
      <c r="I314">
        <v>55</v>
      </c>
      <c r="J314">
        <v>3</v>
      </c>
      <c r="K314">
        <v>148</v>
      </c>
      <c r="L314">
        <v>58</v>
      </c>
      <c r="M314">
        <v>30</v>
      </c>
      <c r="N314">
        <v>1995</v>
      </c>
      <c r="O314">
        <v>0.27</v>
      </c>
      <c r="P314">
        <v>2.4700000000000002</v>
      </c>
      <c r="Q314">
        <v>1.4999999999999999E-2</v>
      </c>
      <c r="R314">
        <v>65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>
      <c r="A315">
        <v>393.18323735248163</v>
      </c>
      <c r="B315">
        <v>56</v>
      </c>
      <c r="C315">
        <v>4.9147904669060196</v>
      </c>
      <c r="D315">
        <v>442.91879999999998</v>
      </c>
      <c r="E315">
        <v>686.22406639004157</v>
      </c>
      <c r="F315">
        <v>180.71879999999999</v>
      </c>
      <c r="G315">
        <v>76.216200000000015</v>
      </c>
      <c r="H315">
        <v>8</v>
      </c>
      <c r="I315">
        <v>50</v>
      </c>
      <c r="J315">
        <v>5</v>
      </c>
      <c r="K315">
        <v>267</v>
      </c>
      <c r="L315">
        <v>63</v>
      </c>
      <c r="M315">
        <v>20</v>
      </c>
      <c r="N315">
        <v>1995</v>
      </c>
      <c r="O315">
        <v>0.27</v>
      </c>
      <c r="P315">
        <v>2.4700000000000002</v>
      </c>
      <c r="Q315">
        <v>1.4999999999999999E-2</v>
      </c>
      <c r="R315">
        <v>65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>
      <c r="A316">
        <v>392.23898889929319</v>
      </c>
      <c r="B316">
        <v>56.000000000000007</v>
      </c>
      <c r="C316">
        <v>4.9029873612411654</v>
      </c>
      <c r="D316">
        <v>494.53370999999999</v>
      </c>
      <c r="E316">
        <v>688.77510373443988</v>
      </c>
      <c r="F316">
        <v>182.67417</v>
      </c>
      <c r="G316">
        <v>76.086180000000013</v>
      </c>
      <c r="H316">
        <v>8</v>
      </c>
      <c r="I316">
        <v>51</v>
      </c>
      <c r="J316">
        <v>5</v>
      </c>
      <c r="K316">
        <v>99</v>
      </c>
      <c r="L316">
        <v>58</v>
      </c>
      <c r="M316">
        <v>9</v>
      </c>
      <c r="N316">
        <v>1995</v>
      </c>
      <c r="O316">
        <v>0.27</v>
      </c>
      <c r="P316">
        <v>2.4700000000000002</v>
      </c>
      <c r="Q316">
        <v>1.4999999999999999E-2</v>
      </c>
      <c r="R316">
        <v>65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>
      <c r="A317">
        <v>391.96165224798591</v>
      </c>
      <c r="B317">
        <v>56</v>
      </c>
      <c r="C317">
        <v>4.899520653099823</v>
      </c>
      <c r="D317">
        <v>490.84671999999989</v>
      </c>
      <c r="E317">
        <v>691.49015188299904</v>
      </c>
      <c r="F317">
        <v>179.68876800000001</v>
      </c>
      <c r="G317">
        <v>76.088768000000002</v>
      </c>
      <c r="H317">
        <v>6</v>
      </c>
      <c r="I317">
        <v>50</v>
      </c>
      <c r="J317">
        <v>7</v>
      </c>
      <c r="K317">
        <v>125</v>
      </c>
      <c r="L317">
        <v>56</v>
      </c>
      <c r="M317">
        <v>24</v>
      </c>
      <c r="N317">
        <v>1995</v>
      </c>
      <c r="O317">
        <v>0.27</v>
      </c>
      <c r="P317">
        <v>2.4700000000000002</v>
      </c>
      <c r="Q317">
        <v>1.4999999999999999E-2</v>
      </c>
      <c r="R317">
        <v>65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>
      <c r="A318">
        <v>391.64758173552559</v>
      </c>
      <c r="B318">
        <v>56.000000000000007</v>
      </c>
      <c r="C318">
        <v>4.8955947716940704</v>
      </c>
      <c r="D318">
        <v>453.7824</v>
      </c>
      <c r="E318">
        <v>691.12816246522675</v>
      </c>
      <c r="F318">
        <v>176.27520000000001</v>
      </c>
      <c r="G318">
        <v>76.020287999999994</v>
      </c>
      <c r="H318">
        <v>6</v>
      </c>
      <c r="I318">
        <v>57</v>
      </c>
      <c r="J318">
        <v>6</v>
      </c>
      <c r="K318">
        <v>85</v>
      </c>
      <c r="L318">
        <v>56</v>
      </c>
      <c r="M318">
        <v>26</v>
      </c>
      <c r="N318">
        <v>1995</v>
      </c>
      <c r="O318">
        <v>0.27</v>
      </c>
      <c r="P318">
        <v>2.4700000000000002</v>
      </c>
      <c r="Q318">
        <v>1.4999999999999999E-2</v>
      </c>
      <c r="R318">
        <v>65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>
      <c r="A319">
        <v>391.58696146139891</v>
      </c>
      <c r="B319">
        <v>56</v>
      </c>
      <c r="C319">
        <v>4.894837018267487</v>
      </c>
      <c r="D319">
        <v>507.81599999999997</v>
      </c>
      <c r="E319">
        <v>681.50207468879671</v>
      </c>
      <c r="F319">
        <v>182.78639999999999</v>
      </c>
      <c r="G319">
        <v>75.808800000000005</v>
      </c>
      <c r="H319">
        <v>8</v>
      </c>
      <c r="I319">
        <v>51</v>
      </c>
      <c r="J319">
        <v>5</v>
      </c>
      <c r="K319">
        <v>128</v>
      </c>
      <c r="L319">
        <v>62</v>
      </c>
      <c r="M319">
        <v>2</v>
      </c>
      <c r="N319">
        <v>1995</v>
      </c>
      <c r="O319">
        <v>0.27</v>
      </c>
      <c r="P319">
        <v>2.4700000000000002</v>
      </c>
      <c r="Q319">
        <v>1.4999999999999999E-2</v>
      </c>
      <c r="R319">
        <v>65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>
      <c r="A320">
        <v>391.46316415096828</v>
      </c>
      <c r="B320">
        <v>56</v>
      </c>
      <c r="C320">
        <v>4.8932895518871034</v>
      </c>
      <c r="D320">
        <v>486.976</v>
      </c>
      <c r="E320">
        <v>691.49015188299904</v>
      </c>
      <c r="F320">
        <v>179.59200000000001</v>
      </c>
      <c r="G320">
        <v>75.992000000000004</v>
      </c>
      <c r="H320">
        <v>6</v>
      </c>
      <c r="I320">
        <v>50</v>
      </c>
      <c r="J320">
        <v>7</v>
      </c>
      <c r="K320">
        <v>124</v>
      </c>
      <c r="L320">
        <v>56</v>
      </c>
      <c r="M320">
        <v>24</v>
      </c>
      <c r="N320">
        <v>1995</v>
      </c>
      <c r="O320">
        <v>0.27</v>
      </c>
      <c r="P320">
        <v>2.4700000000000002</v>
      </c>
      <c r="Q320">
        <v>1.4999999999999999E-2</v>
      </c>
      <c r="R320">
        <v>65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>
      <c r="A321">
        <v>391.27999032842769</v>
      </c>
      <c r="B321">
        <v>56</v>
      </c>
      <c r="C321">
        <v>4.8909998791053466</v>
      </c>
      <c r="D321">
        <v>470.77319999999997</v>
      </c>
      <c r="E321">
        <v>689.92531120331955</v>
      </c>
      <c r="F321">
        <v>182.10659999999999</v>
      </c>
      <c r="G321">
        <v>75.924000000000007</v>
      </c>
      <c r="H321">
        <v>9</v>
      </c>
      <c r="I321">
        <v>48</v>
      </c>
      <c r="J321">
        <v>4</v>
      </c>
      <c r="K321">
        <v>177</v>
      </c>
      <c r="L321">
        <v>60</v>
      </c>
      <c r="M321">
        <v>2</v>
      </c>
      <c r="N321">
        <v>1995</v>
      </c>
      <c r="O321">
        <v>0.27</v>
      </c>
      <c r="P321">
        <v>2.4700000000000002</v>
      </c>
      <c r="Q321">
        <v>1.4999999999999999E-2</v>
      </c>
      <c r="R321">
        <v>65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>
      <c r="A322">
        <v>391.08186306409408</v>
      </c>
      <c r="B322">
        <v>56</v>
      </c>
      <c r="C322">
        <v>4.8885232883011769</v>
      </c>
      <c r="D322">
        <v>524.4</v>
      </c>
      <c r="E322">
        <v>690.62240663900411</v>
      </c>
      <c r="F322">
        <v>176.364</v>
      </c>
      <c r="G322">
        <v>75.900000000000006</v>
      </c>
      <c r="H322">
        <v>7</v>
      </c>
      <c r="I322">
        <v>50</v>
      </c>
      <c r="J322">
        <v>6</v>
      </c>
      <c r="K322">
        <v>111</v>
      </c>
      <c r="L322">
        <v>60</v>
      </c>
      <c r="M322">
        <v>10</v>
      </c>
      <c r="N322">
        <v>1995</v>
      </c>
      <c r="O322">
        <v>0.27</v>
      </c>
      <c r="P322">
        <v>2.4700000000000002</v>
      </c>
      <c r="Q322">
        <v>1.4999999999999999E-2</v>
      </c>
      <c r="R322">
        <v>65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>
      <c r="A323">
        <v>390.82186943976802</v>
      </c>
      <c r="B323">
        <v>56.000000000000007</v>
      </c>
      <c r="C323">
        <v>4.8852733679971001</v>
      </c>
      <c r="D323">
        <v>448.46640000000002</v>
      </c>
      <c r="E323">
        <v>674.0514522821577</v>
      </c>
      <c r="F323">
        <v>182.06639999999999</v>
      </c>
      <c r="G323">
        <v>75.506399999999999</v>
      </c>
      <c r="H323">
        <v>9</v>
      </c>
      <c r="I323">
        <v>64</v>
      </c>
      <c r="J323">
        <v>3</v>
      </c>
      <c r="K323">
        <v>134</v>
      </c>
      <c r="L323">
        <v>49</v>
      </c>
      <c r="M323">
        <v>2</v>
      </c>
      <c r="N323">
        <v>1995</v>
      </c>
      <c r="O323">
        <v>0.27</v>
      </c>
      <c r="P323">
        <v>2.4700000000000002</v>
      </c>
      <c r="Q323">
        <v>1.4999999999999999E-2</v>
      </c>
      <c r="R323">
        <v>65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>
      <c r="A324">
        <v>366.09742660532072</v>
      </c>
      <c r="B324">
        <v>52.500000000000007</v>
      </c>
      <c r="C324">
        <v>4.881299021404276</v>
      </c>
      <c r="D324">
        <v>395.70760000000001</v>
      </c>
      <c r="E324">
        <v>691.00414937759331</v>
      </c>
      <c r="F324">
        <v>209.2276</v>
      </c>
      <c r="G324">
        <v>71.058499999999995</v>
      </c>
      <c r="H324">
        <v>22</v>
      </c>
      <c r="I324">
        <v>57</v>
      </c>
      <c r="J324">
        <v>3</v>
      </c>
      <c r="K324">
        <v>98</v>
      </c>
      <c r="L324">
        <v>55</v>
      </c>
      <c r="M324">
        <v>8</v>
      </c>
      <c r="N324">
        <v>1995</v>
      </c>
      <c r="O324">
        <v>0.27</v>
      </c>
      <c r="P324">
        <v>2.4700000000000002</v>
      </c>
      <c r="Q324">
        <v>1.4999999999999999E-2</v>
      </c>
      <c r="R324">
        <v>65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>
      <c r="A325">
        <v>390.38739009203738</v>
      </c>
      <c r="B325">
        <v>56.000000000000007</v>
      </c>
      <c r="C325">
        <v>4.8798423761504672</v>
      </c>
      <c r="D325">
        <v>479.05919999999998</v>
      </c>
      <c r="E325">
        <v>691.12816246522675</v>
      </c>
      <c r="F325">
        <v>176.55840000000001</v>
      </c>
      <c r="G325">
        <v>75.775679999999994</v>
      </c>
      <c r="H325">
        <v>6</v>
      </c>
      <c r="I325">
        <v>57</v>
      </c>
      <c r="J325">
        <v>6</v>
      </c>
      <c r="K325">
        <v>41</v>
      </c>
      <c r="L325">
        <v>56</v>
      </c>
      <c r="M325">
        <v>26</v>
      </c>
      <c r="N325">
        <v>1995</v>
      </c>
      <c r="O325">
        <v>0.27</v>
      </c>
      <c r="P325">
        <v>2.4700000000000002</v>
      </c>
      <c r="Q325">
        <v>1.4999999999999999E-2</v>
      </c>
      <c r="R325">
        <v>65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>
      <c r="A326">
        <v>398.47254758429318</v>
      </c>
      <c r="B326">
        <v>57.235294117647072</v>
      </c>
      <c r="C326">
        <v>4.8734052582251683</v>
      </c>
      <c r="D326">
        <v>474.48615000000001</v>
      </c>
      <c r="E326">
        <v>688.28131099549773</v>
      </c>
      <c r="F326">
        <v>175.24913100000001</v>
      </c>
      <c r="G326">
        <v>77.284935000000004</v>
      </c>
      <c r="H326">
        <v>6</v>
      </c>
      <c r="I326">
        <v>56</v>
      </c>
      <c r="J326">
        <v>6</v>
      </c>
      <c r="K326">
        <v>77</v>
      </c>
      <c r="L326">
        <v>57</v>
      </c>
      <c r="M326">
        <v>38</v>
      </c>
      <c r="N326">
        <v>1995</v>
      </c>
      <c r="O326">
        <v>0.27</v>
      </c>
      <c r="P326">
        <v>2.4700000000000002</v>
      </c>
      <c r="Q326">
        <v>1.4999999999999999E-2</v>
      </c>
      <c r="R326">
        <v>65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>
      <c r="A327">
        <v>398.27711361108499</v>
      </c>
      <c r="B327">
        <v>57.235294117647072</v>
      </c>
      <c r="C327">
        <v>4.8710150585528371</v>
      </c>
      <c r="D327">
        <v>474.38069999999999</v>
      </c>
      <c r="E327">
        <v>688.28131099549773</v>
      </c>
      <c r="F327">
        <v>175.213278</v>
      </c>
      <c r="G327">
        <v>77.247029999999995</v>
      </c>
      <c r="H327">
        <v>6</v>
      </c>
      <c r="I327">
        <v>56</v>
      </c>
      <c r="J327">
        <v>6</v>
      </c>
      <c r="K327">
        <v>312</v>
      </c>
      <c r="L327">
        <v>57</v>
      </c>
      <c r="M327">
        <v>38</v>
      </c>
      <c r="N327">
        <v>1995</v>
      </c>
      <c r="O327">
        <v>0.27</v>
      </c>
      <c r="P327">
        <v>2.4700000000000002</v>
      </c>
      <c r="Q327">
        <v>1.4999999999999999E-2</v>
      </c>
      <c r="R327">
        <v>65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>
      <c r="A328">
        <v>364.69498235251882</v>
      </c>
      <c r="B328">
        <v>52.5</v>
      </c>
      <c r="C328">
        <v>4.8625997647002501</v>
      </c>
      <c r="D328">
        <v>373.81026000000003</v>
      </c>
      <c r="E328">
        <v>690.69211618257259</v>
      </c>
      <c r="F328">
        <v>200.65026</v>
      </c>
      <c r="G328">
        <v>70.780259999999998</v>
      </c>
      <c r="H328">
        <v>22</v>
      </c>
      <c r="I328">
        <v>52</v>
      </c>
      <c r="J328">
        <v>3</v>
      </c>
      <c r="K328">
        <v>155</v>
      </c>
      <c r="L328">
        <v>61</v>
      </c>
      <c r="M328">
        <v>42</v>
      </c>
      <c r="N328">
        <v>1995</v>
      </c>
      <c r="O328">
        <v>0.27</v>
      </c>
      <c r="P328">
        <v>2.4700000000000002</v>
      </c>
      <c r="Q328">
        <v>1.4999999999999999E-2</v>
      </c>
      <c r="R328">
        <v>65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>
      <c r="A329">
        <v>388.2848684794684</v>
      </c>
      <c r="B329">
        <v>56</v>
      </c>
      <c r="C329">
        <v>4.8535608559933552</v>
      </c>
      <c r="D329">
        <v>401.09406000000001</v>
      </c>
      <c r="E329">
        <v>691.03568464730301</v>
      </c>
      <c r="F329">
        <v>167.99405999999999</v>
      </c>
      <c r="G329">
        <v>75.365669999999994</v>
      </c>
      <c r="H329">
        <v>9</v>
      </c>
      <c r="I329">
        <v>56</v>
      </c>
      <c r="J329">
        <v>3</v>
      </c>
      <c r="K329">
        <v>155</v>
      </c>
      <c r="L329">
        <v>57</v>
      </c>
      <c r="M329">
        <v>47</v>
      </c>
      <c r="N329">
        <v>1995</v>
      </c>
      <c r="O329">
        <v>0.27</v>
      </c>
      <c r="P329">
        <v>2.4700000000000002</v>
      </c>
      <c r="Q329">
        <v>1.4999999999999999E-2</v>
      </c>
      <c r="R329">
        <v>65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>
      <c r="A330">
        <v>388.08284727452701</v>
      </c>
      <c r="B330">
        <v>56.000000000000007</v>
      </c>
      <c r="C330">
        <v>4.8510355909315868</v>
      </c>
      <c r="D330">
        <v>423.76580999999999</v>
      </c>
      <c r="E330">
        <v>691.91701244813282</v>
      </c>
      <c r="F330">
        <v>174.01580999999999</v>
      </c>
      <c r="G330">
        <v>75.344580000000008</v>
      </c>
      <c r="H330">
        <v>9</v>
      </c>
      <c r="I330">
        <v>45</v>
      </c>
      <c r="J330">
        <v>4</v>
      </c>
      <c r="K330">
        <v>62</v>
      </c>
      <c r="L330">
        <v>62</v>
      </c>
      <c r="M330">
        <v>27</v>
      </c>
      <c r="N330">
        <v>1995</v>
      </c>
      <c r="O330">
        <v>0.27</v>
      </c>
      <c r="P330">
        <v>2.4700000000000002</v>
      </c>
      <c r="Q330">
        <v>1.4999999999999999E-2</v>
      </c>
      <c r="R330">
        <v>65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>
      <c r="A331">
        <v>387.92176359382552</v>
      </c>
      <c r="B331">
        <v>56</v>
      </c>
      <c r="C331">
        <v>4.849022044922819</v>
      </c>
      <c r="D331">
        <v>426.88170000000002</v>
      </c>
      <c r="E331">
        <v>692.11618257261421</v>
      </c>
      <c r="F331">
        <v>175.16970000000001</v>
      </c>
      <c r="G331">
        <v>75.317400000000006</v>
      </c>
      <c r="H331">
        <v>8</v>
      </c>
      <c r="I331">
        <v>48</v>
      </c>
      <c r="J331">
        <v>5</v>
      </c>
      <c r="K331">
        <v>264</v>
      </c>
      <c r="L331">
        <v>60</v>
      </c>
      <c r="M331">
        <v>25</v>
      </c>
      <c r="N331">
        <v>1995</v>
      </c>
      <c r="O331">
        <v>0.27</v>
      </c>
      <c r="P331">
        <v>2.4700000000000002</v>
      </c>
      <c r="Q331">
        <v>1.4999999999999999E-2</v>
      </c>
      <c r="R331">
        <v>65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>
      <c r="A332">
        <v>387.90252428528851</v>
      </c>
      <c r="B332">
        <v>56.000000000000007</v>
      </c>
      <c r="C332">
        <v>4.8487815535661047</v>
      </c>
      <c r="D332">
        <v>429.63839999999999</v>
      </c>
      <c r="E332">
        <v>692.73582980175479</v>
      </c>
      <c r="F332">
        <v>176.55840000000001</v>
      </c>
      <c r="G332">
        <v>75.326399999999992</v>
      </c>
      <c r="H332">
        <v>6</v>
      </c>
      <c r="I332">
        <v>57</v>
      </c>
      <c r="J332">
        <v>6</v>
      </c>
      <c r="K332">
        <v>133</v>
      </c>
      <c r="L332">
        <v>55</v>
      </c>
      <c r="M332">
        <v>26</v>
      </c>
      <c r="N332">
        <v>1995</v>
      </c>
      <c r="O332">
        <v>0.27</v>
      </c>
      <c r="P332">
        <v>2.4700000000000002</v>
      </c>
      <c r="Q332">
        <v>1.4999999999999999E-2</v>
      </c>
      <c r="R332">
        <v>65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>
      <c r="A333">
        <v>387.67926259749242</v>
      </c>
      <c r="B333">
        <v>56.000000000000007</v>
      </c>
      <c r="C333">
        <v>4.8459907824686539</v>
      </c>
      <c r="D333">
        <v>450.93984</v>
      </c>
      <c r="E333">
        <v>691.5983402489627</v>
      </c>
      <c r="F333">
        <v>175.12752</v>
      </c>
      <c r="G333">
        <v>75.259680000000003</v>
      </c>
      <c r="H333">
        <v>8</v>
      </c>
      <c r="I333">
        <v>48</v>
      </c>
      <c r="J333">
        <v>5</v>
      </c>
      <c r="K333">
        <v>253</v>
      </c>
      <c r="L333">
        <v>61</v>
      </c>
      <c r="M333">
        <v>23</v>
      </c>
      <c r="N333">
        <v>1995</v>
      </c>
      <c r="O333">
        <v>0.27</v>
      </c>
      <c r="P333">
        <v>2.4700000000000002</v>
      </c>
      <c r="Q333">
        <v>1.4999999999999999E-2</v>
      </c>
      <c r="R333">
        <v>65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>
      <c r="A334">
        <v>387.29982867945012</v>
      </c>
      <c r="B334">
        <v>56</v>
      </c>
      <c r="C334">
        <v>4.8412478584931264</v>
      </c>
      <c r="D334">
        <v>426.75220000000002</v>
      </c>
      <c r="E334">
        <v>690.78838174273869</v>
      </c>
      <c r="F334">
        <v>175.0402</v>
      </c>
      <c r="G334">
        <v>75.16940000000001</v>
      </c>
      <c r="H334">
        <v>8</v>
      </c>
      <c r="I334">
        <v>48</v>
      </c>
      <c r="J334">
        <v>5</v>
      </c>
      <c r="K334">
        <v>265</v>
      </c>
      <c r="L334">
        <v>61</v>
      </c>
      <c r="M334">
        <v>22</v>
      </c>
      <c r="N334">
        <v>1995</v>
      </c>
      <c r="O334">
        <v>0.27</v>
      </c>
      <c r="P334">
        <v>2.4700000000000002</v>
      </c>
      <c r="Q334">
        <v>1.4999999999999999E-2</v>
      </c>
      <c r="R334">
        <v>65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>
      <c r="A335">
        <v>362.94139048333011</v>
      </c>
      <c r="B335">
        <v>52.5</v>
      </c>
      <c r="C335">
        <v>4.8392185397777343</v>
      </c>
      <c r="D335">
        <v>390.51132000000001</v>
      </c>
      <c r="E335">
        <v>689.84232365145226</v>
      </c>
      <c r="F335">
        <v>207.36132000000001</v>
      </c>
      <c r="G335">
        <v>70.423580000000001</v>
      </c>
      <c r="H335">
        <v>22</v>
      </c>
      <c r="I335">
        <v>55</v>
      </c>
      <c r="J335">
        <v>3</v>
      </c>
      <c r="K335">
        <v>62</v>
      </c>
      <c r="L335">
        <v>58</v>
      </c>
      <c r="M335">
        <v>28</v>
      </c>
      <c r="N335">
        <v>1995</v>
      </c>
      <c r="O335">
        <v>0.27</v>
      </c>
      <c r="P335">
        <v>2.4700000000000002</v>
      </c>
      <c r="Q335">
        <v>1.4999999999999999E-2</v>
      </c>
      <c r="R335">
        <v>65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>
      <c r="A336">
        <v>387.11747787417721</v>
      </c>
      <c r="B336">
        <v>56</v>
      </c>
      <c r="C336">
        <v>4.8389684734272151</v>
      </c>
      <c r="D336">
        <v>469.69439999999997</v>
      </c>
      <c r="E336">
        <v>691.23651452282161</v>
      </c>
      <c r="F336">
        <v>173.34559999999999</v>
      </c>
      <c r="G336">
        <v>75.143200000000007</v>
      </c>
      <c r="H336">
        <v>8</v>
      </c>
      <c r="I336">
        <v>50</v>
      </c>
      <c r="J336">
        <v>5</v>
      </c>
      <c r="K336">
        <v>101</v>
      </c>
      <c r="L336">
        <v>59</v>
      </c>
      <c r="M336">
        <v>8</v>
      </c>
      <c r="N336">
        <v>1995</v>
      </c>
      <c r="O336">
        <v>0.27</v>
      </c>
      <c r="P336">
        <v>2.4700000000000002</v>
      </c>
      <c r="Q336">
        <v>1.4999999999999999E-2</v>
      </c>
      <c r="R336">
        <v>65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>
      <c r="A337">
        <v>386.9873468178215</v>
      </c>
      <c r="B337">
        <v>56</v>
      </c>
      <c r="C337">
        <v>4.8373418352227686</v>
      </c>
      <c r="D337">
        <v>450.63792000000012</v>
      </c>
      <c r="E337">
        <v>691.21991701244815</v>
      </c>
      <c r="F337">
        <v>174.97656000000001</v>
      </c>
      <c r="G337">
        <v>75.11760000000001</v>
      </c>
      <c r="H337">
        <v>8</v>
      </c>
      <c r="I337">
        <v>48</v>
      </c>
      <c r="J337">
        <v>5</v>
      </c>
      <c r="K337">
        <v>246</v>
      </c>
      <c r="L337">
        <v>60</v>
      </c>
      <c r="M337">
        <v>18</v>
      </c>
      <c r="N337">
        <v>1995</v>
      </c>
      <c r="O337">
        <v>0.27</v>
      </c>
      <c r="P337">
        <v>2.4700000000000002</v>
      </c>
      <c r="Q337">
        <v>1.4999999999999999E-2</v>
      </c>
      <c r="R337">
        <v>65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>
      <c r="A338">
        <v>386.81532482031253</v>
      </c>
      <c r="B338">
        <v>56</v>
      </c>
      <c r="C338">
        <v>4.8351915602539082</v>
      </c>
      <c r="D338">
        <v>445.85280000000012</v>
      </c>
      <c r="E338">
        <v>689.33609958506224</v>
      </c>
      <c r="F338">
        <v>173.6328</v>
      </c>
      <c r="G338">
        <v>75.045600000000007</v>
      </c>
      <c r="H338">
        <v>8</v>
      </c>
      <c r="I338">
        <v>47</v>
      </c>
      <c r="J338">
        <v>5</v>
      </c>
      <c r="K338">
        <v>250</v>
      </c>
      <c r="L338">
        <v>58</v>
      </c>
      <c r="M338">
        <v>30</v>
      </c>
      <c r="N338">
        <v>1995</v>
      </c>
      <c r="O338">
        <v>0.27</v>
      </c>
      <c r="P338">
        <v>2.4700000000000002</v>
      </c>
      <c r="Q338">
        <v>1.4999999999999999E-2</v>
      </c>
      <c r="R338">
        <v>65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>
      <c r="A339">
        <v>386.81532482031253</v>
      </c>
      <c r="B339">
        <v>56</v>
      </c>
      <c r="C339">
        <v>4.8351915602539082</v>
      </c>
      <c r="D339">
        <v>445.85280000000012</v>
      </c>
      <c r="E339">
        <v>689.33609958506224</v>
      </c>
      <c r="F339">
        <v>173.6328</v>
      </c>
      <c r="G339">
        <v>75.045600000000007</v>
      </c>
      <c r="H339">
        <v>8</v>
      </c>
      <c r="I339">
        <v>47</v>
      </c>
      <c r="J339">
        <v>5</v>
      </c>
      <c r="K339">
        <v>251</v>
      </c>
      <c r="L339">
        <v>58</v>
      </c>
      <c r="M339">
        <v>30</v>
      </c>
      <c r="N339">
        <v>1995</v>
      </c>
      <c r="O339">
        <v>0.27</v>
      </c>
      <c r="P339">
        <v>2.4700000000000002</v>
      </c>
      <c r="Q339">
        <v>1.4999999999999999E-2</v>
      </c>
      <c r="R339">
        <v>65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>
      <c r="A340">
        <v>386.76405464337131</v>
      </c>
      <c r="B340">
        <v>56</v>
      </c>
      <c r="C340">
        <v>4.834550683042143</v>
      </c>
      <c r="D340">
        <v>444.81439999999998</v>
      </c>
      <c r="E340">
        <v>690.2655601659751</v>
      </c>
      <c r="F340">
        <v>172.4572</v>
      </c>
      <c r="G340">
        <v>75.054699999999997</v>
      </c>
      <c r="H340">
        <v>9</v>
      </c>
      <c r="I340">
        <v>63</v>
      </c>
      <c r="J340">
        <v>3</v>
      </c>
      <c r="K340">
        <v>65</v>
      </c>
      <c r="L340">
        <v>44</v>
      </c>
      <c r="M340">
        <v>2</v>
      </c>
      <c r="N340">
        <v>1995</v>
      </c>
      <c r="O340">
        <v>0.27</v>
      </c>
      <c r="P340">
        <v>2.4700000000000002</v>
      </c>
      <c r="Q340">
        <v>1.4999999999999999E-2</v>
      </c>
      <c r="R340">
        <v>65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>
      <c r="A341">
        <v>386.72258087940202</v>
      </c>
      <c r="B341">
        <v>56</v>
      </c>
      <c r="C341">
        <v>4.834032260992525</v>
      </c>
      <c r="D341">
        <v>452.11865999999998</v>
      </c>
      <c r="E341">
        <v>689.55684647302905</v>
      </c>
      <c r="F341">
        <v>175.71692999999999</v>
      </c>
      <c r="G341">
        <v>75.032130000000009</v>
      </c>
      <c r="H341">
        <v>8</v>
      </c>
      <c r="I341">
        <v>48</v>
      </c>
      <c r="J341">
        <v>5</v>
      </c>
      <c r="K341">
        <v>247</v>
      </c>
      <c r="L341">
        <v>59</v>
      </c>
      <c r="M341">
        <v>29</v>
      </c>
      <c r="N341">
        <v>1995</v>
      </c>
      <c r="O341">
        <v>0.27</v>
      </c>
      <c r="P341">
        <v>2.4700000000000002</v>
      </c>
      <c r="Q341">
        <v>1.4999999999999999E-2</v>
      </c>
      <c r="R341">
        <v>65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>
      <c r="A342">
        <v>386.60183178732171</v>
      </c>
      <c r="B342">
        <v>56.000000000000007</v>
      </c>
      <c r="C342">
        <v>4.8325228973415211</v>
      </c>
      <c r="D342">
        <v>449.19344000000001</v>
      </c>
      <c r="E342">
        <v>689.71784232365144</v>
      </c>
      <c r="F342">
        <v>174.25432000000001</v>
      </c>
      <c r="G342">
        <v>75.012</v>
      </c>
      <c r="H342">
        <v>8</v>
      </c>
      <c r="I342">
        <v>49</v>
      </c>
      <c r="J342">
        <v>5</v>
      </c>
      <c r="K342">
        <v>244</v>
      </c>
      <c r="L342">
        <v>60</v>
      </c>
      <c r="M342">
        <v>19</v>
      </c>
      <c r="N342">
        <v>1995</v>
      </c>
      <c r="O342">
        <v>0.27</v>
      </c>
      <c r="P342">
        <v>2.4700000000000002</v>
      </c>
      <c r="Q342">
        <v>1.4999999999999999E-2</v>
      </c>
      <c r="R342">
        <v>65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>
      <c r="A343">
        <v>386.53956999790029</v>
      </c>
      <c r="B343">
        <v>56</v>
      </c>
      <c r="C343">
        <v>4.8317446249737559</v>
      </c>
      <c r="D343">
        <v>425.93819999999999</v>
      </c>
      <c r="E343">
        <v>689.58506224066389</v>
      </c>
      <c r="F343">
        <v>174.22620000000001</v>
      </c>
      <c r="G343">
        <v>74.997200000000007</v>
      </c>
      <c r="H343">
        <v>8</v>
      </c>
      <c r="I343">
        <v>49</v>
      </c>
      <c r="J343">
        <v>5</v>
      </c>
      <c r="K343">
        <v>63</v>
      </c>
      <c r="L343">
        <v>58</v>
      </c>
      <c r="M343">
        <v>11</v>
      </c>
      <c r="N343">
        <v>1995</v>
      </c>
      <c r="O343">
        <v>0.27</v>
      </c>
      <c r="P343">
        <v>2.4700000000000002</v>
      </c>
      <c r="Q343">
        <v>1.4999999999999999E-2</v>
      </c>
      <c r="R343">
        <v>65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>
      <c r="A344">
        <v>386.53956999790029</v>
      </c>
      <c r="B344">
        <v>56</v>
      </c>
      <c r="C344">
        <v>4.8317446249737559</v>
      </c>
      <c r="D344">
        <v>449.13720000000001</v>
      </c>
      <c r="E344">
        <v>689.58506224066389</v>
      </c>
      <c r="F344">
        <v>174.22620000000001</v>
      </c>
      <c r="G344">
        <v>74.997200000000007</v>
      </c>
      <c r="H344">
        <v>8</v>
      </c>
      <c r="I344">
        <v>49</v>
      </c>
      <c r="J344">
        <v>5</v>
      </c>
      <c r="K344">
        <v>248</v>
      </c>
      <c r="L344">
        <v>58</v>
      </c>
      <c r="M344">
        <v>20</v>
      </c>
      <c r="N344">
        <v>1995</v>
      </c>
      <c r="O344">
        <v>0.27</v>
      </c>
      <c r="P344">
        <v>2.4700000000000002</v>
      </c>
      <c r="Q344">
        <v>1.4999999999999999E-2</v>
      </c>
      <c r="R344">
        <v>65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>
      <c r="A345">
        <v>386.53956999790029</v>
      </c>
      <c r="B345">
        <v>56</v>
      </c>
      <c r="C345">
        <v>4.8317446249737559</v>
      </c>
      <c r="D345">
        <v>449.13720000000001</v>
      </c>
      <c r="E345">
        <v>689.58506224066389</v>
      </c>
      <c r="F345">
        <v>174.22620000000001</v>
      </c>
      <c r="G345">
        <v>74.997200000000007</v>
      </c>
      <c r="H345">
        <v>8</v>
      </c>
      <c r="I345">
        <v>49</v>
      </c>
      <c r="J345">
        <v>5</v>
      </c>
      <c r="K345">
        <v>259</v>
      </c>
      <c r="L345">
        <v>58</v>
      </c>
      <c r="M345">
        <v>11</v>
      </c>
      <c r="N345">
        <v>1995</v>
      </c>
      <c r="O345">
        <v>0.27</v>
      </c>
      <c r="P345">
        <v>2.4700000000000002</v>
      </c>
      <c r="Q345">
        <v>1.4999999999999999E-2</v>
      </c>
      <c r="R345">
        <v>65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>
      <c r="A346">
        <v>363.44498676064438</v>
      </c>
      <c r="B346">
        <v>52.690909090909088</v>
      </c>
      <c r="C346">
        <v>4.8283754279795748</v>
      </c>
      <c r="D346">
        <v>414.7484</v>
      </c>
      <c r="E346">
        <v>692.07302904564312</v>
      </c>
      <c r="F346">
        <v>207.3742</v>
      </c>
      <c r="G346">
        <v>70.56425200000001</v>
      </c>
      <c r="H346">
        <v>22</v>
      </c>
      <c r="I346">
        <v>55</v>
      </c>
      <c r="J346">
        <v>3</v>
      </c>
      <c r="K346">
        <v>113</v>
      </c>
      <c r="L346">
        <v>56</v>
      </c>
      <c r="M346">
        <v>26</v>
      </c>
      <c r="N346">
        <v>1995</v>
      </c>
      <c r="O346">
        <v>0.27</v>
      </c>
      <c r="P346">
        <v>2.4700000000000002</v>
      </c>
      <c r="Q346">
        <v>1.4999999999999999E-2</v>
      </c>
      <c r="R346">
        <v>65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>
      <c r="A347">
        <v>386.19914012130062</v>
      </c>
      <c r="B347">
        <v>56</v>
      </c>
      <c r="C347">
        <v>4.8274892515162593</v>
      </c>
      <c r="D347">
        <v>427.36344000000003</v>
      </c>
      <c r="E347">
        <v>691.3195020746889</v>
      </c>
      <c r="F347">
        <v>175.65144000000001</v>
      </c>
      <c r="G347">
        <v>74.966640000000012</v>
      </c>
      <c r="H347">
        <v>8</v>
      </c>
      <c r="I347">
        <v>48</v>
      </c>
      <c r="J347">
        <v>5</v>
      </c>
      <c r="K347">
        <v>268</v>
      </c>
      <c r="L347">
        <v>59</v>
      </c>
      <c r="M347">
        <v>24</v>
      </c>
      <c r="N347">
        <v>1995</v>
      </c>
      <c r="O347">
        <v>0.27</v>
      </c>
      <c r="P347">
        <v>2.4700000000000002</v>
      </c>
      <c r="Q347">
        <v>1.4999999999999999E-2</v>
      </c>
      <c r="R347">
        <v>65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>
      <c r="A348">
        <v>386.13559965599711</v>
      </c>
      <c r="B348">
        <v>56.000000000000007</v>
      </c>
      <c r="C348">
        <v>4.8266949956999632</v>
      </c>
      <c r="D348">
        <v>451.83967999999999</v>
      </c>
      <c r="E348">
        <v>688.30539419087143</v>
      </c>
      <c r="F348">
        <v>175.57744</v>
      </c>
      <c r="G348">
        <v>74.892640000000014</v>
      </c>
      <c r="H348">
        <v>8</v>
      </c>
      <c r="I348">
        <v>48</v>
      </c>
      <c r="J348">
        <v>5</v>
      </c>
      <c r="K348">
        <v>255</v>
      </c>
      <c r="L348">
        <v>58</v>
      </c>
      <c r="M348">
        <v>22</v>
      </c>
      <c r="N348">
        <v>1995</v>
      </c>
      <c r="O348">
        <v>0.27</v>
      </c>
      <c r="P348">
        <v>2.4700000000000002</v>
      </c>
      <c r="Q348">
        <v>1.4999999999999999E-2</v>
      </c>
      <c r="R348">
        <v>65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>
      <c r="A349">
        <v>385.91126197186497</v>
      </c>
      <c r="B349">
        <v>56</v>
      </c>
      <c r="C349">
        <v>4.8238907746483131</v>
      </c>
      <c r="D349">
        <v>422.65800000000002</v>
      </c>
      <c r="E349">
        <v>692.67622363636735</v>
      </c>
      <c r="F349">
        <v>172.90799999999999</v>
      </c>
      <c r="G349">
        <v>74.938500000000005</v>
      </c>
      <c r="H349">
        <v>9</v>
      </c>
      <c r="I349">
        <v>61</v>
      </c>
      <c r="J349">
        <v>3</v>
      </c>
      <c r="K349">
        <v>118</v>
      </c>
      <c r="L349">
        <v>44</v>
      </c>
      <c r="M349">
        <v>3</v>
      </c>
      <c r="N349">
        <v>1995</v>
      </c>
      <c r="O349">
        <v>0.27</v>
      </c>
      <c r="P349">
        <v>2.4700000000000002</v>
      </c>
      <c r="Q349">
        <v>1.4999999999999999E-2</v>
      </c>
      <c r="R349">
        <v>65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>
      <c r="A350">
        <v>361.1658684417261</v>
      </c>
      <c r="B350">
        <v>52.5</v>
      </c>
      <c r="C350">
        <v>4.8155449125563479</v>
      </c>
      <c r="D350">
        <v>419.11380000000003</v>
      </c>
      <c r="E350">
        <v>691.79751037344397</v>
      </c>
      <c r="F350">
        <v>209.55690000000001</v>
      </c>
      <c r="G350">
        <v>70.116479999999996</v>
      </c>
      <c r="H350">
        <v>22</v>
      </c>
      <c r="I350">
        <v>56</v>
      </c>
      <c r="J350">
        <v>3</v>
      </c>
      <c r="K350">
        <v>278</v>
      </c>
      <c r="L350">
        <v>56</v>
      </c>
      <c r="M350">
        <v>9</v>
      </c>
      <c r="N350">
        <v>1995</v>
      </c>
      <c r="O350">
        <v>0.27</v>
      </c>
      <c r="P350">
        <v>2.4700000000000002</v>
      </c>
      <c r="Q350">
        <v>1.4999999999999999E-2</v>
      </c>
      <c r="R350">
        <v>65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>
      <c r="A351">
        <v>399.48256300018528</v>
      </c>
      <c r="B351">
        <v>58.100000000000023</v>
      </c>
      <c r="C351">
        <v>4.8130429277130746</v>
      </c>
      <c r="D351">
        <v>468.86399999999998</v>
      </c>
      <c r="E351">
        <v>689.8257261410788</v>
      </c>
      <c r="F351">
        <v>181.15199999999999</v>
      </c>
      <c r="G351">
        <v>77.51352</v>
      </c>
      <c r="H351">
        <v>9</v>
      </c>
      <c r="I351">
        <v>49</v>
      </c>
      <c r="J351">
        <v>4</v>
      </c>
      <c r="K351">
        <v>91</v>
      </c>
      <c r="L351">
        <v>62</v>
      </c>
      <c r="M351">
        <v>6</v>
      </c>
      <c r="N351">
        <v>1995</v>
      </c>
      <c r="O351">
        <v>0.27</v>
      </c>
      <c r="P351">
        <v>2.4700000000000002</v>
      </c>
      <c r="Q351">
        <v>1.4999999999999999E-2</v>
      </c>
      <c r="R351">
        <v>65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>
      <c r="A352">
        <v>384.78027168797308</v>
      </c>
      <c r="B352">
        <v>56</v>
      </c>
      <c r="C352">
        <v>4.8097533960996639</v>
      </c>
      <c r="D352">
        <v>470.33819999999997</v>
      </c>
      <c r="E352">
        <v>691.80912863070535</v>
      </c>
      <c r="F352">
        <v>173.56020000000001</v>
      </c>
      <c r="G352">
        <v>74.701200000000014</v>
      </c>
      <c r="H352">
        <v>8</v>
      </c>
      <c r="I352">
        <v>49</v>
      </c>
      <c r="J352">
        <v>5</v>
      </c>
      <c r="K352">
        <v>71</v>
      </c>
      <c r="L352">
        <v>60</v>
      </c>
      <c r="M352">
        <v>7</v>
      </c>
      <c r="N352">
        <v>1995</v>
      </c>
      <c r="O352">
        <v>0.27</v>
      </c>
      <c r="P352">
        <v>2.4700000000000002</v>
      </c>
      <c r="Q352">
        <v>1.4999999999999999E-2</v>
      </c>
      <c r="R352">
        <v>65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>
      <c r="A353">
        <v>384.48055280739197</v>
      </c>
      <c r="B353">
        <v>56</v>
      </c>
      <c r="C353">
        <v>4.8060069100923997</v>
      </c>
      <c r="D353">
        <v>445.59</v>
      </c>
      <c r="E353">
        <v>690.18859156650433</v>
      </c>
      <c r="F353">
        <v>172.845</v>
      </c>
      <c r="G353">
        <v>74.61</v>
      </c>
      <c r="H353">
        <v>9</v>
      </c>
      <c r="I353">
        <v>62</v>
      </c>
      <c r="J353">
        <v>3</v>
      </c>
      <c r="K353">
        <v>47</v>
      </c>
      <c r="L353">
        <v>42</v>
      </c>
      <c r="M353">
        <v>3</v>
      </c>
      <c r="N353">
        <v>1995</v>
      </c>
      <c r="O353">
        <v>0.27</v>
      </c>
      <c r="P353">
        <v>2.4700000000000002</v>
      </c>
      <c r="Q353">
        <v>1.4999999999999999E-2</v>
      </c>
      <c r="R353">
        <v>65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>
      <c r="A354">
        <v>384.22940460207047</v>
      </c>
      <c r="B354">
        <v>56</v>
      </c>
      <c r="C354">
        <v>4.8028675575258806</v>
      </c>
      <c r="D354">
        <v>425.93819999999999</v>
      </c>
      <c r="E354">
        <v>691.60995850622407</v>
      </c>
      <c r="F354">
        <v>174.22620000000001</v>
      </c>
      <c r="G354">
        <v>74.59020000000001</v>
      </c>
      <c r="H354">
        <v>8</v>
      </c>
      <c r="I354">
        <v>49</v>
      </c>
      <c r="J354">
        <v>5</v>
      </c>
      <c r="K354">
        <v>209</v>
      </c>
      <c r="L354">
        <v>57</v>
      </c>
      <c r="M354">
        <v>20</v>
      </c>
      <c r="N354">
        <v>1995</v>
      </c>
      <c r="O354">
        <v>0.27</v>
      </c>
      <c r="P354">
        <v>2.4700000000000002</v>
      </c>
      <c r="Q354">
        <v>1.4999999999999999E-2</v>
      </c>
      <c r="R354">
        <v>65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>
      <c r="A355">
        <v>384.22401571671838</v>
      </c>
      <c r="B355">
        <v>56</v>
      </c>
      <c r="C355">
        <v>4.802800196458981</v>
      </c>
      <c r="D355">
        <v>445.75380000000001</v>
      </c>
      <c r="E355">
        <v>690.00497925311208</v>
      </c>
      <c r="F355">
        <v>172.92689999999999</v>
      </c>
      <c r="G355">
        <v>74.556479999999993</v>
      </c>
      <c r="H355">
        <v>9</v>
      </c>
      <c r="I355">
        <v>46</v>
      </c>
      <c r="J355">
        <v>4</v>
      </c>
      <c r="K355">
        <v>278</v>
      </c>
      <c r="L355">
        <v>56</v>
      </c>
      <c r="M355">
        <v>9</v>
      </c>
      <c r="N355">
        <v>1995</v>
      </c>
      <c r="O355">
        <v>0.27</v>
      </c>
      <c r="P355">
        <v>2.4700000000000002</v>
      </c>
      <c r="Q355">
        <v>1.4999999999999999E-2</v>
      </c>
      <c r="R355">
        <v>65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>
      <c r="A356">
        <v>360.12576467835402</v>
      </c>
      <c r="B356">
        <v>52.500000000000007</v>
      </c>
      <c r="C356">
        <v>4.801676862378053</v>
      </c>
      <c r="D356">
        <v>389.5804</v>
      </c>
      <c r="E356">
        <v>691.79253112033189</v>
      </c>
      <c r="F356">
        <v>206.43039999999999</v>
      </c>
      <c r="G356">
        <v>69.914459999999991</v>
      </c>
      <c r="H356">
        <v>22</v>
      </c>
      <c r="I356">
        <v>55</v>
      </c>
      <c r="J356">
        <v>3</v>
      </c>
      <c r="K356">
        <v>61</v>
      </c>
      <c r="L356">
        <v>57</v>
      </c>
      <c r="M356">
        <v>13</v>
      </c>
      <c r="N356">
        <v>1995</v>
      </c>
      <c r="O356">
        <v>0.27</v>
      </c>
      <c r="P356">
        <v>2.4700000000000002</v>
      </c>
      <c r="Q356">
        <v>1.4999999999999999E-2</v>
      </c>
      <c r="R356">
        <v>65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>
      <c r="A357">
        <v>360.01044031766207</v>
      </c>
      <c r="B357">
        <v>52.500000000000007</v>
      </c>
      <c r="C357">
        <v>4.800139204235494</v>
      </c>
      <c r="D357">
        <v>402.7672</v>
      </c>
      <c r="E357">
        <v>690.87136929460576</v>
      </c>
      <c r="F357">
        <v>201.3836</v>
      </c>
      <c r="G357">
        <v>69.874499999999998</v>
      </c>
      <c r="H357">
        <v>22</v>
      </c>
      <c r="I357">
        <v>53</v>
      </c>
      <c r="J357">
        <v>3</v>
      </c>
      <c r="K357">
        <v>249</v>
      </c>
      <c r="L357">
        <v>60</v>
      </c>
      <c r="M357">
        <v>29</v>
      </c>
      <c r="N357">
        <v>1995</v>
      </c>
      <c r="O357">
        <v>0.27</v>
      </c>
      <c r="P357">
        <v>2.4700000000000002</v>
      </c>
      <c r="Q357">
        <v>1.4999999999999999E-2</v>
      </c>
      <c r="R357">
        <v>65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>
      <c r="A358">
        <v>392.84962670958191</v>
      </c>
      <c r="B358">
        <v>57.358208955223887</v>
      </c>
      <c r="C358">
        <v>4.7943397066560989</v>
      </c>
      <c r="D358">
        <v>485.14143999999999</v>
      </c>
      <c r="E358">
        <v>691.66328528847134</v>
      </c>
      <c r="F358">
        <v>179.09838239999999</v>
      </c>
      <c r="G358">
        <v>76.264748000000012</v>
      </c>
      <c r="H358">
        <v>6</v>
      </c>
      <c r="I358">
        <v>50</v>
      </c>
      <c r="J358">
        <v>7</v>
      </c>
      <c r="K358">
        <v>316</v>
      </c>
      <c r="L358">
        <v>56</v>
      </c>
      <c r="M358">
        <v>29</v>
      </c>
      <c r="N358">
        <v>1995</v>
      </c>
      <c r="O358">
        <v>0.27</v>
      </c>
      <c r="P358">
        <v>2.4700000000000002</v>
      </c>
      <c r="Q358">
        <v>1.4999999999999999E-2</v>
      </c>
      <c r="R358">
        <v>65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>
      <c r="A359">
        <v>383.50054977492772</v>
      </c>
      <c r="B359">
        <v>56</v>
      </c>
      <c r="C359">
        <v>4.7937568721865969</v>
      </c>
      <c r="D359">
        <v>412.11</v>
      </c>
      <c r="E359">
        <v>689.0356846473029</v>
      </c>
      <c r="F359">
        <v>170.886</v>
      </c>
      <c r="G359">
        <v>74.396400000000014</v>
      </c>
      <c r="H359">
        <v>8</v>
      </c>
      <c r="I359">
        <v>46</v>
      </c>
      <c r="J359">
        <v>5</v>
      </c>
      <c r="K359">
        <v>202</v>
      </c>
      <c r="L359">
        <v>57</v>
      </c>
      <c r="M359">
        <v>31</v>
      </c>
      <c r="N359">
        <v>1995</v>
      </c>
      <c r="O359">
        <v>0.27</v>
      </c>
      <c r="P359">
        <v>2.4700000000000002</v>
      </c>
      <c r="Q359">
        <v>1.4999999999999999E-2</v>
      </c>
      <c r="R359">
        <v>65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>
      <c r="A360">
        <v>373.84407611739289</v>
      </c>
      <c r="B360">
        <v>54.600000000000009</v>
      </c>
      <c r="C360">
        <v>4.7928727707358068</v>
      </c>
      <c r="D360">
        <v>442.69760000000002</v>
      </c>
      <c r="E360">
        <v>691.71784232365144</v>
      </c>
      <c r="F360">
        <v>221.34880000000001</v>
      </c>
      <c r="G360">
        <v>72.576239999999999</v>
      </c>
      <c r="H360">
        <v>22</v>
      </c>
      <c r="I360">
        <v>60</v>
      </c>
      <c r="J360">
        <v>3</v>
      </c>
      <c r="K360">
        <v>91</v>
      </c>
      <c r="L360">
        <v>52</v>
      </c>
      <c r="M360">
        <v>7</v>
      </c>
      <c r="N360">
        <v>1995</v>
      </c>
      <c r="O360">
        <v>0.27</v>
      </c>
      <c r="P360">
        <v>2.4700000000000002</v>
      </c>
      <c r="Q360">
        <v>1.4999999999999999E-2</v>
      </c>
      <c r="R360">
        <v>65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>
      <c r="A361">
        <v>359.32132139335658</v>
      </c>
      <c r="B361">
        <v>52.500000000000007</v>
      </c>
      <c r="C361">
        <v>4.7909509519114204</v>
      </c>
      <c r="D361">
        <v>404.262</v>
      </c>
      <c r="E361">
        <v>692.06639004149383</v>
      </c>
      <c r="F361">
        <v>202.131</v>
      </c>
      <c r="G361">
        <v>69.763499999999993</v>
      </c>
      <c r="H361">
        <v>22</v>
      </c>
      <c r="I361">
        <v>53</v>
      </c>
      <c r="J361">
        <v>3</v>
      </c>
      <c r="K361">
        <v>60</v>
      </c>
      <c r="L361">
        <v>60</v>
      </c>
      <c r="M361">
        <v>35</v>
      </c>
      <c r="N361">
        <v>1995</v>
      </c>
      <c r="O361">
        <v>0.27</v>
      </c>
      <c r="P361">
        <v>2.4700000000000002</v>
      </c>
      <c r="Q361">
        <v>1.4999999999999999E-2</v>
      </c>
      <c r="R361">
        <v>65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>
      <c r="A362">
        <v>383.26169851987879</v>
      </c>
      <c r="B362">
        <v>56</v>
      </c>
      <c r="C362">
        <v>4.7907712314984847</v>
      </c>
      <c r="D362">
        <v>467.7876</v>
      </c>
      <c r="E362">
        <v>688.74688796680505</v>
      </c>
      <c r="F362">
        <v>172.57919999999999</v>
      </c>
      <c r="G362">
        <v>74.344200000000001</v>
      </c>
      <c r="H362">
        <v>9</v>
      </c>
      <c r="I362">
        <v>62</v>
      </c>
      <c r="J362">
        <v>3</v>
      </c>
      <c r="K362">
        <v>75</v>
      </c>
      <c r="L362">
        <v>47</v>
      </c>
      <c r="M362">
        <v>2</v>
      </c>
      <c r="N362">
        <v>1995</v>
      </c>
      <c r="O362">
        <v>0.27</v>
      </c>
      <c r="P362">
        <v>2.4700000000000002</v>
      </c>
      <c r="Q362">
        <v>1.4999999999999999E-2</v>
      </c>
      <c r="R362">
        <v>65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>
      <c r="A363">
        <v>359.14714797678539</v>
      </c>
      <c r="B363">
        <v>52.5</v>
      </c>
      <c r="C363">
        <v>4.7886286396904731</v>
      </c>
      <c r="D363">
        <v>439.6968</v>
      </c>
      <c r="E363">
        <v>690.40663900414938</v>
      </c>
      <c r="F363">
        <v>208.72559999999999</v>
      </c>
      <c r="G363">
        <v>69.698100000000011</v>
      </c>
      <c r="H363">
        <v>22</v>
      </c>
      <c r="I363">
        <v>57</v>
      </c>
      <c r="J363">
        <v>3</v>
      </c>
      <c r="K363">
        <v>75</v>
      </c>
      <c r="L363">
        <v>46</v>
      </c>
      <c r="M363">
        <v>2</v>
      </c>
      <c r="N363">
        <v>1995</v>
      </c>
      <c r="O363">
        <v>0.27</v>
      </c>
      <c r="P363">
        <v>2.4700000000000002</v>
      </c>
      <c r="Q363">
        <v>1.4999999999999999E-2</v>
      </c>
      <c r="R363">
        <v>65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>
      <c r="A364">
        <v>382.9369869229883</v>
      </c>
      <c r="B364">
        <v>56</v>
      </c>
      <c r="C364">
        <v>4.7867123365373541</v>
      </c>
      <c r="D364">
        <v>448.5822</v>
      </c>
      <c r="E364">
        <v>690.29875518672202</v>
      </c>
      <c r="F364">
        <v>173.9487</v>
      </c>
      <c r="G364">
        <v>74.312700000000007</v>
      </c>
      <c r="H364">
        <v>8</v>
      </c>
      <c r="I364">
        <v>49</v>
      </c>
      <c r="J364">
        <v>5</v>
      </c>
      <c r="K364">
        <v>189</v>
      </c>
      <c r="L364">
        <v>59</v>
      </c>
      <c r="M364">
        <v>14</v>
      </c>
      <c r="N364">
        <v>1995</v>
      </c>
      <c r="O364">
        <v>0.27</v>
      </c>
      <c r="P364">
        <v>2.4700000000000002</v>
      </c>
      <c r="Q364">
        <v>1.4999999999999999E-2</v>
      </c>
      <c r="R364">
        <v>65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>
      <c r="A365">
        <v>382.43950807958151</v>
      </c>
      <c r="B365">
        <v>56</v>
      </c>
      <c r="C365">
        <v>4.7804938509947688</v>
      </c>
      <c r="D365">
        <v>425.11680000000001</v>
      </c>
      <c r="E365">
        <v>688.67219917012449</v>
      </c>
      <c r="F365">
        <v>173.40479999999999</v>
      </c>
      <c r="G365">
        <v>74.183200000000014</v>
      </c>
      <c r="H365">
        <v>8</v>
      </c>
      <c r="I365">
        <v>49</v>
      </c>
      <c r="J365">
        <v>5</v>
      </c>
      <c r="K365">
        <v>190</v>
      </c>
      <c r="L365">
        <v>55</v>
      </c>
      <c r="M365">
        <v>7</v>
      </c>
      <c r="N365">
        <v>1995</v>
      </c>
      <c r="O365">
        <v>0.27</v>
      </c>
      <c r="P365">
        <v>2.4700000000000002</v>
      </c>
      <c r="Q365">
        <v>1.4999999999999999E-2</v>
      </c>
      <c r="R365">
        <v>65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>
      <c r="A366">
        <v>358.47787836174717</v>
      </c>
      <c r="B366">
        <v>52.500000000000007</v>
      </c>
      <c r="C366">
        <v>4.7797050448232952</v>
      </c>
      <c r="D366">
        <v>418.03019999999998</v>
      </c>
      <c r="E366">
        <v>692.86968060235938</v>
      </c>
      <c r="F366">
        <v>209.01509999999999</v>
      </c>
      <c r="G366">
        <v>69.614999999999995</v>
      </c>
      <c r="H366">
        <v>22</v>
      </c>
      <c r="I366">
        <v>56</v>
      </c>
      <c r="J366">
        <v>3</v>
      </c>
      <c r="K366">
        <v>179</v>
      </c>
      <c r="L366">
        <v>50</v>
      </c>
      <c r="M366">
        <v>3</v>
      </c>
      <c r="N366">
        <v>1995</v>
      </c>
      <c r="O366">
        <v>0.27</v>
      </c>
      <c r="P366">
        <v>2.4700000000000002</v>
      </c>
      <c r="Q366">
        <v>1.4999999999999999E-2</v>
      </c>
      <c r="R366">
        <v>65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>
      <c r="A367">
        <v>382.37494589097167</v>
      </c>
      <c r="B367">
        <v>56.000000000000007</v>
      </c>
      <c r="C367">
        <v>4.7796868236371459</v>
      </c>
      <c r="D367">
        <v>444.67020000000002</v>
      </c>
      <c r="E367">
        <v>691.9655804384729</v>
      </c>
      <c r="F367">
        <v>172.38509999999999</v>
      </c>
      <c r="G367">
        <v>74.237399999999994</v>
      </c>
      <c r="H367">
        <v>9</v>
      </c>
      <c r="I367">
        <v>61</v>
      </c>
      <c r="J367">
        <v>3</v>
      </c>
      <c r="K367">
        <v>179</v>
      </c>
      <c r="L367">
        <v>51</v>
      </c>
      <c r="M367">
        <v>3</v>
      </c>
      <c r="N367">
        <v>1995</v>
      </c>
      <c r="O367">
        <v>0.27</v>
      </c>
      <c r="P367">
        <v>2.4700000000000002</v>
      </c>
      <c r="Q367">
        <v>1.4999999999999999E-2</v>
      </c>
      <c r="R367">
        <v>65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>
      <c r="A368">
        <v>372.50958827893572</v>
      </c>
      <c r="B368">
        <v>54.574074074074083</v>
      </c>
      <c r="C368">
        <v>4.7780327237678213</v>
      </c>
      <c r="D368">
        <v>392.83776</v>
      </c>
      <c r="E368">
        <v>692.06393466702673</v>
      </c>
      <c r="F368">
        <v>210.15791999999999</v>
      </c>
      <c r="G368">
        <v>72.323999999999998</v>
      </c>
      <c r="H368">
        <v>22</v>
      </c>
      <c r="I368">
        <v>56</v>
      </c>
      <c r="J368">
        <v>3</v>
      </c>
      <c r="K368">
        <v>154</v>
      </c>
      <c r="L368">
        <v>56</v>
      </c>
      <c r="M368">
        <v>30</v>
      </c>
      <c r="N368">
        <v>1995</v>
      </c>
      <c r="O368">
        <v>0.27</v>
      </c>
      <c r="P368">
        <v>2.4700000000000002</v>
      </c>
      <c r="Q368">
        <v>1.4999999999999999E-2</v>
      </c>
      <c r="R368">
        <v>65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>
      <c r="A369">
        <v>358.35027376900052</v>
      </c>
      <c r="B369">
        <v>52.5</v>
      </c>
      <c r="C369">
        <v>4.7780036502533401</v>
      </c>
      <c r="D369">
        <v>444.88627200000002</v>
      </c>
      <c r="E369">
        <v>691.55352697095441</v>
      </c>
      <c r="F369">
        <v>208.95696000000001</v>
      </c>
      <c r="G369">
        <v>69.56523</v>
      </c>
      <c r="H369">
        <v>22</v>
      </c>
      <c r="I369">
        <v>56</v>
      </c>
      <c r="J369">
        <v>3</v>
      </c>
      <c r="K369">
        <v>175</v>
      </c>
      <c r="L369">
        <v>49</v>
      </c>
      <c r="M369">
        <v>3</v>
      </c>
      <c r="N369">
        <v>1995</v>
      </c>
      <c r="O369">
        <v>0.27</v>
      </c>
      <c r="P369">
        <v>2.4700000000000002</v>
      </c>
      <c r="Q369">
        <v>1.4999999999999999E-2</v>
      </c>
      <c r="R369">
        <v>65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>
      <c r="A370">
        <v>381.96552660587378</v>
      </c>
      <c r="B370">
        <v>56</v>
      </c>
      <c r="C370">
        <v>4.7745690825734224</v>
      </c>
      <c r="D370">
        <v>432.95328000000001</v>
      </c>
      <c r="E370">
        <v>690.04979253112037</v>
      </c>
      <c r="F370">
        <v>169.02413999999999</v>
      </c>
      <c r="G370">
        <v>74.119140000000002</v>
      </c>
      <c r="H370">
        <v>9</v>
      </c>
      <c r="I370">
        <v>57</v>
      </c>
      <c r="J370">
        <v>3</v>
      </c>
      <c r="K370">
        <v>60</v>
      </c>
      <c r="L370">
        <v>56</v>
      </c>
      <c r="M370">
        <v>39</v>
      </c>
      <c r="N370">
        <v>1995</v>
      </c>
      <c r="O370">
        <v>0.27</v>
      </c>
      <c r="P370">
        <v>2.4700000000000002</v>
      </c>
      <c r="Q370">
        <v>1.4999999999999999E-2</v>
      </c>
      <c r="R370">
        <v>65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>
      <c r="A371">
        <v>381.95775553922692</v>
      </c>
      <c r="B371">
        <v>56</v>
      </c>
      <c r="C371">
        <v>4.7744719442403367</v>
      </c>
      <c r="D371">
        <v>459.58440000000002</v>
      </c>
      <c r="E371">
        <v>691.55035345718397</v>
      </c>
      <c r="F371">
        <v>169.1788</v>
      </c>
      <c r="G371">
        <v>74.147999999999996</v>
      </c>
      <c r="H371">
        <v>6</v>
      </c>
      <c r="I371">
        <v>54</v>
      </c>
      <c r="J371">
        <v>6</v>
      </c>
      <c r="K371">
        <v>327</v>
      </c>
      <c r="L371">
        <v>59</v>
      </c>
      <c r="M371">
        <v>30</v>
      </c>
      <c r="N371">
        <v>1995</v>
      </c>
      <c r="O371">
        <v>0.27</v>
      </c>
      <c r="P371">
        <v>2.4700000000000002</v>
      </c>
      <c r="Q371">
        <v>1.4999999999999999E-2</v>
      </c>
      <c r="R371">
        <v>65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>
      <c r="A372">
        <v>381.91418708428051</v>
      </c>
      <c r="B372">
        <v>56</v>
      </c>
      <c r="C372">
        <v>4.7739273385535066</v>
      </c>
      <c r="D372">
        <v>469.69439999999997</v>
      </c>
      <c r="E372">
        <v>689.3195020746889</v>
      </c>
      <c r="F372">
        <v>173.34559999999999</v>
      </c>
      <c r="G372">
        <v>74.094400000000007</v>
      </c>
      <c r="H372">
        <v>8</v>
      </c>
      <c r="I372">
        <v>49</v>
      </c>
      <c r="J372">
        <v>5</v>
      </c>
      <c r="K372">
        <v>70</v>
      </c>
      <c r="L372">
        <v>59</v>
      </c>
      <c r="M372">
        <v>8</v>
      </c>
      <c r="N372">
        <v>1995</v>
      </c>
      <c r="O372">
        <v>0.27</v>
      </c>
      <c r="P372">
        <v>2.4700000000000002</v>
      </c>
      <c r="Q372">
        <v>1.4999999999999999E-2</v>
      </c>
      <c r="R372">
        <v>65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>
      <c r="A373">
        <v>381.87149874440598</v>
      </c>
      <c r="B373">
        <v>56</v>
      </c>
      <c r="C373">
        <v>4.7733937343050759</v>
      </c>
      <c r="D373">
        <v>422.65248000000003</v>
      </c>
      <c r="E373">
        <v>690.62240663900411</v>
      </c>
      <c r="F373">
        <v>172.90248</v>
      </c>
      <c r="G373">
        <v>74.112480000000005</v>
      </c>
      <c r="H373">
        <v>9</v>
      </c>
      <c r="I373">
        <v>46</v>
      </c>
      <c r="J373">
        <v>4</v>
      </c>
      <c r="K373">
        <v>61</v>
      </c>
      <c r="L373">
        <v>59</v>
      </c>
      <c r="M373">
        <v>12</v>
      </c>
      <c r="N373">
        <v>1995</v>
      </c>
      <c r="O373">
        <v>0.27</v>
      </c>
      <c r="P373">
        <v>2.4700000000000002</v>
      </c>
      <c r="Q373">
        <v>1.4999999999999999E-2</v>
      </c>
      <c r="R373">
        <v>65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>
      <c r="A374">
        <v>381.66511589315002</v>
      </c>
      <c r="B374">
        <v>56</v>
      </c>
      <c r="C374">
        <v>4.770813948664375</v>
      </c>
      <c r="D374">
        <v>471.52627200000001</v>
      </c>
      <c r="E374">
        <v>691.58838174273865</v>
      </c>
      <c r="F374">
        <v>172.32696000000001</v>
      </c>
      <c r="G374">
        <v>74.091959999999986</v>
      </c>
      <c r="H374">
        <v>9</v>
      </c>
      <c r="I374">
        <v>62</v>
      </c>
      <c r="J374">
        <v>3</v>
      </c>
      <c r="K374">
        <v>175</v>
      </c>
      <c r="L374">
        <v>48</v>
      </c>
      <c r="M374">
        <v>3</v>
      </c>
      <c r="N374">
        <v>1995</v>
      </c>
      <c r="O374">
        <v>0.27</v>
      </c>
      <c r="P374">
        <v>2.4700000000000002</v>
      </c>
      <c r="Q374">
        <v>1.4999999999999999E-2</v>
      </c>
      <c r="R374">
        <v>65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>
      <c r="A375">
        <v>381.56669109285463</v>
      </c>
      <c r="B375">
        <v>56.000000000000007</v>
      </c>
      <c r="C375">
        <v>4.7695836386606816</v>
      </c>
      <c r="D375">
        <v>432.66320000000002</v>
      </c>
      <c r="E375">
        <v>686.70373443983408</v>
      </c>
      <c r="F375">
        <v>168.87909999999999</v>
      </c>
      <c r="G375">
        <v>73.974100000000007</v>
      </c>
      <c r="H375">
        <v>9</v>
      </c>
      <c r="I375">
        <v>57</v>
      </c>
      <c r="J375">
        <v>3</v>
      </c>
      <c r="K375">
        <v>249</v>
      </c>
      <c r="L375">
        <v>56</v>
      </c>
      <c r="M375">
        <v>32</v>
      </c>
      <c r="N375">
        <v>1995</v>
      </c>
      <c r="O375">
        <v>0.27</v>
      </c>
      <c r="P375">
        <v>2.4700000000000002</v>
      </c>
      <c r="Q375">
        <v>1.4999999999999999E-2</v>
      </c>
      <c r="R375">
        <v>65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>
      <c r="A376">
        <v>357.42296301413933</v>
      </c>
      <c r="B376">
        <v>52.5</v>
      </c>
      <c r="C376">
        <v>4.76563950685519</v>
      </c>
      <c r="D376">
        <v>407.66399999999999</v>
      </c>
      <c r="E376">
        <v>691.330979731615</v>
      </c>
      <c r="F376">
        <v>203.83199999999999</v>
      </c>
      <c r="G376">
        <v>69.381</v>
      </c>
      <c r="H376">
        <v>22</v>
      </c>
      <c r="I376">
        <v>54</v>
      </c>
      <c r="J376">
        <v>3</v>
      </c>
      <c r="K376">
        <v>42</v>
      </c>
      <c r="L376">
        <v>59</v>
      </c>
      <c r="M376">
        <v>23</v>
      </c>
      <c r="N376">
        <v>1995</v>
      </c>
      <c r="O376">
        <v>0.27</v>
      </c>
      <c r="P376">
        <v>2.4700000000000002</v>
      </c>
      <c r="Q376">
        <v>1.4999999999999999E-2</v>
      </c>
      <c r="R376">
        <v>65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>
      <c r="A377">
        <v>381.22681942522109</v>
      </c>
      <c r="B377">
        <v>56</v>
      </c>
      <c r="C377">
        <v>4.7653352428152642</v>
      </c>
      <c r="D377">
        <v>450.7296</v>
      </c>
      <c r="E377">
        <v>690.94605809128632</v>
      </c>
      <c r="F377">
        <v>174.74879999999999</v>
      </c>
      <c r="G377">
        <v>73.993899999999996</v>
      </c>
      <c r="H377">
        <v>6</v>
      </c>
      <c r="I377">
        <v>57</v>
      </c>
      <c r="J377">
        <v>6</v>
      </c>
      <c r="K377">
        <v>1</v>
      </c>
      <c r="L377">
        <v>49</v>
      </c>
      <c r="M377">
        <v>5</v>
      </c>
      <c r="N377">
        <v>1995</v>
      </c>
      <c r="O377">
        <v>0.27</v>
      </c>
      <c r="P377">
        <v>2.4700000000000002</v>
      </c>
      <c r="Q377">
        <v>1.4999999999999999E-2</v>
      </c>
      <c r="R377">
        <v>65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>
      <c r="A378">
        <v>381.19753378207292</v>
      </c>
      <c r="B378">
        <v>56.000000000000007</v>
      </c>
      <c r="C378">
        <v>4.7649691722759107</v>
      </c>
      <c r="D378">
        <v>402.41152</v>
      </c>
      <c r="E378">
        <v>690.61057876408972</v>
      </c>
      <c r="F378">
        <v>167.48032000000001</v>
      </c>
      <c r="G378">
        <v>73.981440000000006</v>
      </c>
      <c r="H378">
        <v>8</v>
      </c>
      <c r="I378">
        <v>56</v>
      </c>
      <c r="J378">
        <v>4</v>
      </c>
      <c r="K378">
        <v>292</v>
      </c>
      <c r="L378">
        <v>57</v>
      </c>
      <c r="M378">
        <v>32</v>
      </c>
      <c r="N378">
        <v>1995</v>
      </c>
      <c r="O378">
        <v>0.27</v>
      </c>
      <c r="P378">
        <v>2.4700000000000002</v>
      </c>
      <c r="Q378">
        <v>1.4999999999999999E-2</v>
      </c>
      <c r="R378">
        <v>65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>
      <c r="A379">
        <v>342.70451811984259</v>
      </c>
      <c r="B379">
        <v>50.4</v>
      </c>
      <c r="C379">
        <v>4.7597849738867044</v>
      </c>
      <c r="D379">
        <v>422.88400000000001</v>
      </c>
      <c r="E379">
        <v>692.7884369052789</v>
      </c>
      <c r="F379">
        <v>236.6112</v>
      </c>
      <c r="G379">
        <v>66.55040000000001</v>
      </c>
      <c r="H379">
        <v>57</v>
      </c>
      <c r="I379">
        <v>56</v>
      </c>
      <c r="J379">
        <v>13</v>
      </c>
      <c r="K379">
        <v>148</v>
      </c>
      <c r="L379">
        <v>58</v>
      </c>
      <c r="M379">
        <v>28</v>
      </c>
      <c r="N379">
        <v>1995</v>
      </c>
      <c r="O379">
        <v>0.27</v>
      </c>
      <c r="P379">
        <v>2.4700000000000002</v>
      </c>
      <c r="Q379">
        <v>1.4999999999999999E-2</v>
      </c>
      <c r="R379">
        <v>65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>
      <c r="A380">
        <v>356.86193898578688</v>
      </c>
      <c r="B380">
        <v>52.5</v>
      </c>
      <c r="C380">
        <v>4.7581591864771591</v>
      </c>
      <c r="D380">
        <v>377.73522000000003</v>
      </c>
      <c r="E380">
        <v>692.66390041493776</v>
      </c>
      <c r="F380">
        <v>201.24521999999999</v>
      </c>
      <c r="G380">
        <v>69.297300000000007</v>
      </c>
      <c r="H380">
        <v>22</v>
      </c>
      <c r="I380">
        <v>53</v>
      </c>
      <c r="J380">
        <v>3</v>
      </c>
      <c r="K380">
        <v>203</v>
      </c>
      <c r="L380">
        <v>60</v>
      </c>
      <c r="M380">
        <v>27</v>
      </c>
      <c r="N380">
        <v>1995</v>
      </c>
      <c r="O380">
        <v>0.27</v>
      </c>
      <c r="P380">
        <v>2.4700000000000002</v>
      </c>
      <c r="Q380">
        <v>1.4999999999999999E-2</v>
      </c>
      <c r="R380">
        <v>65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>
      <c r="A381">
        <v>380.40575368496161</v>
      </c>
      <c r="B381">
        <v>56</v>
      </c>
      <c r="C381">
        <v>4.7550719210620196</v>
      </c>
      <c r="D381">
        <v>445.59</v>
      </c>
      <c r="E381">
        <v>688.11626311654504</v>
      </c>
      <c r="F381">
        <v>172.845</v>
      </c>
      <c r="G381">
        <v>73.777500000000003</v>
      </c>
      <c r="H381">
        <v>9</v>
      </c>
      <c r="I381">
        <v>61</v>
      </c>
      <c r="J381">
        <v>3</v>
      </c>
      <c r="K381">
        <v>180</v>
      </c>
      <c r="L381">
        <v>42</v>
      </c>
      <c r="M381">
        <v>3</v>
      </c>
      <c r="N381">
        <v>1995</v>
      </c>
      <c r="O381">
        <v>0.27</v>
      </c>
      <c r="P381">
        <v>2.4700000000000002</v>
      </c>
      <c r="Q381">
        <v>1.4999999999999999E-2</v>
      </c>
      <c r="R381">
        <v>65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>
      <c r="A382">
        <v>380.37099614252662</v>
      </c>
      <c r="B382">
        <v>56.000000000000007</v>
      </c>
      <c r="C382">
        <v>4.7546374517815817</v>
      </c>
      <c r="D382">
        <v>414.90541999999999</v>
      </c>
      <c r="E382">
        <v>692.51452282157675</v>
      </c>
      <c r="F382">
        <v>170.70542</v>
      </c>
      <c r="G382">
        <v>73.859400000000008</v>
      </c>
      <c r="H382">
        <v>9</v>
      </c>
      <c r="I382">
        <v>44</v>
      </c>
      <c r="J382">
        <v>4</v>
      </c>
      <c r="K382">
        <v>263</v>
      </c>
      <c r="L382">
        <v>60</v>
      </c>
      <c r="M382">
        <v>23</v>
      </c>
      <c r="N382">
        <v>1995</v>
      </c>
      <c r="O382">
        <v>0.27</v>
      </c>
      <c r="P382">
        <v>2.4700000000000002</v>
      </c>
      <c r="Q382">
        <v>1.4999999999999999E-2</v>
      </c>
      <c r="R382">
        <v>65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>
      <c r="A383">
        <v>380.32258883057602</v>
      </c>
      <c r="B383">
        <v>56.000000000000007</v>
      </c>
      <c r="C383">
        <v>4.7540323603822001</v>
      </c>
      <c r="D383">
        <v>471.90884999999997</v>
      </c>
      <c r="E383">
        <v>690.93443983402494</v>
      </c>
      <c r="F383">
        <v>174.08375000000001</v>
      </c>
      <c r="G383">
        <v>73.818160000000006</v>
      </c>
      <c r="H383">
        <v>8</v>
      </c>
      <c r="I383">
        <v>48</v>
      </c>
      <c r="J383">
        <v>5</v>
      </c>
      <c r="K383">
        <v>97</v>
      </c>
      <c r="L383">
        <v>56</v>
      </c>
      <c r="M383">
        <v>11</v>
      </c>
      <c r="N383">
        <v>1995</v>
      </c>
      <c r="O383">
        <v>0.27</v>
      </c>
      <c r="P383">
        <v>2.4700000000000002</v>
      </c>
      <c r="Q383">
        <v>1.4999999999999999E-2</v>
      </c>
      <c r="R383">
        <v>65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>
      <c r="A384">
        <v>380.22611955730031</v>
      </c>
      <c r="B384">
        <v>56.000000000000007</v>
      </c>
      <c r="C384">
        <v>4.7528264944662526</v>
      </c>
      <c r="D384">
        <v>422.58780000000002</v>
      </c>
      <c r="E384">
        <v>689.48819929025785</v>
      </c>
      <c r="F384">
        <v>172.83779999999999</v>
      </c>
      <c r="G384">
        <v>73.770300000000006</v>
      </c>
      <c r="H384">
        <v>9</v>
      </c>
      <c r="I384">
        <v>61</v>
      </c>
      <c r="J384">
        <v>3</v>
      </c>
      <c r="K384">
        <v>123</v>
      </c>
      <c r="L384">
        <v>43</v>
      </c>
      <c r="M384">
        <v>3</v>
      </c>
      <c r="N384">
        <v>1995</v>
      </c>
      <c r="O384">
        <v>0.27</v>
      </c>
      <c r="P384">
        <v>2.4700000000000002</v>
      </c>
      <c r="Q384">
        <v>1.4999999999999999E-2</v>
      </c>
      <c r="R384">
        <v>65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>
      <c r="A385">
        <v>356.18470764630212</v>
      </c>
      <c r="B385">
        <v>52.500000000000007</v>
      </c>
      <c r="C385">
        <v>4.7491294352840274</v>
      </c>
      <c r="D385">
        <v>383.82542000000001</v>
      </c>
      <c r="E385">
        <v>691.3195020746889</v>
      </c>
      <c r="F385">
        <v>204.00541999999999</v>
      </c>
      <c r="G385">
        <v>69.140420000000006</v>
      </c>
      <c r="H385">
        <v>22</v>
      </c>
      <c r="I385">
        <v>54</v>
      </c>
      <c r="J385">
        <v>3</v>
      </c>
      <c r="K385">
        <v>263</v>
      </c>
      <c r="L385">
        <v>58</v>
      </c>
      <c r="M385">
        <v>23</v>
      </c>
      <c r="N385">
        <v>1995</v>
      </c>
      <c r="O385">
        <v>0.27</v>
      </c>
      <c r="P385">
        <v>2.4700000000000002</v>
      </c>
      <c r="Q385">
        <v>1.4999999999999999E-2</v>
      </c>
      <c r="R385">
        <v>65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>
      <c r="A386">
        <v>393.78549940655591</v>
      </c>
      <c r="B386">
        <v>58.074074074074083</v>
      </c>
      <c r="C386">
        <v>4.7465216446325922</v>
      </c>
      <c r="D386">
        <v>436.77264000000002</v>
      </c>
      <c r="E386">
        <v>691.15375788391361</v>
      </c>
      <c r="F386">
        <v>179.63388</v>
      </c>
      <c r="G386">
        <v>76.4358</v>
      </c>
      <c r="H386">
        <v>9</v>
      </c>
      <c r="I386">
        <v>47</v>
      </c>
      <c r="J386">
        <v>4</v>
      </c>
      <c r="K386">
        <v>154</v>
      </c>
      <c r="L386">
        <v>61</v>
      </c>
      <c r="M386">
        <v>26</v>
      </c>
      <c r="N386">
        <v>1995</v>
      </c>
      <c r="O386">
        <v>0.27</v>
      </c>
      <c r="P386">
        <v>2.4700000000000002</v>
      </c>
      <c r="Q386">
        <v>1.4999999999999999E-2</v>
      </c>
      <c r="R386">
        <v>65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>
      <c r="A387">
        <v>379.27666521585661</v>
      </c>
      <c r="B387">
        <v>56.000000000000007</v>
      </c>
      <c r="C387">
        <v>4.7409583151982062</v>
      </c>
      <c r="D387">
        <v>450.90575999999999</v>
      </c>
      <c r="E387">
        <v>690.42323651452284</v>
      </c>
      <c r="F387">
        <v>174.83688000000001</v>
      </c>
      <c r="G387">
        <v>73.604880000000009</v>
      </c>
      <c r="H387">
        <v>6</v>
      </c>
      <c r="I387">
        <v>57</v>
      </c>
      <c r="J387">
        <v>6</v>
      </c>
      <c r="K387">
        <v>331</v>
      </c>
      <c r="L387">
        <v>54</v>
      </c>
      <c r="M387">
        <v>10</v>
      </c>
      <c r="N387">
        <v>1995</v>
      </c>
      <c r="O387">
        <v>0.27</v>
      </c>
      <c r="P387">
        <v>2.4700000000000002</v>
      </c>
      <c r="Q387">
        <v>1.4999999999999999E-2</v>
      </c>
      <c r="R387">
        <v>65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>
      <c r="A388">
        <v>379.20111672437758</v>
      </c>
      <c r="B388">
        <v>56</v>
      </c>
      <c r="C388">
        <v>4.7400139590547203</v>
      </c>
      <c r="D388">
        <v>415.52184</v>
      </c>
      <c r="E388">
        <v>692.99253112033193</v>
      </c>
      <c r="F388">
        <v>171.32184000000001</v>
      </c>
      <c r="G388">
        <v>73.641840000000002</v>
      </c>
      <c r="H388">
        <v>9</v>
      </c>
      <c r="I388">
        <v>44</v>
      </c>
      <c r="J388">
        <v>4</v>
      </c>
      <c r="K388">
        <v>203</v>
      </c>
      <c r="L388">
        <v>57</v>
      </c>
      <c r="M388">
        <v>28</v>
      </c>
      <c r="N388">
        <v>1995</v>
      </c>
      <c r="O388">
        <v>0.27</v>
      </c>
      <c r="P388">
        <v>2.4700000000000002</v>
      </c>
      <c r="Q388">
        <v>1.4999999999999999E-2</v>
      </c>
      <c r="R388">
        <v>65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>
      <c r="A389">
        <v>379.16392818548519</v>
      </c>
      <c r="B389">
        <v>56</v>
      </c>
      <c r="C389">
        <v>4.7395491023185654</v>
      </c>
      <c r="D389">
        <v>470.7792</v>
      </c>
      <c r="E389">
        <v>689.39775975944008</v>
      </c>
      <c r="F389">
        <v>173.7072</v>
      </c>
      <c r="G389">
        <v>73.562399999999997</v>
      </c>
      <c r="H389">
        <v>8</v>
      </c>
      <c r="I389">
        <v>60</v>
      </c>
      <c r="J389">
        <v>4</v>
      </c>
      <c r="K389">
        <v>301</v>
      </c>
      <c r="L389">
        <v>43</v>
      </c>
      <c r="M389">
        <v>3</v>
      </c>
      <c r="N389">
        <v>1995</v>
      </c>
      <c r="O389">
        <v>0.27</v>
      </c>
      <c r="P389">
        <v>2.4700000000000002</v>
      </c>
      <c r="Q389">
        <v>1.4999999999999999E-2</v>
      </c>
      <c r="R389">
        <v>65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>
      <c r="A390">
        <v>378.83454197483218</v>
      </c>
      <c r="B390">
        <v>55.999999999999993</v>
      </c>
      <c r="C390">
        <v>4.7354317746854031</v>
      </c>
      <c r="D390">
        <v>435.52064000000001</v>
      </c>
      <c r="E390">
        <v>687.90041493775936</v>
      </c>
      <c r="F390">
        <v>169.51552000000001</v>
      </c>
      <c r="G390">
        <v>73.468440000000001</v>
      </c>
      <c r="H390">
        <v>8</v>
      </c>
      <c r="I390">
        <v>46</v>
      </c>
      <c r="J390">
        <v>5</v>
      </c>
      <c r="K390">
        <v>245</v>
      </c>
      <c r="L390">
        <v>57</v>
      </c>
      <c r="M390">
        <v>23</v>
      </c>
      <c r="N390">
        <v>1995</v>
      </c>
      <c r="O390">
        <v>0.27</v>
      </c>
      <c r="P390">
        <v>2.4700000000000002</v>
      </c>
      <c r="Q390">
        <v>1.4999999999999999E-2</v>
      </c>
      <c r="R390">
        <v>65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>
      <c r="A391">
        <v>378.68817375530767</v>
      </c>
      <c r="B391">
        <v>56</v>
      </c>
      <c r="C391">
        <v>4.7336021719413468</v>
      </c>
      <c r="D391">
        <v>425.13560000000001</v>
      </c>
      <c r="E391">
        <v>690.78838174273869</v>
      </c>
      <c r="F391">
        <v>173.42359999999999</v>
      </c>
      <c r="G391">
        <v>73.498000000000005</v>
      </c>
      <c r="H391">
        <v>8</v>
      </c>
      <c r="I391">
        <v>48</v>
      </c>
      <c r="J391">
        <v>5</v>
      </c>
      <c r="K391">
        <v>38</v>
      </c>
      <c r="L391">
        <v>61</v>
      </c>
      <c r="M391">
        <v>4</v>
      </c>
      <c r="N391">
        <v>1995</v>
      </c>
      <c r="O391">
        <v>0.27</v>
      </c>
      <c r="P391">
        <v>2.4700000000000002</v>
      </c>
      <c r="Q391">
        <v>1.4999999999999999E-2</v>
      </c>
      <c r="R391">
        <v>65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>
      <c r="A392">
        <v>396.37801149067423</v>
      </c>
      <c r="B392">
        <v>58.625</v>
      </c>
      <c r="C392">
        <v>4.7328717789931263</v>
      </c>
      <c r="D392">
        <v>474.70800000000003</v>
      </c>
      <c r="E392">
        <v>688.7053941908714</v>
      </c>
      <c r="F392">
        <v>182.4888</v>
      </c>
      <c r="G392">
        <v>76.887600000000006</v>
      </c>
      <c r="H392">
        <v>8</v>
      </c>
      <c r="I392">
        <v>51</v>
      </c>
      <c r="J392">
        <v>5</v>
      </c>
      <c r="K392">
        <v>254</v>
      </c>
      <c r="L392">
        <v>62</v>
      </c>
      <c r="M392">
        <v>15</v>
      </c>
      <c r="N392">
        <v>1995</v>
      </c>
      <c r="O392">
        <v>0.27</v>
      </c>
      <c r="P392">
        <v>2.4700000000000002</v>
      </c>
      <c r="Q392">
        <v>1.4999999999999999E-2</v>
      </c>
      <c r="R392">
        <v>65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>
      <c r="A393">
        <v>378.33547928001639</v>
      </c>
      <c r="B393">
        <v>56</v>
      </c>
      <c r="C393">
        <v>4.7291934910002054</v>
      </c>
      <c r="D393">
        <v>461.87040000000002</v>
      </c>
      <c r="E393">
        <v>690.89079677158031</v>
      </c>
      <c r="F393">
        <v>173.50919999999999</v>
      </c>
      <c r="G393">
        <v>73.431600000000003</v>
      </c>
      <c r="H393">
        <v>7</v>
      </c>
      <c r="I393">
        <v>49</v>
      </c>
      <c r="J393">
        <v>6</v>
      </c>
      <c r="K393">
        <v>165</v>
      </c>
      <c r="L393">
        <v>57</v>
      </c>
      <c r="M393">
        <v>20</v>
      </c>
      <c r="N393">
        <v>1995</v>
      </c>
      <c r="O393">
        <v>0.27</v>
      </c>
      <c r="P393">
        <v>2.4700000000000002</v>
      </c>
      <c r="Q393">
        <v>1.4999999999999999E-2</v>
      </c>
      <c r="R393">
        <v>65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>
      <c r="A394">
        <v>378.25464503950639</v>
      </c>
      <c r="B394">
        <v>56.000000000000007</v>
      </c>
      <c r="C394">
        <v>4.7281830629938302</v>
      </c>
      <c r="D394">
        <v>431.58575999999999</v>
      </c>
      <c r="E394">
        <v>691.86224066390048</v>
      </c>
      <c r="F394">
        <v>168.34038000000001</v>
      </c>
      <c r="G394">
        <v>73.435380000000009</v>
      </c>
      <c r="H394">
        <v>9</v>
      </c>
      <c r="I394">
        <v>57</v>
      </c>
      <c r="J394">
        <v>3</v>
      </c>
      <c r="K394">
        <v>252</v>
      </c>
      <c r="L394">
        <v>56</v>
      </c>
      <c r="M394">
        <v>33</v>
      </c>
      <c r="N394">
        <v>1995</v>
      </c>
      <c r="O394">
        <v>0.27</v>
      </c>
      <c r="P394">
        <v>2.4700000000000002</v>
      </c>
      <c r="Q394">
        <v>1.4999999999999999E-2</v>
      </c>
      <c r="R394">
        <v>65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>
      <c r="A395">
        <v>378.21683599979468</v>
      </c>
      <c r="B395">
        <v>56</v>
      </c>
      <c r="C395">
        <v>4.7277104499974341</v>
      </c>
      <c r="D395">
        <v>444.80160000000001</v>
      </c>
      <c r="E395">
        <v>689.62966992687564</v>
      </c>
      <c r="F395">
        <v>172.45079999999999</v>
      </c>
      <c r="G395">
        <v>73.383300000000006</v>
      </c>
      <c r="H395">
        <v>9</v>
      </c>
      <c r="I395">
        <v>61</v>
      </c>
      <c r="J395">
        <v>3</v>
      </c>
      <c r="K395">
        <v>182</v>
      </c>
      <c r="L395">
        <v>43</v>
      </c>
      <c r="M395">
        <v>2</v>
      </c>
      <c r="N395">
        <v>1995</v>
      </c>
      <c r="O395">
        <v>0.27</v>
      </c>
      <c r="P395">
        <v>2.4700000000000002</v>
      </c>
      <c r="Q395">
        <v>1.4999999999999999E-2</v>
      </c>
      <c r="R395">
        <v>65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>
      <c r="A396">
        <v>377.86064209806068</v>
      </c>
      <c r="B396">
        <v>56</v>
      </c>
      <c r="C396">
        <v>4.7232580262257589</v>
      </c>
      <c r="D396">
        <v>467.16480000000001</v>
      </c>
      <c r="E396">
        <v>691.65809128630713</v>
      </c>
      <c r="F396">
        <v>172.3716</v>
      </c>
      <c r="G396">
        <v>73.354799999999997</v>
      </c>
      <c r="H396">
        <v>9</v>
      </c>
      <c r="I396">
        <v>60</v>
      </c>
      <c r="J396">
        <v>3</v>
      </c>
      <c r="K396">
        <v>176</v>
      </c>
      <c r="L396">
        <v>53</v>
      </c>
      <c r="M396">
        <v>4</v>
      </c>
      <c r="N396">
        <v>1995</v>
      </c>
      <c r="O396">
        <v>0.27</v>
      </c>
      <c r="P396">
        <v>2.4700000000000002</v>
      </c>
      <c r="Q396">
        <v>1.4999999999999999E-2</v>
      </c>
      <c r="R396">
        <v>65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>
      <c r="A397">
        <v>377.82645437220708</v>
      </c>
      <c r="B397">
        <v>56.000000000000007</v>
      </c>
      <c r="C397">
        <v>4.7228306796525894</v>
      </c>
      <c r="D397">
        <v>605.19050000000004</v>
      </c>
      <c r="E397">
        <v>687.99338947511569</v>
      </c>
      <c r="F397">
        <v>169.1788</v>
      </c>
      <c r="G397">
        <v>73.274799999999999</v>
      </c>
      <c r="H397">
        <v>6</v>
      </c>
      <c r="I397">
        <v>54</v>
      </c>
      <c r="J397">
        <v>6</v>
      </c>
      <c r="K397">
        <v>148</v>
      </c>
      <c r="L397">
        <v>59</v>
      </c>
      <c r="M397">
        <v>29</v>
      </c>
      <c r="N397">
        <v>1995</v>
      </c>
      <c r="O397">
        <v>0.27</v>
      </c>
      <c r="P397">
        <v>2.4700000000000002</v>
      </c>
      <c r="Q397">
        <v>1.4999999999999999E-2</v>
      </c>
      <c r="R397">
        <v>65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>
      <c r="A398">
        <v>377.82459056197013</v>
      </c>
      <c r="B398">
        <v>56</v>
      </c>
      <c r="C398">
        <v>4.7228073820246266</v>
      </c>
      <c r="D398">
        <v>407.67344000000008</v>
      </c>
      <c r="E398">
        <v>691.88381742738602</v>
      </c>
      <c r="F398">
        <v>168.54704000000001</v>
      </c>
      <c r="G398">
        <v>73.352320000000006</v>
      </c>
      <c r="H398">
        <v>8</v>
      </c>
      <c r="I398">
        <v>57</v>
      </c>
      <c r="J398">
        <v>4</v>
      </c>
      <c r="K398">
        <v>205</v>
      </c>
      <c r="L398">
        <v>56</v>
      </c>
      <c r="M398">
        <v>28</v>
      </c>
      <c r="N398">
        <v>1995</v>
      </c>
      <c r="O398">
        <v>0.27</v>
      </c>
      <c r="P398">
        <v>2.4700000000000002</v>
      </c>
      <c r="Q398">
        <v>1.4999999999999999E-2</v>
      </c>
      <c r="R398">
        <v>65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>
      <c r="A399">
        <v>377.81369572434937</v>
      </c>
      <c r="B399">
        <v>56</v>
      </c>
      <c r="C399">
        <v>4.7226711965543684</v>
      </c>
      <c r="D399">
        <v>414.79811999999998</v>
      </c>
      <c r="E399">
        <v>691.03734439834034</v>
      </c>
      <c r="F399">
        <v>170.59811999999999</v>
      </c>
      <c r="G399">
        <v>73.33326000000001</v>
      </c>
      <c r="H399">
        <v>9</v>
      </c>
      <c r="I399">
        <v>44</v>
      </c>
      <c r="J399">
        <v>4</v>
      </c>
      <c r="K399">
        <v>267</v>
      </c>
      <c r="L399">
        <v>59</v>
      </c>
      <c r="M399">
        <v>22</v>
      </c>
      <c r="N399">
        <v>1995</v>
      </c>
      <c r="O399">
        <v>0.27</v>
      </c>
      <c r="P399">
        <v>2.4700000000000002</v>
      </c>
      <c r="Q399">
        <v>1.4999999999999999E-2</v>
      </c>
      <c r="R399">
        <v>65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>
      <c r="A400">
        <v>377.15201766819382</v>
      </c>
      <c r="B400">
        <v>56</v>
      </c>
      <c r="C400">
        <v>4.7144002208524212</v>
      </c>
      <c r="D400">
        <v>437.44799999999998</v>
      </c>
      <c r="E400">
        <v>690.94581948122823</v>
      </c>
      <c r="F400">
        <v>170.21700000000001</v>
      </c>
      <c r="G400">
        <v>73.203000000000003</v>
      </c>
      <c r="H400">
        <v>7</v>
      </c>
      <c r="I400">
        <v>57</v>
      </c>
      <c r="J400">
        <v>5</v>
      </c>
      <c r="K400">
        <v>333</v>
      </c>
      <c r="L400">
        <v>56</v>
      </c>
      <c r="M400">
        <v>25</v>
      </c>
      <c r="N400">
        <v>1995</v>
      </c>
      <c r="O400">
        <v>0.27</v>
      </c>
      <c r="P400">
        <v>2.4700000000000002</v>
      </c>
      <c r="Q400">
        <v>1.4999999999999999E-2</v>
      </c>
      <c r="R400">
        <v>65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>
      <c r="A401">
        <v>376.32149827775299</v>
      </c>
      <c r="B401">
        <v>56</v>
      </c>
      <c r="C401">
        <v>4.7040187284719126</v>
      </c>
      <c r="D401">
        <v>462.20400000000001</v>
      </c>
      <c r="E401">
        <v>690.75518672199178</v>
      </c>
      <c r="F401">
        <v>170.44049999999999</v>
      </c>
      <c r="G401">
        <v>73.037999999999997</v>
      </c>
      <c r="H401">
        <v>9</v>
      </c>
      <c r="I401">
        <v>60</v>
      </c>
      <c r="J401">
        <v>3</v>
      </c>
      <c r="K401">
        <v>74</v>
      </c>
      <c r="L401">
        <v>52</v>
      </c>
      <c r="M401">
        <v>2</v>
      </c>
      <c r="N401">
        <v>1995</v>
      </c>
      <c r="O401">
        <v>0.27</v>
      </c>
      <c r="P401">
        <v>2.4700000000000002</v>
      </c>
      <c r="Q401">
        <v>1.4999999999999999E-2</v>
      </c>
      <c r="R401">
        <v>65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>
      <c r="A402">
        <v>364.72956662793888</v>
      </c>
      <c r="B402">
        <v>54.32</v>
      </c>
      <c r="C402">
        <v>4.7001232812878726</v>
      </c>
      <c r="D402">
        <v>423.36</v>
      </c>
      <c r="E402">
        <v>691.98722491346643</v>
      </c>
      <c r="F402">
        <v>165.06</v>
      </c>
      <c r="G402">
        <v>70.811999999999998</v>
      </c>
      <c r="H402">
        <v>9</v>
      </c>
      <c r="I402">
        <v>56</v>
      </c>
      <c r="J402">
        <v>3</v>
      </c>
      <c r="K402">
        <v>236</v>
      </c>
      <c r="L402">
        <v>56</v>
      </c>
      <c r="M402">
        <v>24</v>
      </c>
      <c r="N402">
        <v>1995</v>
      </c>
      <c r="O402">
        <v>0.27</v>
      </c>
      <c r="P402">
        <v>2.4700000000000002</v>
      </c>
      <c r="Q402">
        <v>1.4999999999999999E-2</v>
      </c>
      <c r="R402">
        <v>65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>
      <c r="A403">
        <v>375.89148971186472</v>
      </c>
      <c r="B403">
        <v>56.000000000000007</v>
      </c>
      <c r="C403">
        <v>4.6986436213983076</v>
      </c>
      <c r="D403">
        <v>410.21190000000001</v>
      </c>
      <c r="E403">
        <v>689.21161825726142</v>
      </c>
      <c r="F403">
        <v>168.9879</v>
      </c>
      <c r="G403">
        <v>72.9238</v>
      </c>
      <c r="H403">
        <v>8</v>
      </c>
      <c r="I403">
        <v>46</v>
      </c>
      <c r="J403">
        <v>5</v>
      </c>
      <c r="K403">
        <v>266</v>
      </c>
      <c r="L403">
        <v>58</v>
      </c>
      <c r="M403">
        <v>25</v>
      </c>
      <c r="N403">
        <v>1995</v>
      </c>
      <c r="O403">
        <v>0.27</v>
      </c>
      <c r="P403">
        <v>2.4700000000000002</v>
      </c>
      <c r="Q403">
        <v>1.4999999999999999E-2</v>
      </c>
      <c r="R403">
        <v>65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>
      <c r="A404">
        <v>375.68542382848551</v>
      </c>
      <c r="B404">
        <v>56</v>
      </c>
      <c r="C404">
        <v>4.6960677978560694</v>
      </c>
      <c r="D404">
        <v>432.74464000000012</v>
      </c>
      <c r="E404">
        <v>689.84748840464158</v>
      </c>
      <c r="F404">
        <v>168.54704000000001</v>
      </c>
      <c r="G404">
        <v>72.896480000000011</v>
      </c>
      <c r="H404">
        <v>8</v>
      </c>
      <c r="I404">
        <v>57</v>
      </c>
      <c r="J404">
        <v>4</v>
      </c>
      <c r="K404">
        <v>211</v>
      </c>
      <c r="L404">
        <v>55</v>
      </c>
      <c r="M404">
        <v>28</v>
      </c>
      <c r="N404">
        <v>1995</v>
      </c>
      <c r="O404">
        <v>0.27</v>
      </c>
      <c r="P404">
        <v>2.4700000000000002</v>
      </c>
      <c r="Q404">
        <v>1.4999999999999999E-2</v>
      </c>
      <c r="R404">
        <v>65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>
      <c r="A405">
        <v>375.45315949390539</v>
      </c>
      <c r="B405">
        <v>56</v>
      </c>
      <c r="C405">
        <v>4.6931644936738177</v>
      </c>
      <c r="D405">
        <v>464.50272000000012</v>
      </c>
      <c r="E405">
        <v>687.05031785810263</v>
      </c>
      <c r="F405">
        <v>169.80976799999999</v>
      </c>
      <c r="G405">
        <v>72.79576800000001</v>
      </c>
      <c r="H405">
        <v>7</v>
      </c>
      <c r="I405">
        <v>57</v>
      </c>
      <c r="J405">
        <v>5</v>
      </c>
      <c r="K405">
        <v>125</v>
      </c>
      <c r="L405">
        <v>56</v>
      </c>
      <c r="M405">
        <v>24</v>
      </c>
      <c r="N405">
        <v>1995</v>
      </c>
      <c r="O405">
        <v>0.27</v>
      </c>
      <c r="P405">
        <v>2.4700000000000002</v>
      </c>
      <c r="Q405">
        <v>1.4999999999999999E-2</v>
      </c>
      <c r="R405">
        <v>65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>
      <c r="A406">
        <v>375.43446606808737</v>
      </c>
      <c r="B406">
        <v>56.000000000000007</v>
      </c>
      <c r="C406">
        <v>4.6929308258510911</v>
      </c>
      <c r="D406">
        <v>420.57159999999999</v>
      </c>
      <c r="E406">
        <v>692.71369294605802</v>
      </c>
      <c r="F406">
        <v>171.9316</v>
      </c>
      <c r="G406">
        <v>72.904800000000009</v>
      </c>
      <c r="H406">
        <v>6</v>
      </c>
      <c r="I406">
        <v>56</v>
      </c>
      <c r="J406">
        <v>6</v>
      </c>
      <c r="K406">
        <v>98</v>
      </c>
      <c r="L406">
        <v>54</v>
      </c>
      <c r="M406">
        <v>8</v>
      </c>
      <c r="N406">
        <v>1995</v>
      </c>
      <c r="O406">
        <v>0.27</v>
      </c>
      <c r="P406">
        <v>2.4700000000000002</v>
      </c>
      <c r="Q406">
        <v>1.4999999999999999E-2</v>
      </c>
      <c r="R406">
        <v>65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>
      <c r="A407">
        <v>383.67505180789863</v>
      </c>
      <c r="B407">
        <v>57.235294117647058</v>
      </c>
      <c r="C407">
        <v>4.6924286911757376</v>
      </c>
      <c r="D407">
        <v>455.83820000000009</v>
      </c>
      <c r="E407">
        <v>691.86421163429304</v>
      </c>
      <c r="F407">
        <v>168.32866799999999</v>
      </c>
      <c r="G407">
        <v>74.487752499999999</v>
      </c>
      <c r="H407">
        <v>7</v>
      </c>
      <c r="I407">
        <v>56</v>
      </c>
      <c r="J407">
        <v>5</v>
      </c>
      <c r="K407">
        <v>77</v>
      </c>
      <c r="L407">
        <v>57</v>
      </c>
      <c r="M407">
        <v>37</v>
      </c>
      <c r="N407">
        <v>1995</v>
      </c>
      <c r="O407">
        <v>0.27</v>
      </c>
      <c r="P407">
        <v>2.4700000000000002</v>
      </c>
      <c r="Q407">
        <v>1.4999999999999999E-2</v>
      </c>
      <c r="R407">
        <v>65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>
      <c r="A408">
        <v>383.48494690475218</v>
      </c>
      <c r="B408">
        <v>57.235294117647058</v>
      </c>
      <c r="C408">
        <v>4.6901036671804244</v>
      </c>
      <c r="D408">
        <v>455.73559999999998</v>
      </c>
      <c r="E408">
        <v>691.86421163429304</v>
      </c>
      <c r="F408">
        <v>168.29378399999999</v>
      </c>
      <c r="G408">
        <v>74.450845000000001</v>
      </c>
      <c r="H408">
        <v>7</v>
      </c>
      <c r="I408">
        <v>56</v>
      </c>
      <c r="J408">
        <v>5</v>
      </c>
      <c r="K408">
        <v>312</v>
      </c>
      <c r="L408">
        <v>57</v>
      </c>
      <c r="M408">
        <v>37</v>
      </c>
      <c r="N408">
        <v>1995</v>
      </c>
      <c r="O408">
        <v>0.27</v>
      </c>
      <c r="P408">
        <v>2.4700000000000002</v>
      </c>
      <c r="Q408">
        <v>1.4999999999999999E-2</v>
      </c>
      <c r="R408">
        <v>65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>
      <c r="A409">
        <v>374.95406658869831</v>
      </c>
      <c r="B409">
        <v>56</v>
      </c>
      <c r="C409">
        <v>4.6869258323587291</v>
      </c>
      <c r="D409">
        <v>460.63200000000012</v>
      </c>
      <c r="E409">
        <v>687.05031785810263</v>
      </c>
      <c r="F409">
        <v>169.71299999999999</v>
      </c>
      <c r="G409">
        <v>72.698999999999998</v>
      </c>
      <c r="H409">
        <v>7</v>
      </c>
      <c r="I409">
        <v>57</v>
      </c>
      <c r="J409">
        <v>5</v>
      </c>
      <c r="K409">
        <v>124</v>
      </c>
      <c r="L409">
        <v>56</v>
      </c>
      <c r="M409">
        <v>24</v>
      </c>
      <c r="N409">
        <v>1995</v>
      </c>
      <c r="O409">
        <v>0.27</v>
      </c>
      <c r="P409">
        <v>2.4700000000000002</v>
      </c>
      <c r="Q409">
        <v>1.4999999999999999E-2</v>
      </c>
      <c r="R409">
        <v>65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>
      <c r="A410">
        <v>340.01472345578998</v>
      </c>
      <c r="B410">
        <v>50.82</v>
      </c>
      <c r="C410">
        <v>4.6833983947078508</v>
      </c>
      <c r="D410">
        <v>388.48500000000001</v>
      </c>
      <c r="E410">
        <v>685.31905567019044</v>
      </c>
      <c r="F410">
        <v>194.24250000000001</v>
      </c>
      <c r="G410">
        <v>65.893500000000003</v>
      </c>
      <c r="H410">
        <v>22</v>
      </c>
      <c r="I410">
        <v>51</v>
      </c>
      <c r="J410">
        <v>3</v>
      </c>
      <c r="K410">
        <v>236</v>
      </c>
      <c r="L410">
        <v>62</v>
      </c>
      <c r="M410">
        <v>21</v>
      </c>
      <c r="N410">
        <v>1995</v>
      </c>
      <c r="O410">
        <v>0.27</v>
      </c>
      <c r="P410">
        <v>2.4700000000000002</v>
      </c>
      <c r="Q410">
        <v>1.4999999999999999E-2</v>
      </c>
      <c r="R410">
        <v>65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>
      <c r="A411">
        <v>374.64204405982798</v>
      </c>
      <c r="B411">
        <v>56</v>
      </c>
      <c r="C411">
        <v>4.6830255507478498</v>
      </c>
      <c r="D411">
        <v>383.05507999999998</v>
      </c>
      <c r="E411">
        <v>691.51867219917017</v>
      </c>
      <c r="F411">
        <v>161.05508</v>
      </c>
      <c r="G411">
        <v>72.727200000000011</v>
      </c>
      <c r="H411">
        <v>6</v>
      </c>
      <c r="I411">
        <v>50</v>
      </c>
      <c r="J411">
        <v>6</v>
      </c>
      <c r="K411">
        <v>155</v>
      </c>
      <c r="L411">
        <v>60</v>
      </c>
      <c r="M411">
        <v>44</v>
      </c>
      <c r="N411">
        <v>1995</v>
      </c>
      <c r="O411">
        <v>0.27</v>
      </c>
      <c r="P411">
        <v>2.4700000000000002</v>
      </c>
      <c r="Q411">
        <v>1.4999999999999999E-2</v>
      </c>
      <c r="R411">
        <v>65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>
      <c r="A412">
        <v>374.12484234234063</v>
      </c>
      <c r="B412">
        <v>55.999999999999993</v>
      </c>
      <c r="C412">
        <v>4.6765605292792589</v>
      </c>
      <c r="D412">
        <v>432.16448000000003</v>
      </c>
      <c r="E412">
        <v>690.48962655601667</v>
      </c>
      <c r="F412">
        <v>168.25695999999999</v>
      </c>
      <c r="G412">
        <v>72.606400000000008</v>
      </c>
      <c r="H412">
        <v>8</v>
      </c>
      <c r="I412">
        <v>57</v>
      </c>
      <c r="J412">
        <v>4</v>
      </c>
      <c r="K412">
        <v>258</v>
      </c>
      <c r="L412">
        <v>56</v>
      </c>
      <c r="M412">
        <v>23</v>
      </c>
      <c r="N412">
        <v>1995</v>
      </c>
      <c r="O412">
        <v>0.27</v>
      </c>
      <c r="P412">
        <v>2.4700000000000002</v>
      </c>
      <c r="Q412">
        <v>1.4999999999999999E-2</v>
      </c>
      <c r="R412">
        <v>65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>
      <c r="A413">
        <v>373.98307383855888</v>
      </c>
      <c r="B413">
        <v>56.000000000000007</v>
      </c>
      <c r="C413">
        <v>4.6747884229819858</v>
      </c>
      <c r="D413">
        <v>467.39213999999998</v>
      </c>
      <c r="E413">
        <v>688.8995850622407</v>
      </c>
      <c r="F413">
        <v>172.44738000000001</v>
      </c>
      <c r="G413">
        <v>72.547380000000004</v>
      </c>
      <c r="H413">
        <v>9</v>
      </c>
      <c r="I413">
        <v>45</v>
      </c>
      <c r="J413">
        <v>4</v>
      </c>
      <c r="K413">
        <v>99</v>
      </c>
      <c r="L413">
        <v>58</v>
      </c>
      <c r="M413">
        <v>9</v>
      </c>
      <c r="N413">
        <v>1995</v>
      </c>
      <c r="O413">
        <v>0.27</v>
      </c>
      <c r="P413">
        <v>2.4700000000000002</v>
      </c>
      <c r="Q413">
        <v>1.4999999999999999E-2</v>
      </c>
      <c r="R413">
        <v>65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>
      <c r="A414">
        <v>373.5748885619476</v>
      </c>
      <c r="B414">
        <v>56</v>
      </c>
      <c r="C414">
        <v>4.6696861070243454</v>
      </c>
      <c r="D414">
        <v>436.99955999999997</v>
      </c>
      <c r="E414">
        <v>690.85083059222325</v>
      </c>
      <c r="F414">
        <v>169.83546000000001</v>
      </c>
      <c r="G414">
        <v>72.506820000000005</v>
      </c>
      <c r="H414">
        <v>8</v>
      </c>
      <c r="I414">
        <v>58</v>
      </c>
      <c r="J414">
        <v>4</v>
      </c>
      <c r="K414">
        <v>303</v>
      </c>
      <c r="L414">
        <v>55</v>
      </c>
      <c r="M414">
        <v>17</v>
      </c>
      <c r="N414">
        <v>1995</v>
      </c>
      <c r="O414">
        <v>0.27</v>
      </c>
      <c r="P414">
        <v>2.4700000000000002</v>
      </c>
      <c r="Q414">
        <v>1.4999999999999999E-2</v>
      </c>
      <c r="R414">
        <v>65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>
      <c r="A415">
        <v>373.40684431767028</v>
      </c>
      <c r="B415">
        <v>56</v>
      </c>
      <c r="C415">
        <v>4.6675855539708788</v>
      </c>
      <c r="D415">
        <v>407.20724000000013</v>
      </c>
      <c r="E415">
        <v>688.63070539419095</v>
      </c>
      <c r="F415">
        <v>168.08083999999999</v>
      </c>
      <c r="G415">
        <v>72.430279999999996</v>
      </c>
      <c r="H415">
        <v>8</v>
      </c>
      <c r="I415">
        <v>57</v>
      </c>
      <c r="J415">
        <v>4</v>
      </c>
      <c r="K415">
        <v>206</v>
      </c>
      <c r="L415">
        <v>56</v>
      </c>
      <c r="M415">
        <v>25</v>
      </c>
      <c r="N415">
        <v>1995</v>
      </c>
      <c r="O415">
        <v>0.27</v>
      </c>
      <c r="P415">
        <v>2.4700000000000002</v>
      </c>
      <c r="Q415">
        <v>1.4999999999999999E-2</v>
      </c>
      <c r="R415">
        <v>65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>
      <c r="A416">
        <v>372.41967844307419</v>
      </c>
      <c r="B416">
        <v>56</v>
      </c>
      <c r="C416">
        <v>4.6552459805384272</v>
      </c>
      <c r="D416">
        <v>405.87200000000013</v>
      </c>
      <c r="E416">
        <v>690.7187486570167</v>
      </c>
      <c r="F416">
        <v>167.59200000000001</v>
      </c>
      <c r="G416">
        <v>72.28</v>
      </c>
      <c r="H416">
        <v>7</v>
      </c>
      <c r="I416">
        <v>56</v>
      </c>
      <c r="J416">
        <v>5</v>
      </c>
      <c r="K416">
        <v>133</v>
      </c>
      <c r="L416">
        <v>57</v>
      </c>
      <c r="M416">
        <v>25</v>
      </c>
      <c r="N416">
        <v>1995</v>
      </c>
      <c r="O416">
        <v>0.27</v>
      </c>
      <c r="P416">
        <v>2.4700000000000002</v>
      </c>
      <c r="Q416">
        <v>1.4999999999999999E-2</v>
      </c>
      <c r="R416">
        <v>65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>
      <c r="A417">
        <v>372.20957567424011</v>
      </c>
      <c r="B417">
        <v>56.000000000000007</v>
      </c>
      <c r="C417">
        <v>4.6526196959280002</v>
      </c>
      <c r="D417">
        <v>394.82303999999999</v>
      </c>
      <c r="E417">
        <v>690.88796680497921</v>
      </c>
      <c r="F417">
        <v>164.08704</v>
      </c>
      <c r="G417">
        <v>72.242559999999997</v>
      </c>
      <c r="H417">
        <v>8</v>
      </c>
      <c r="I417">
        <v>55</v>
      </c>
      <c r="J417">
        <v>4</v>
      </c>
      <c r="K417">
        <v>204</v>
      </c>
      <c r="L417">
        <v>58</v>
      </c>
      <c r="M417">
        <v>32</v>
      </c>
      <c r="N417">
        <v>1995</v>
      </c>
      <c r="O417">
        <v>0.27</v>
      </c>
      <c r="P417">
        <v>2.4700000000000002</v>
      </c>
      <c r="Q417">
        <v>1.4999999999999999E-2</v>
      </c>
      <c r="R417">
        <v>65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>
      <c r="A418">
        <v>372.20957567424011</v>
      </c>
      <c r="B418">
        <v>56.000000000000007</v>
      </c>
      <c r="C418">
        <v>4.6526196959280002</v>
      </c>
      <c r="D418">
        <v>394.82303999999999</v>
      </c>
      <c r="E418">
        <v>690.88796680497921</v>
      </c>
      <c r="F418">
        <v>164.08704</v>
      </c>
      <c r="G418">
        <v>72.242559999999997</v>
      </c>
      <c r="H418">
        <v>8</v>
      </c>
      <c r="I418">
        <v>55</v>
      </c>
      <c r="J418">
        <v>4</v>
      </c>
      <c r="K418">
        <v>207</v>
      </c>
      <c r="L418">
        <v>58</v>
      </c>
      <c r="M418">
        <v>32</v>
      </c>
      <c r="N418">
        <v>1995</v>
      </c>
      <c r="O418">
        <v>0.27</v>
      </c>
      <c r="P418">
        <v>2.4700000000000002</v>
      </c>
      <c r="Q418">
        <v>1.4999999999999999E-2</v>
      </c>
      <c r="R418">
        <v>65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>
      <c r="A419">
        <v>372.0077197592995</v>
      </c>
      <c r="B419">
        <v>56</v>
      </c>
      <c r="C419">
        <v>4.6500964969912442</v>
      </c>
      <c r="D419">
        <v>451.33920000000001</v>
      </c>
      <c r="E419">
        <v>691.34551057100293</v>
      </c>
      <c r="F419">
        <v>172.8972</v>
      </c>
      <c r="G419">
        <v>72.212399999999988</v>
      </c>
      <c r="H419">
        <v>8</v>
      </c>
      <c r="I419">
        <v>60</v>
      </c>
      <c r="J419">
        <v>4</v>
      </c>
      <c r="K419">
        <v>304</v>
      </c>
      <c r="L419">
        <v>45</v>
      </c>
      <c r="M419">
        <v>3</v>
      </c>
      <c r="N419">
        <v>1995</v>
      </c>
      <c r="O419">
        <v>0.27</v>
      </c>
      <c r="P419">
        <v>2.4700000000000002</v>
      </c>
      <c r="Q419">
        <v>1.4999999999999999E-2</v>
      </c>
      <c r="R419">
        <v>65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>
      <c r="A420">
        <v>348.4733382153355</v>
      </c>
      <c r="B420">
        <v>52.500000000000007</v>
      </c>
      <c r="C420">
        <v>4.6463111762044731</v>
      </c>
      <c r="D420">
        <v>394.27199999999999</v>
      </c>
      <c r="E420">
        <v>692.51452282157686</v>
      </c>
      <c r="F420">
        <v>197.136</v>
      </c>
      <c r="G420">
        <v>67.665600000000012</v>
      </c>
      <c r="H420">
        <v>22</v>
      </c>
      <c r="I420">
        <v>52</v>
      </c>
      <c r="J420">
        <v>3</v>
      </c>
      <c r="K420">
        <v>250</v>
      </c>
      <c r="L420">
        <v>61</v>
      </c>
      <c r="M420">
        <v>27</v>
      </c>
      <c r="N420">
        <v>1995</v>
      </c>
      <c r="O420">
        <v>0.27</v>
      </c>
      <c r="P420">
        <v>2.4700000000000002</v>
      </c>
      <c r="Q420">
        <v>1.4999999999999999E-2</v>
      </c>
      <c r="R420">
        <v>65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>
      <c r="A421">
        <v>348.4733382153355</v>
      </c>
      <c r="B421">
        <v>52.500000000000007</v>
      </c>
      <c r="C421">
        <v>4.6463111762044731</v>
      </c>
      <c r="D421">
        <v>394.27199999999999</v>
      </c>
      <c r="E421">
        <v>692.51452282157686</v>
      </c>
      <c r="F421">
        <v>197.136</v>
      </c>
      <c r="G421">
        <v>67.665600000000012</v>
      </c>
      <c r="H421">
        <v>22</v>
      </c>
      <c r="I421">
        <v>52</v>
      </c>
      <c r="J421">
        <v>3</v>
      </c>
      <c r="K421">
        <v>251</v>
      </c>
      <c r="L421">
        <v>61</v>
      </c>
      <c r="M421">
        <v>27</v>
      </c>
      <c r="N421">
        <v>1995</v>
      </c>
      <c r="O421">
        <v>0.27</v>
      </c>
      <c r="P421">
        <v>2.4700000000000002</v>
      </c>
      <c r="Q421">
        <v>1.4999999999999999E-2</v>
      </c>
      <c r="R421">
        <v>65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>
      <c r="A422">
        <v>347.95187418107838</v>
      </c>
      <c r="B422">
        <v>52.500000000000007</v>
      </c>
      <c r="C422">
        <v>4.6393583224143784</v>
      </c>
      <c r="D422">
        <v>388.95287999999999</v>
      </c>
      <c r="E422">
        <v>689.45726141078842</v>
      </c>
      <c r="F422">
        <v>194.47644</v>
      </c>
      <c r="G422">
        <v>67.507979999999989</v>
      </c>
      <c r="H422">
        <v>22</v>
      </c>
      <c r="I422">
        <v>51</v>
      </c>
      <c r="J422">
        <v>3</v>
      </c>
      <c r="K422">
        <v>247</v>
      </c>
      <c r="L422">
        <v>62</v>
      </c>
      <c r="M422">
        <v>28</v>
      </c>
      <c r="N422">
        <v>1995</v>
      </c>
      <c r="O422">
        <v>0.27</v>
      </c>
      <c r="P422">
        <v>2.4700000000000002</v>
      </c>
      <c r="Q422">
        <v>1.4999999999999999E-2</v>
      </c>
      <c r="R422">
        <v>65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>
      <c r="A423">
        <v>347.90081041817689</v>
      </c>
      <c r="B423">
        <v>52.500000000000007</v>
      </c>
      <c r="C423">
        <v>4.6386774722423576</v>
      </c>
      <c r="D423">
        <v>394.8048</v>
      </c>
      <c r="E423">
        <v>691.3195020746889</v>
      </c>
      <c r="F423">
        <v>197.4024</v>
      </c>
      <c r="G423">
        <v>67.532399999999996</v>
      </c>
      <c r="H423">
        <v>22</v>
      </c>
      <c r="I423">
        <v>52</v>
      </c>
      <c r="J423">
        <v>3</v>
      </c>
      <c r="K423">
        <v>255</v>
      </c>
      <c r="L423">
        <v>60</v>
      </c>
      <c r="M423">
        <v>21</v>
      </c>
      <c r="N423">
        <v>1995</v>
      </c>
      <c r="O423">
        <v>0.27</v>
      </c>
      <c r="P423">
        <v>2.4700000000000002</v>
      </c>
      <c r="Q423">
        <v>1.4999999999999999E-2</v>
      </c>
      <c r="R423">
        <v>65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>
      <c r="A424">
        <v>347.489113532293</v>
      </c>
      <c r="B424">
        <v>52.5</v>
      </c>
      <c r="C424">
        <v>4.6331881804305741</v>
      </c>
      <c r="D424">
        <v>392.16300000000001</v>
      </c>
      <c r="E424">
        <v>690.23409570957301</v>
      </c>
      <c r="F424">
        <v>196.08150000000001</v>
      </c>
      <c r="G424">
        <v>67.432500000000005</v>
      </c>
      <c r="H424">
        <v>22</v>
      </c>
      <c r="I424">
        <v>53</v>
      </c>
      <c r="J424">
        <v>3</v>
      </c>
      <c r="K424">
        <v>212</v>
      </c>
      <c r="L424">
        <v>60</v>
      </c>
      <c r="M424">
        <v>15</v>
      </c>
      <c r="N424">
        <v>1995</v>
      </c>
      <c r="O424">
        <v>0.27</v>
      </c>
      <c r="P424">
        <v>2.4700000000000002</v>
      </c>
      <c r="Q424">
        <v>1.4999999999999999E-2</v>
      </c>
      <c r="R424">
        <v>65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>
      <c r="A425">
        <v>347.31535838737329</v>
      </c>
      <c r="B425">
        <v>52.5</v>
      </c>
      <c r="C425">
        <v>4.6308714451649768</v>
      </c>
      <c r="D425">
        <v>376.29</v>
      </c>
      <c r="E425">
        <v>692.06639004149383</v>
      </c>
      <c r="F425">
        <v>199.8</v>
      </c>
      <c r="G425">
        <v>67.432500000000005</v>
      </c>
      <c r="H425">
        <v>22</v>
      </c>
      <c r="I425">
        <v>53</v>
      </c>
      <c r="J425">
        <v>3</v>
      </c>
      <c r="K425">
        <v>265</v>
      </c>
      <c r="L425">
        <v>60</v>
      </c>
      <c r="M425">
        <v>21</v>
      </c>
      <c r="N425">
        <v>1995</v>
      </c>
      <c r="O425">
        <v>0.27</v>
      </c>
      <c r="P425">
        <v>2.4700000000000002</v>
      </c>
      <c r="Q425">
        <v>1.4999999999999999E-2</v>
      </c>
      <c r="R425">
        <v>65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>
      <c r="A426">
        <v>355.30987679679203</v>
      </c>
      <c r="B426">
        <v>53.729729729729733</v>
      </c>
      <c r="C426">
        <v>4.6290371272821504</v>
      </c>
      <c r="D426">
        <v>460.37795999999997</v>
      </c>
      <c r="E426">
        <v>686.59284721451627</v>
      </c>
      <c r="F426">
        <v>159.21485999999999</v>
      </c>
      <c r="G426">
        <v>68.881619999999998</v>
      </c>
      <c r="H426">
        <v>8</v>
      </c>
      <c r="I426">
        <v>53</v>
      </c>
      <c r="J426">
        <v>4</v>
      </c>
      <c r="K426">
        <v>217</v>
      </c>
      <c r="L426">
        <v>60</v>
      </c>
      <c r="M426">
        <v>31</v>
      </c>
      <c r="N426">
        <v>1995</v>
      </c>
      <c r="O426">
        <v>0.27</v>
      </c>
      <c r="P426">
        <v>2.4700000000000002</v>
      </c>
      <c r="Q426">
        <v>1.4999999999999999E-2</v>
      </c>
      <c r="R426">
        <v>65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>
      <c r="A427">
        <v>384.19456016126719</v>
      </c>
      <c r="B427">
        <v>58.100000000000009</v>
      </c>
      <c r="C427">
        <v>4.6288501224249066</v>
      </c>
      <c r="D427">
        <v>448.0256</v>
      </c>
      <c r="E427">
        <v>690.72199170124486</v>
      </c>
      <c r="F427">
        <v>173.39680000000001</v>
      </c>
      <c r="G427">
        <v>74.565359999999998</v>
      </c>
      <c r="H427">
        <v>6</v>
      </c>
      <c r="I427">
        <v>58</v>
      </c>
      <c r="J427">
        <v>6</v>
      </c>
      <c r="K427">
        <v>91</v>
      </c>
      <c r="L427">
        <v>53</v>
      </c>
      <c r="M427">
        <v>7</v>
      </c>
      <c r="N427">
        <v>1995</v>
      </c>
      <c r="O427">
        <v>0.27</v>
      </c>
      <c r="P427">
        <v>2.4700000000000002</v>
      </c>
      <c r="Q427">
        <v>1.4999999999999999E-2</v>
      </c>
      <c r="R427">
        <v>65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>
      <c r="A428">
        <v>346.95888416840108</v>
      </c>
      <c r="B428">
        <v>52.500000000000007</v>
      </c>
      <c r="C428">
        <v>4.6261184555786814</v>
      </c>
      <c r="D428">
        <v>392.77424000000002</v>
      </c>
      <c r="E428">
        <v>691.32282157676354</v>
      </c>
      <c r="F428">
        <v>196.38712000000001</v>
      </c>
      <c r="G428">
        <v>67.349620000000002</v>
      </c>
      <c r="H428">
        <v>22</v>
      </c>
      <c r="I428">
        <v>53</v>
      </c>
      <c r="J428">
        <v>3</v>
      </c>
      <c r="K428">
        <v>244</v>
      </c>
      <c r="L428">
        <v>59</v>
      </c>
      <c r="M428">
        <v>19</v>
      </c>
      <c r="N428">
        <v>1995</v>
      </c>
      <c r="O428">
        <v>0.27</v>
      </c>
      <c r="P428">
        <v>2.4700000000000002</v>
      </c>
      <c r="Q428">
        <v>1.4999999999999999E-2</v>
      </c>
      <c r="R428">
        <v>65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>
      <c r="A429">
        <v>370.08717178237828</v>
      </c>
      <c r="B429">
        <v>56.000000000000007</v>
      </c>
      <c r="C429">
        <v>4.6260896472797288</v>
      </c>
      <c r="D429">
        <v>420.90460000000002</v>
      </c>
      <c r="E429">
        <v>692.4199170124482</v>
      </c>
      <c r="F429">
        <v>163.8323</v>
      </c>
      <c r="G429">
        <v>71.86066000000001</v>
      </c>
      <c r="H429">
        <v>9</v>
      </c>
      <c r="I429">
        <v>57</v>
      </c>
      <c r="J429">
        <v>3</v>
      </c>
      <c r="K429">
        <v>246</v>
      </c>
      <c r="L429">
        <v>56</v>
      </c>
      <c r="M429">
        <v>19</v>
      </c>
      <c r="N429">
        <v>1995</v>
      </c>
      <c r="O429">
        <v>0.27</v>
      </c>
      <c r="P429">
        <v>2.4700000000000002</v>
      </c>
      <c r="Q429">
        <v>1.4999999999999999E-2</v>
      </c>
      <c r="R429">
        <v>65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>
      <c r="A430">
        <v>346.83790468025768</v>
      </c>
      <c r="B430">
        <v>52.5</v>
      </c>
      <c r="C430">
        <v>4.6245053957367697</v>
      </c>
      <c r="D430">
        <v>391.94470000000001</v>
      </c>
      <c r="E430">
        <v>691.07053941908714</v>
      </c>
      <c r="F430">
        <v>195.97235000000001</v>
      </c>
      <c r="G430">
        <v>67.3215</v>
      </c>
      <c r="H430">
        <v>22</v>
      </c>
      <c r="I430">
        <v>53</v>
      </c>
      <c r="J430">
        <v>3</v>
      </c>
      <c r="K430">
        <v>248</v>
      </c>
      <c r="L430">
        <v>60</v>
      </c>
      <c r="M430">
        <v>19</v>
      </c>
      <c r="N430">
        <v>1995</v>
      </c>
      <c r="O430">
        <v>0.27</v>
      </c>
      <c r="P430">
        <v>2.4700000000000002</v>
      </c>
      <c r="Q430">
        <v>1.4999999999999999E-2</v>
      </c>
      <c r="R430">
        <v>65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>
      <c r="A431">
        <v>346.63336420541577</v>
      </c>
      <c r="B431">
        <v>52.5</v>
      </c>
      <c r="C431">
        <v>4.6217781894055454</v>
      </c>
      <c r="D431">
        <v>370.31819999999999</v>
      </c>
      <c r="E431">
        <v>691.41908713692953</v>
      </c>
      <c r="F431">
        <v>197.15819999999999</v>
      </c>
      <c r="G431">
        <v>67.288200000000003</v>
      </c>
      <c r="H431">
        <v>22</v>
      </c>
      <c r="I431">
        <v>52</v>
      </c>
      <c r="J431">
        <v>3</v>
      </c>
      <c r="K431">
        <v>268</v>
      </c>
      <c r="L431">
        <v>60</v>
      </c>
      <c r="M431">
        <v>23</v>
      </c>
      <c r="N431">
        <v>1995</v>
      </c>
      <c r="O431">
        <v>0.27</v>
      </c>
      <c r="P431">
        <v>2.4700000000000002</v>
      </c>
      <c r="Q431">
        <v>1.4999999999999999E-2</v>
      </c>
      <c r="R431">
        <v>65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>
      <c r="A432">
        <v>346.47550236504361</v>
      </c>
      <c r="B432">
        <v>52.5</v>
      </c>
      <c r="C432">
        <v>4.619673364867249</v>
      </c>
      <c r="D432">
        <v>413.27519999999998</v>
      </c>
      <c r="E432">
        <v>692.28215767634856</v>
      </c>
      <c r="F432">
        <v>195.47839999999999</v>
      </c>
      <c r="G432">
        <v>67.273399999999995</v>
      </c>
      <c r="H432">
        <v>22</v>
      </c>
      <c r="I432">
        <v>54</v>
      </c>
      <c r="J432">
        <v>3</v>
      </c>
      <c r="K432">
        <v>101</v>
      </c>
      <c r="L432">
        <v>58</v>
      </c>
      <c r="M432">
        <v>8</v>
      </c>
      <c r="N432">
        <v>1995</v>
      </c>
      <c r="O432">
        <v>0.27</v>
      </c>
      <c r="P432">
        <v>2.4700000000000002</v>
      </c>
      <c r="Q432">
        <v>1.4999999999999999E-2</v>
      </c>
      <c r="R432">
        <v>65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>
      <c r="A433">
        <v>346.14272718857688</v>
      </c>
      <c r="B433">
        <v>52.5</v>
      </c>
      <c r="C433">
        <v>4.6152363625143593</v>
      </c>
      <c r="D433">
        <v>393.20639999999997</v>
      </c>
      <c r="E433">
        <v>687.65477178423248</v>
      </c>
      <c r="F433">
        <v>196.60319999999999</v>
      </c>
      <c r="G433">
        <v>67.123919999999998</v>
      </c>
      <c r="H433">
        <v>22</v>
      </c>
      <c r="I433">
        <v>52</v>
      </c>
      <c r="J433">
        <v>3</v>
      </c>
      <c r="K433">
        <v>253</v>
      </c>
      <c r="L433">
        <v>61</v>
      </c>
      <c r="M433">
        <v>22</v>
      </c>
      <c r="N433">
        <v>1995</v>
      </c>
      <c r="O433">
        <v>0.27</v>
      </c>
      <c r="P433">
        <v>2.4700000000000002</v>
      </c>
      <c r="Q433">
        <v>1.4999999999999999E-2</v>
      </c>
      <c r="R433">
        <v>65</v>
      </c>
      <c r="S433">
        <v>700</v>
      </c>
      <c r="T433">
        <v>475</v>
      </c>
      <c r="U433">
        <v>275</v>
      </c>
      <c r="V433">
        <v>370</v>
      </c>
      <c r="W433">
        <v>155</v>
      </c>
    </row>
    <row r="434" spans="1:23">
      <c r="A434">
        <v>369.02387280589301</v>
      </c>
      <c r="B434">
        <v>56</v>
      </c>
      <c r="C434">
        <v>4.6127984100736628</v>
      </c>
      <c r="D434">
        <v>440.49239999999998</v>
      </c>
      <c r="E434">
        <v>691.09543568464733</v>
      </c>
      <c r="F434">
        <v>162.3708</v>
      </c>
      <c r="G434">
        <v>71.628299999999996</v>
      </c>
      <c r="H434">
        <v>9</v>
      </c>
      <c r="I434">
        <v>59</v>
      </c>
      <c r="J434">
        <v>3</v>
      </c>
      <c r="K434">
        <v>101</v>
      </c>
      <c r="L434">
        <v>52</v>
      </c>
      <c r="M434">
        <v>9</v>
      </c>
      <c r="N434">
        <v>1995</v>
      </c>
      <c r="O434">
        <v>0.27</v>
      </c>
      <c r="P434">
        <v>2.4700000000000002</v>
      </c>
      <c r="Q434">
        <v>1.4999999999999999E-2</v>
      </c>
      <c r="R434">
        <v>65</v>
      </c>
      <c r="S434">
        <v>700</v>
      </c>
      <c r="T434">
        <v>475</v>
      </c>
      <c r="U434">
        <v>275</v>
      </c>
      <c r="V434">
        <v>370</v>
      </c>
      <c r="W434">
        <v>155</v>
      </c>
    </row>
    <row r="435" spans="1:23">
      <c r="A435">
        <v>345.86689600194802</v>
      </c>
      <c r="B435">
        <v>52.5</v>
      </c>
      <c r="C435">
        <v>4.6115586133593061</v>
      </c>
      <c r="D435">
        <v>393.11759999999998</v>
      </c>
      <c r="E435">
        <v>688.11037344398346</v>
      </c>
      <c r="F435">
        <v>196.55879999999999</v>
      </c>
      <c r="G435">
        <v>67.078779999999995</v>
      </c>
      <c r="H435">
        <v>22</v>
      </c>
      <c r="I435">
        <v>52</v>
      </c>
      <c r="J435">
        <v>3</v>
      </c>
      <c r="K435">
        <v>246</v>
      </c>
      <c r="L435">
        <v>61</v>
      </c>
      <c r="M435">
        <v>17</v>
      </c>
      <c r="N435">
        <v>1995</v>
      </c>
      <c r="O435">
        <v>0.27</v>
      </c>
      <c r="P435">
        <v>2.4700000000000002</v>
      </c>
      <c r="Q435">
        <v>1.4999999999999999E-2</v>
      </c>
      <c r="R435">
        <v>65</v>
      </c>
      <c r="S435">
        <v>700</v>
      </c>
      <c r="T435">
        <v>475</v>
      </c>
      <c r="U435">
        <v>275</v>
      </c>
      <c r="V435">
        <v>370</v>
      </c>
      <c r="W435">
        <v>155</v>
      </c>
    </row>
    <row r="436" spans="1:23">
      <c r="A436">
        <v>368.39613650757758</v>
      </c>
      <c r="B436">
        <v>56</v>
      </c>
      <c r="C436">
        <v>4.6049517063447203</v>
      </c>
      <c r="D436">
        <v>391.1936</v>
      </c>
      <c r="E436">
        <v>692.78838174273869</v>
      </c>
      <c r="F436">
        <v>162.2561</v>
      </c>
      <c r="G436">
        <v>71.539500000000004</v>
      </c>
      <c r="H436">
        <v>9</v>
      </c>
      <c r="I436">
        <v>55</v>
      </c>
      <c r="J436">
        <v>3</v>
      </c>
      <c r="K436">
        <v>202</v>
      </c>
      <c r="L436">
        <v>58</v>
      </c>
      <c r="M436">
        <v>30</v>
      </c>
      <c r="N436">
        <v>1995</v>
      </c>
      <c r="O436">
        <v>0.27</v>
      </c>
      <c r="P436">
        <v>2.4700000000000002</v>
      </c>
      <c r="Q436">
        <v>1.4999999999999999E-2</v>
      </c>
      <c r="R436">
        <v>65</v>
      </c>
      <c r="S436">
        <v>700</v>
      </c>
      <c r="T436">
        <v>475</v>
      </c>
      <c r="U436">
        <v>275</v>
      </c>
      <c r="V436">
        <v>370</v>
      </c>
      <c r="W436">
        <v>155</v>
      </c>
    </row>
    <row r="437" spans="1:23">
      <c r="A437">
        <v>368.25854658397151</v>
      </c>
      <c r="B437">
        <v>56</v>
      </c>
      <c r="C437">
        <v>4.6032318322996444</v>
      </c>
      <c r="D437">
        <v>427.04960000000011</v>
      </c>
      <c r="E437">
        <v>692.69709543568479</v>
      </c>
      <c r="F437">
        <v>165.86879999999999</v>
      </c>
      <c r="G437">
        <v>71.510999999999996</v>
      </c>
      <c r="H437">
        <v>7</v>
      </c>
      <c r="I437">
        <v>56</v>
      </c>
      <c r="J437">
        <v>5</v>
      </c>
      <c r="K437">
        <v>1</v>
      </c>
      <c r="L437">
        <v>50</v>
      </c>
      <c r="M437">
        <v>5</v>
      </c>
      <c r="N437">
        <v>1995</v>
      </c>
      <c r="O437">
        <v>0.27</v>
      </c>
      <c r="P437">
        <v>2.4700000000000002</v>
      </c>
      <c r="Q437">
        <v>1.4999999999999999E-2</v>
      </c>
      <c r="R437">
        <v>65</v>
      </c>
      <c r="S437">
        <v>700</v>
      </c>
      <c r="T437">
        <v>475</v>
      </c>
      <c r="U437">
        <v>275</v>
      </c>
      <c r="V437">
        <v>370</v>
      </c>
      <c r="W437">
        <v>155</v>
      </c>
    </row>
    <row r="438" spans="1:23">
      <c r="A438">
        <v>345.17293202950191</v>
      </c>
      <c r="B438">
        <v>52.500000000000007</v>
      </c>
      <c r="C438">
        <v>4.6023057603933584</v>
      </c>
      <c r="D438">
        <v>390.47039999999998</v>
      </c>
      <c r="E438">
        <v>692.81327800829877</v>
      </c>
      <c r="F438">
        <v>195.23519999999999</v>
      </c>
      <c r="G438">
        <v>67.030199999999994</v>
      </c>
      <c r="H438">
        <v>22</v>
      </c>
      <c r="I438">
        <v>54</v>
      </c>
      <c r="J438">
        <v>3</v>
      </c>
      <c r="K438">
        <v>58</v>
      </c>
      <c r="L438">
        <v>56</v>
      </c>
      <c r="M438">
        <v>9</v>
      </c>
      <c r="N438">
        <v>1995</v>
      </c>
      <c r="O438">
        <v>0.27</v>
      </c>
      <c r="P438">
        <v>2.4700000000000002</v>
      </c>
      <c r="Q438">
        <v>1.4999999999999999E-2</v>
      </c>
      <c r="R438">
        <v>65</v>
      </c>
      <c r="S438">
        <v>700</v>
      </c>
      <c r="T438">
        <v>475</v>
      </c>
      <c r="U438">
        <v>275</v>
      </c>
      <c r="V438">
        <v>370</v>
      </c>
      <c r="W438">
        <v>155</v>
      </c>
    </row>
    <row r="439" spans="1:23">
      <c r="A439">
        <v>368.14946903356241</v>
      </c>
      <c r="B439">
        <v>56</v>
      </c>
      <c r="C439">
        <v>4.6018683629195296</v>
      </c>
      <c r="D439">
        <v>419.13600000000002</v>
      </c>
      <c r="E439">
        <v>690.88132780082969</v>
      </c>
      <c r="F439">
        <v>163.392</v>
      </c>
      <c r="G439">
        <v>71.454399999999993</v>
      </c>
      <c r="H439">
        <v>6</v>
      </c>
      <c r="I439">
        <v>52</v>
      </c>
      <c r="J439">
        <v>6</v>
      </c>
      <c r="K439">
        <v>249</v>
      </c>
      <c r="L439">
        <v>61</v>
      </c>
      <c r="M439">
        <v>28</v>
      </c>
      <c r="N439">
        <v>1995</v>
      </c>
      <c r="O439">
        <v>0.27</v>
      </c>
      <c r="P439">
        <v>2.4700000000000002</v>
      </c>
      <c r="Q439">
        <v>1.4999999999999999E-2</v>
      </c>
      <c r="R439">
        <v>65</v>
      </c>
      <c r="S439">
        <v>700</v>
      </c>
      <c r="T439">
        <v>475</v>
      </c>
      <c r="U439">
        <v>275</v>
      </c>
      <c r="V439">
        <v>370</v>
      </c>
      <c r="W439">
        <v>155</v>
      </c>
    </row>
    <row r="440" spans="1:23">
      <c r="A440">
        <v>368.06666886564278</v>
      </c>
      <c r="B440">
        <v>56</v>
      </c>
      <c r="C440">
        <v>4.600833360820535</v>
      </c>
      <c r="D440">
        <v>397.30599999999998</v>
      </c>
      <c r="E440">
        <v>688.95435684647305</v>
      </c>
      <c r="F440">
        <v>164.20599999999999</v>
      </c>
      <c r="G440">
        <v>71.400750000000002</v>
      </c>
      <c r="H440">
        <v>9</v>
      </c>
      <c r="I440">
        <v>56</v>
      </c>
      <c r="J440">
        <v>3</v>
      </c>
      <c r="K440">
        <v>268</v>
      </c>
      <c r="L440">
        <v>57</v>
      </c>
      <c r="M440">
        <v>25</v>
      </c>
      <c r="N440">
        <v>1995</v>
      </c>
      <c r="O440">
        <v>0.27</v>
      </c>
      <c r="P440">
        <v>2.4700000000000002</v>
      </c>
      <c r="Q440">
        <v>1.4999999999999999E-2</v>
      </c>
      <c r="R440">
        <v>65</v>
      </c>
      <c r="S440">
        <v>700</v>
      </c>
      <c r="T440">
        <v>475</v>
      </c>
      <c r="U440">
        <v>275</v>
      </c>
      <c r="V440">
        <v>370</v>
      </c>
      <c r="W440">
        <v>155</v>
      </c>
    </row>
    <row r="441" spans="1:23">
      <c r="A441">
        <v>367.53937972898359</v>
      </c>
      <c r="B441">
        <v>56</v>
      </c>
      <c r="C441">
        <v>4.5942422466122954</v>
      </c>
      <c r="D441">
        <v>486.88992000000002</v>
      </c>
      <c r="E441">
        <v>689.46058091286318</v>
      </c>
      <c r="F441">
        <v>163.15871999999999</v>
      </c>
      <c r="G441">
        <v>71.308320000000009</v>
      </c>
      <c r="H441">
        <v>8</v>
      </c>
      <c r="I441">
        <v>58</v>
      </c>
      <c r="J441">
        <v>4</v>
      </c>
      <c r="K441">
        <v>156</v>
      </c>
      <c r="L441">
        <v>51</v>
      </c>
      <c r="M441">
        <v>4</v>
      </c>
      <c r="N441">
        <v>1995</v>
      </c>
      <c r="O441">
        <v>0.27</v>
      </c>
      <c r="P441">
        <v>2.4700000000000002</v>
      </c>
      <c r="Q441">
        <v>1.4999999999999999E-2</v>
      </c>
      <c r="R441">
        <v>65</v>
      </c>
      <c r="S441">
        <v>700</v>
      </c>
      <c r="T441">
        <v>475</v>
      </c>
      <c r="U441">
        <v>275</v>
      </c>
      <c r="V441">
        <v>370</v>
      </c>
      <c r="W441">
        <v>155</v>
      </c>
    </row>
    <row r="442" spans="1:23">
      <c r="A442">
        <v>367.4969033985243</v>
      </c>
      <c r="B442">
        <v>56</v>
      </c>
      <c r="C442">
        <v>4.5937112924815544</v>
      </c>
      <c r="D442">
        <v>486.88992000000002</v>
      </c>
      <c r="E442">
        <v>689.88381742738602</v>
      </c>
      <c r="F442">
        <v>163.15871999999999</v>
      </c>
      <c r="G442">
        <v>71.308320000000009</v>
      </c>
      <c r="H442">
        <v>8</v>
      </c>
      <c r="I442">
        <v>58</v>
      </c>
      <c r="J442">
        <v>4</v>
      </c>
      <c r="K442">
        <v>157</v>
      </c>
      <c r="L442">
        <v>51</v>
      </c>
      <c r="M442">
        <v>3</v>
      </c>
      <c r="N442">
        <v>1995</v>
      </c>
      <c r="O442">
        <v>0.27</v>
      </c>
      <c r="P442">
        <v>2.4700000000000002</v>
      </c>
      <c r="Q442">
        <v>1.4999999999999999E-2</v>
      </c>
      <c r="R442">
        <v>65</v>
      </c>
      <c r="S442">
        <v>700</v>
      </c>
      <c r="T442">
        <v>475</v>
      </c>
      <c r="U442">
        <v>275</v>
      </c>
      <c r="V442">
        <v>370</v>
      </c>
      <c r="W442">
        <v>155</v>
      </c>
    </row>
    <row r="443" spans="1:23">
      <c r="A443">
        <v>376.34299229383782</v>
      </c>
      <c r="B443">
        <v>57.358208955223887</v>
      </c>
      <c r="C443">
        <v>4.5928926199794402</v>
      </c>
      <c r="D443">
        <v>458.79744000000011</v>
      </c>
      <c r="E443">
        <v>687.22345126357482</v>
      </c>
      <c r="F443">
        <v>169.2193824</v>
      </c>
      <c r="G443">
        <v>72.971748000000005</v>
      </c>
      <c r="H443">
        <v>7</v>
      </c>
      <c r="I443">
        <v>57</v>
      </c>
      <c r="J443">
        <v>5</v>
      </c>
      <c r="K443">
        <v>316</v>
      </c>
      <c r="L443">
        <v>56</v>
      </c>
      <c r="M443">
        <v>29</v>
      </c>
      <c r="N443">
        <v>1995</v>
      </c>
      <c r="O443">
        <v>0.27</v>
      </c>
      <c r="P443">
        <v>2.4700000000000002</v>
      </c>
      <c r="Q443">
        <v>1.4999999999999999E-2</v>
      </c>
      <c r="R443">
        <v>65</v>
      </c>
      <c r="S443">
        <v>700</v>
      </c>
      <c r="T443">
        <v>475</v>
      </c>
      <c r="U443">
        <v>275</v>
      </c>
      <c r="V443">
        <v>370</v>
      </c>
      <c r="W443">
        <v>155</v>
      </c>
    </row>
    <row r="444" spans="1:23">
      <c r="A444">
        <v>343.52467187998269</v>
      </c>
      <c r="B444">
        <v>52.5</v>
      </c>
      <c r="C444">
        <v>4.5803289583997691</v>
      </c>
      <c r="D444">
        <v>413.91899999999998</v>
      </c>
      <c r="E444">
        <v>689.8124481327801</v>
      </c>
      <c r="F444">
        <v>195.69300000000001</v>
      </c>
      <c r="G444">
        <v>66.655500000000004</v>
      </c>
      <c r="H444">
        <v>22</v>
      </c>
      <c r="I444">
        <v>53</v>
      </c>
      <c r="J444">
        <v>3</v>
      </c>
      <c r="K444">
        <v>71</v>
      </c>
      <c r="L444">
        <v>58</v>
      </c>
      <c r="M444">
        <v>7</v>
      </c>
      <c r="N444">
        <v>1995</v>
      </c>
      <c r="O444">
        <v>0.27</v>
      </c>
      <c r="P444">
        <v>2.4700000000000002</v>
      </c>
      <c r="Q444">
        <v>1.4999999999999999E-2</v>
      </c>
      <c r="R444">
        <v>65</v>
      </c>
      <c r="S444">
        <v>700</v>
      </c>
      <c r="T444">
        <v>475</v>
      </c>
      <c r="U444">
        <v>275</v>
      </c>
      <c r="V444">
        <v>370</v>
      </c>
      <c r="W444">
        <v>155</v>
      </c>
    </row>
    <row r="445" spans="1:23">
      <c r="A445">
        <v>366.30026305065581</v>
      </c>
      <c r="B445">
        <v>56</v>
      </c>
      <c r="C445">
        <v>4.578753288133198</v>
      </c>
      <c r="D445">
        <v>412.95107999999999</v>
      </c>
      <c r="E445">
        <v>687.33609958506213</v>
      </c>
      <c r="F445">
        <v>161.18754000000001</v>
      </c>
      <c r="G445">
        <v>71.026679999999999</v>
      </c>
      <c r="H445">
        <v>6</v>
      </c>
      <c r="I445">
        <v>51</v>
      </c>
      <c r="J445">
        <v>6</v>
      </c>
      <c r="K445">
        <v>60</v>
      </c>
      <c r="L445">
        <v>62</v>
      </c>
      <c r="M445">
        <v>34</v>
      </c>
      <c r="N445">
        <v>1995</v>
      </c>
      <c r="O445">
        <v>0.27</v>
      </c>
      <c r="P445">
        <v>2.4700000000000002</v>
      </c>
      <c r="Q445">
        <v>1.4999999999999999E-2</v>
      </c>
      <c r="R445">
        <v>65</v>
      </c>
      <c r="S445">
        <v>700</v>
      </c>
      <c r="T445">
        <v>475</v>
      </c>
      <c r="U445">
        <v>275</v>
      </c>
      <c r="V445">
        <v>370</v>
      </c>
      <c r="W445">
        <v>155</v>
      </c>
    </row>
    <row r="446" spans="1:23">
      <c r="A446">
        <v>366.15588152825609</v>
      </c>
      <c r="B446">
        <v>56</v>
      </c>
      <c r="C446">
        <v>4.576948519103202</v>
      </c>
      <c r="D446">
        <v>406.66847999999999</v>
      </c>
      <c r="E446">
        <v>687.63485477178426</v>
      </c>
      <c r="F446">
        <v>166.90848</v>
      </c>
      <c r="G446">
        <v>71.004480000000015</v>
      </c>
      <c r="H446">
        <v>6</v>
      </c>
      <c r="I446">
        <v>54</v>
      </c>
      <c r="J446">
        <v>6</v>
      </c>
      <c r="K446">
        <v>61</v>
      </c>
      <c r="L446">
        <v>59</v>
      </c>
      <c r="M446">
        <v>12</v>
      </c>
      <c r="N446">
        <v>1995</v>
      </c>
      <c r="O446">
        <v>0.27</v>
      </c>
      <c r="P446">
        <v>2.4700000000000002</v>
      </c>
      <c r="Q446">
        <v>1.4999999999999999E-2</v>
      </c>
      <c r="R446">
        <v>65</v>
      </c>
      <c r="S446">
        <v>700</v>
      </c>
      <c r="T446">
        <v>475</v>
      </c>
      <c r="U446">
        <v>275</v>
      </c>
      <c r="V446">
        <v>370</v>
      </c>
      <c r="W446">
        <v>155</v>
      </c>
    </row>
    <row r="447" spans="1:23">
      <c r="A447">
        <v>366.12141105954151</v>
      </c>
      <c r="B447">
        <v>56</v>
      </c>
      <c r="C447">
        <v>4.5765176382442689</v>
      </c>
      <c r="D447">
        <v>395.33760000000001</v>
      </c>
      <c r="E447">
        <v>691.71784232365144</v>
      </c>
      <c r="F447">
        <v>162.23759999999999</v>
      </c>
      <c r="G447">
        <v>71.076999999999998</v>
      </c>
      <c r="H447">
        <v>9</v>
      </c>
      <c r="I447">
        <v>58</v>
      </c>
      <c r="J447">
        <v>3</v>
      </c>
      <c r="K447">
        <v>190</v>
      </c>
      <c r="L447">
        <v>55</v>
      </c>
      <c r="M447">
        <v>7</v>
      </c>
      <c r="N447">
        <v>1995</v>
      </c>
      <c r="O447">
        <v>0.27</v>
      </c>
      <c r="P447">
        <v>2.4700000000000002</v>
      </c>
      <c r="Q447">
        <v>1.4999999999999999E-2</v>
      </c>
      <c r="R447">
        <v>65</v>
      </c>
      <c r="S447">
        <v>700</v>
      </c>
      <c r="T447">
        <v>475</v>
      </c>
      <c r="U447">
        <v>275</v>
      </c>
      <c r="V447">
        <v>370</v>
      </c>
      <c r="W447">
        <v>155</v>
      </c>
    </row>
    <row r="448" spans="1:23">
      <c r="A448">
        <v>343.22806169160322</v>
      </c>
      <c r="B448">
        <v>52.5</v>
      </c>
      <c r="C448">
        <v>4.5763741558880424</v>
      </c>
      <c r="D448">
        <v>392.16300000000001</v>
      </c>
      <c r="E448">
        <v>689.92531120331955</v>
      </c>
      <c r="F448">
        <v>196.08150000000001</v>
      </c>
      <c r="G448">
        <v>66.599999999999994</v>
      </c>
      <c r="H448">
        <v>22</v>
      </c>
      <c r="I448">
        <v>52</v>
      </c>
      <c r="J448">
        <v>3</v>
      </c>
      <c r="K448">
        <v>189</v>
      </c>
      <c r="L448">
        <v>60</v>
      </c>
      <c r="M448">
        <v>14</v>
      </c>
      <c r="N448">
        <v>1995</v>
      </c>
      <c r="O448">
        <v>0.27</v>
      </c>
      <c r="P448">
        <v>2.4700000000000002</v>
      </c>
      <c r="Q448">
        <v>1.4999999999999999E-2</v>
      </c>
      <c r="R448">
        <v>65</v>
      </c>
      <c r="S448">
        <v>700</v>
      </c>
      <c r="T448">
        <v>475</v>
      </c>
      <c r="U448">
        <v>275</v>
      </c>
      <c r="V448">
        <v>370</v>
      </c>
      <c r="W448">
        <v>155</v>
      </c>
    </row>
    <row r="449" spans="1:23">
      <c r="A449">
        <v>366.07351993819663</v>
      </c>
      <c r="B449">
        <v>56.000000000000007</v>
      </c>
      <c r="C449">
        <v>4.5759189992274578</v>
      </c>
      <c r="D449">
        <v>427.22576000000009</v>
      </c>
      <c r="E449">
        <v>691.86721991701256</v>
      </c>
      <c r="F449">
        <v>165.95688000000001</v>
      </c>
      <c r="G449">
        <v>71.070599999999985</v>
      </c>
      <c r="H449">
        <v>7</v>
      </c>
      <c r="I449">
        <v>56</v>
      </c>
      <c r="J449">
        <v>5</v>
      </c>
      <c r="K449">
        <v>331</v>
      </c>
      <c r="L449">
        <v>55</v>
      </c>
      <c r="M449">
        <v>10</v>
      </c>
      <c r="N449">
        <v>1995</v>
      </c>
      <c r="O449">
        <v>0.27</v>
      </c>
      <c r="P449">
        <v>2.4700000000000002</v>
      </c>
      <c r="Q449">
        <v>1.4999999999999999E-2</v>
      </c>
      <c r="R449">
        <v>65</v>
      </c>
      <c r="S449">
        <v>700</v>
      </c>
      <c r="T449">
        <v>475</v>
      </c>
      <c r="U449">
        <v>275</v>
      </c>
      <c r="V449">
        <v>370</v>
      </c>
      <c r="W449">
        <v>155</v>
      </c>
    </row>
    <row r="450" spans="1:23">
      <c r="A450">
        <v>365.91122475856832</v>
      </c>
      <c r="B450">
        <v>56.000000000000007</v>
      </c>
      <c r="C450">
        <v>4.5738903094821044</v>
      </c>
      <c r="D450">
        <v>396.15899999999999</v>
      </c>
      <c r="E450">
        <v>688.76514522821583</v>
      </c>
      <c r="F450">
        <v>163.059</v>
      </c>
      <c r="G450">
        <v>70.978949999999998</v>
      </c>
      <c r="H450">
        <v>9</v>
      </c>
      <c r="I450">
        <v>56</v>
      </c>
      <c r="J450">
        <v>3</v>
      </c>
      <c r="K450">
        <v>209</v>
      </c>
      <c r="L450">
        <v>57</v>
      </c>
      <c r="M450">
        <v>21</v>
      </c>
      <c r="N450">
        <v>1995</v>
      </c>
      <c r="O450">
        <v>0.27</v>
      </c>
      <c r="P450">
        <v>2.4700000000000002</v>
      </c>
      <c r="Q450">
        <v>1.4999999999999999E-2</v>
      </c>
      <c r="R450">
        <v>65</v>
      </c>
      <c r="S450">
        <v>700</v>
      </c>
      <c r="T450">
        <v>475</v>
      </c>
      <c r="U450">
        <v>275</v>
      </c>
      <c r="V450">
        <v>370</v>
      </c>
      <c r="W450">
        <v>155</v>
      </c>
    </row>
    <row r="451" spans="1:23">
      <c r="A451">
        <v>365.65620870239911</v>
      </c>
      <c r="B451">
        <v>56</v>
      </c>
      <c r="C451">
        <v>4.5707026087799889</v>
      </c>
      <c r="D451">
        <v>440.892</v>
      </c>
      <c r="E451">
        <v>688.74024896265564</v>
      </c>
      <c r="F451">
        <v>162.50399999999999</v>
      </c>
      <c r="G451">
        <v>70.929000000000002</v>
      </c>
      <c r="H451">
        <v>9</v>
      </c>
      <c r="I451">
        <v>58</v>
      </c>
      <c r="J451">
        <v>3</v>
      </c>
      <c r="K451">
        <v>71</v>
      </c>
      <c r="L451">
        <v>51</v>
      </c>
      <c r="M451">
        <v>8</v>
      </c>
      <c r="N451">
        <v>1995</v>
      </c>
      <c r="O451">
        <v>0.27</v>
      </c>
      <c r="P451">
        <v>2.4700000000000002</v>
      </c>
      <c r="Q451">
        <v>1.4999999999999999E-2</v>
      </c>
      <c r="R451">
        <v>65</v>
      </c>
      <c r="S451">
        <v>700</v>
      </c>
      <c r="T451">
        <v>475</v>
      </c>
      <c r="U451">
        <v>275</v>
      </c>
      <c r="V451">
        <v>370</v>
      </c>
      <c r="W451">
        <v>155</v>
      </c>
    </row>
    <row r="452" spans="1:23">
      <c r="A452">
        <v>342.3196969438315</v>
      </c>
      <c r="B452">
        <v>52.5</v>
      </c>
      <c r="C452">
        <v>4.5642626259177526</v>
      </c>
      <c r="D452">
        <v>413.27519999999998</v>
      </c>
      <c r="E452">
        <v>690.87136929460576</v>
      </c>
      <c r="F452">
        <v>195.47839999999999</v>
      </c>
      <c r="G452">
        <v>66.440899999999999</v>
      </c>
      <c r="H452">
        <v>22</v>
      </c>
      <c r="I452">
        <v>53</v>
      </c>
      <c r="J452">
        <v>3</v>
      </c>
      <c r="K452">
        <v>70</v>
      </c>
      <c r="L452">
        <v>58</v>
      </c>
      <c r="M452">
        <v>8</v>
      </c>
      <c r="N452">
        <v>1995</v>
      </c>
      <c r="O452">
        <v>0.27</v>
      </c>
      <c r="P452">
        <v>2.4700000000000002</v>
      </c>
      <c r="Q452">
        <v>1.4999999999999999E-2</v>
      </c>
      <c r="R452">
        <v>65</v>
      </c>
      <c r="S452">
        <v>700</v>
      </c>
      <c r="T452">
        <v>475</v>
      </c>
      <c r="U452">
        <v>275</v>
      </c>
      <c r="V452">
        <v>370</v>
      </c>
      <c r="W452">
        <v>155</v>
      </c>
    </row>
    <row r="453" spans="1:23">
      <c r="A453">
        <v>365.11486830649909</v>
      </c>
      <c r="B453">
        <v>56</v>
      </c>
      <c r="C453">
        <v>4.5639358538312393</v>
      </c>
      <c r="D453">
        <v>954.02304000000004</v>
      </c>
      <c r="E453">
        <v>681.79323412200802</v>
      </c>
      <c r="F453">
        <v>159.99552</v>
      </c>
      <c r="G453">
        <v>70.689600000000013</v>
      </c>
      <c r="H453">
        <v>2</v>
      </c>
      <c r="I453">
        <v>51</v>
      </c>
      <c r="J453">
        <v>8</v>
      </c>
      <c r="K453">
        <v>333</v>
      </c>
      <c r="L453">
        <v>60</v>
      </c>
      <c r="M453">
        <v>24</v>
      </c>
      <c r="N453">
        <v>1995</v>
      </c>
      <c r="O453">
        <v>0.27</v>
      </c>
      <c r="P453">
        <v>2.4700000000000002</v>
      </c>
      <c r="Q453">
        <v>1.4999999999999999E-2</v>
      </c>
      <c r="R453">
        <v>65</v>
      </c>
      <c r="S453">
        <v>700</v>
      </c>
      <c r="T453">
        <v>475</v>
      </c>
      <c r="U453">
        <v>275</v>
      </c>
      <c r="V453">
        <v>370</v>
      </c>
      <c r="W453">
        <v>155</v>
      </c>
    </row>
    <row r="454" spans="1:23">
      <c r="A454">
        <v>364.9912739205177</v>
      </c>
      <c r="B454">
        <v>56</v>
      </c>
      <c r="C454">
        <v>4.5623909240064711</v>
      </c>
      <c r="D454">
        <v>424.03199999999998</v>
      </c>
      <c r="E454">
        <v>689.98036085281285</v>
      </c>
      <c r="F454">
        <v>164.952</v>
      </c>
      <c r="G454">
        <v>70.823999999999998</v>
      </c>
      <c r="H454">
        <v>6</v>
      </c>
      <c r="I454">
        <v>53</v>
      </c>
      <c r="J454">
        <v>6</v>
      </c>
      <c r="K454">
        <v>42</v>
      </c>
      <c r="L454">
        <v>60</v>
      </c>
      <c r="M454">
        <v>22</v>
      </c>
      <c r="N454">
        <v>1995</v>
      </c>
      <c r="O454">
        <v>0.27</v>
      </c>
      <c r="P454">
        <v>2.4700000000000002</v>
      </c>
      <c r="Q454">
        <v>1.4999999999999999E-2</v>
      </c>
      <c r="R454">
        <v>65</v>
      </c>
      <c r="S454">
        <v>700</v>
      </c>
      <c r="T454">
        <v>475</v>
      </c>
      <c r="U454">
        <v>275</v>
      </c>
      <c r="V454">
        <v>370</v>
      </c>
      <c r="W454">
        <v>155</v>
      </c>
    </row>
    <row r="455" spans="1:23">
      <c r="A455">
        <v>364.80629552238469</v>
      </c>
      <c r="B455">
        <v>56</v>
      </c>
      <c r="C455">
        <v>4.5600786940298086</v>
      </c>
      <c r="D455">
        <v>419.58</v>
      </c>
      <c r="E455">
        <v>688.65560165975114</v>
      </c>
      <c r="F455">
        <v>163.16999999999999</v>
      </c>
      <c r="G455">
        <v>70.762500000000003</v>
      </c>
      <c r="H455">
        <v>9</v>
      </c>
      <c r="I455">
        <v>57</v>
      </c>
      <c r="J455">
        <v>3</v>
      </c>
      <c r="K455">
        <v>189</v>
      </c>
      <c r="L455">
        <v>56</v>
      </c>
      <c r="M455">
        <v>15</v>
      </c>
      <c r="N455">
        <v>1995</v>
      </c>
      <c r="O455">
        <v>0.27</v>
      </c>
      <c r="P455">
        <v>2.4700000000000002</v>
      </c>
      <c r="Q455">
        <v>1.4999999999999999E-2</v>
      </c>
      <c r="R455">
        <v>65</v>
      </c>
      <c r="S455">
        <v>700</v>
      </c>
      <c r="T455">
        <v>475</v>
      </c>
      <c r="U455">
        <v>275</v>
      </c>
      <c r="V455">
        <v>370</v>
      </c>
      <c r="W455">
        <v>155</v>
      </c>
    </row>
    <row r="456" spans="1:23">
      <c r="A456">
        <v>364.78695300970469</v>
      </c>
      <c r="B456">
        <v>56</v>
      </c>
      <c r="C456">
        <v>4.559836912621309</v>
      </c>
      <c r="D456">
        <v>440.49239999999998</v>
      </c>
      <c r="E456">
        <v>690.57261410788385</v>
      </c>
      <c r="F456">
        <v>162.3708</v>
      </c>
      <c r="G456">
        <v>70.7958</v>
      </c>
      <c r="H456">
        <v>9</v>
      </c>
      <c r="I456">
        <v>58</v>
      </c>
      <c r="J456">
        <v>3</v>
      </c>
      <c r="K456">
        <v>70</v>
      </c>
      <c r="L456">
        <v>52</v>
      </c>
      <c r="M456">
        <v>9</v>
      </c>
      <c r="N456">
        <v>1995</v>
      </c>
      <c r="O456">
        <v>0.27</v>
      </c>
      <c r="P456">
        <v>2.4700000000000002</v>
      </c>
      <c r="Q456">
        <v>1.4999999999999999E-2</v>
      </c>
      <c r="R456">
        <v>65</v>
      </c>
      <c r="S456">
        <v>700</v>
      </c>
      <c r="T456">
        <v>475</v>
      </c>
      <c r="U456">
        <v>275</v>
      </c>
      <c r="V456">
        <v>370</v>
      </c>
      <c r="W456">
        <v>155</v>
      </c>
    </row>
    <row r="457" spans="1:23">
      <c r="A457">
        <v>364.77248488833061</v>
      </c>
      <c r="B457">
        <v>56.000000000000007</v>
      </c>
      <c r="C457">
        <v>4.559656061104131</v>
      </c>
      <c r="D457">
        <v>394.05444</v>
      </c>
      <c r="E457">
        <v>692.09626556016588</v>
      </c>
      <c r="F457">
        <v>163.17444</v>
      </c>
      <c r="G457">
        <v>70.82244</v>
      </c>
      <c r="H457">
        <v>6</v>
      </c>
      <c r="I457">
        <v>52</v>
      </c>
      <c r="J457">
        <v>6</v>
      </c>
      <c r="K457">
        <v>203</v>
      </c>
      <c r="L457">
        <v>61</v>
      </c>
      <c r="M457">
        <v>26</v>
      </c>
      <c r="N457">
        <v>1995</v>
      </c>
      <c r="O457">
        <v>0.27</v>
      </c>
      <c r="P457">
        <v>2.4700000000000002</v>
      </c>
      <c r="Q457">
        <v>1.4999999999999999E-2</v>
      </c>
      <c r="R457">
        <v>65</v>
      </c>
      <c r="S457">
        <v>700</v>
      </c>
      <c r="T457">
        <v>475</v>
      </c>
      <c r="U457">
        <v>275</v>
      </c>
      <c r="V457">
        <v>370</v>
      </c>
      <c r="W457">
        <v>155</v>
      </c>
    </row>
    <row r="458" spans="1:23">
      <c r="A458">
        <v>341.64987290064403</v>
      </c>
      <c r="B458">
        <v>52.5</v>
      </c>
      <c r="C458">
        <v>4.5553316386752538</v>
      </c>
      <c r="D458">
        <v>387.37520000000001</v>
      </c>
      <c r="E458">
        <v>691.10373443983406</v>
      </c>
      <c r="F458">
        <v>193.6876</v>
      </c>
      <c r="G458">
        <v>66.315100000000001</v>
      </c>
      <c r="H458">
        <v>22</v>
      </c>
      <c r="I458">
        <v>51</v>
      </c>
      <c r="J458">
        <v>3</v>
      </c>
      <c r="K458">
        <v>245</v>
      </c>
      <c r="L458">
        <v>62</v>
      </c>
      <c r="M458">
        <v>20</v>
      </c>
      <c r="N458">
        <v>1995</v>
      </c>
      <c r="O458">
        <v>0.27</v>
      </c>
      <c r="P458">
        <v>2.4700000000000002</v>
      </c>
      <c r="Q458">
        <v>1.4999999999999999E-2</v>
      </c>
      <c r="R458">
        <v>65</v>
      </c>
      <c r="S458">
        <v>700</v>
      </c>
      <c r="T458">
        <v>475</v>
      </c>
      <c r="U458">
        <v>275</v>
      </c>
      <c r="V458">
        <v>370</v>
      </c>
      <c r="W458">
        <v>155</v>
      </c>
    </row>
    <row r="459" spans="1:23">
      <c r="A459">
        <v>377.78916560253691</v>
      </c>
      <c r="B459">
        <v>58.074074074074083</v>
      </c>
      <c r="C459">
        <v>4.5537086925305781</v>
      </c>
      <c r="D459">
        <v>410.25504000000001</v>
      </c>
      <c r="E459">
        <v>687.55534374280398</v>
      </c>
      <c r="F459">
        <v>169.78968</v>
      </c>
      <c r="G459">
        <v>73.258800000000008</v>
      </c>
      <c r="H459">
        <v>6</v>
      </c>
      <c r="I459">
        <v>55</v>
      </c>
      <c r="J459">
        <v>6</v>
      </c>
      <c r="K459">
        <v>154</v>
      </c>
      <c r="L459">
        <v>57</v>
      </c>
      <c r="M459">
        <v>28</v>
      </c>
      <c r="N459">
        <v>1995</v>
      </c>
      <c r="O459">
        <v>0.27</v>
      </c>
      <c r="P459">
        <v>2.4700000000000002</v>
      </c>
      <c r="Q459">
        <v>1.4999999999999999E-2</v>
      </c>
      <c r="R459">
        <v>65</v>
      </c>
      <c r="S459">
        <v>700</v>
      </c>
      <c r="T459">
        <v>475</v>
      </c>
      <c r="U459">
        <v>275</v>
      </c>
      <c r="V459">
        <v>370</v>
      </c>
      <c r="W459">
        <v>155</v>
      </c>
    </row>
    <row r="460" spans="1:23">
      <c r="A460">
        <v>364.25453182111812</v>
      </c>
      <c r="B460">
        <v>56.000000000000007</v>
      </c>
      <c r="C460">
        <v>4.5531816477639762</v>
      </c>
      <c r="D460">
        <v>391.1936</v>
      </c>
      <c r="E460">
        <v>689.98345123791808</v>
      </c>
      <c r="F460">
        <v>162.2561</v>
      </c>
      <c r="G460">
        <v>70.681100000000001</v>
      </c>
      <c r="H460">
        <v>9</v>
      </c>
      <c r="I460">
        <v>55</v>
      </c>
      <c r="J460">
        <v>3</v>
      </c>
      <c r="K460">
        <v>292</v>
      </c>
      <c r="L460">
        <v>58</v>
      </c>
      <c r="M460">
        <v>29</v>
      </c>
      <c r="N460">
        <v>1995</v>
      </c>
      <c r="O460">
        <v>0.27</v>
      </c>
      <c r="P460">
        <v>2.4700000000000002</v>
      </c>
      <c r="Q460">
        <v>1.4999999999999999E-2</v>
      </c>
      <c r="R460">
        <v>65</v>
      </c>
      <c r="S460">
        <v>700</v>
      </c>
      <c r="T460">
        <v>475</v>
      </c>
      <c r="U460">
        <v>275</v>
      </c>
      <c r="V460">
        <v>370</v>
      </c>
      <c r="W460">
        <v>155</v>
      </c>
    </row>
    <row r="461" spans="1:23">
      <c r="A461">
        <v>363.98332508087668</v>
      </c>
      <c r="B461">
        <v>56.000000000000007</v>
      </c>
      <c r="C461">
        <v>4.5497915635109596</v>
      </c>
      <c r="D461">
        <v>1001.814</v>
      </c>
      <c r="E461">
        <v>681.08166814087497</v>
      </c>
      <c r="F461">
        <v>164.19492</v>
      </c>
      <c r="G461">
        <v>70.456800000000001</v>
      </c>
      <c r="H461">
        <v>2</v>
      </c>
      <c r="I461">
        <v>53</v>
      </c>
      <c r="J461">
        <v>8</v>
      </c>
      <c r="K461">
        <v>165</v>
      </c>
      <c r="L461">
        <v>60</v>
      </c>
      <c r="M461">
        <v>19</v>
      </c>
      <c r="N461">
        <v>1995</v>
      </c>
      <c r="O461">
        <v>0.27</v>
      </c>
      <c r="P461">
        <v>2.4700000000000002</v>
      </c>
      <c r="Q461">
        <v>1.4999999999999999E-2</v>
      </c>
      <c r="R461">
        <v>65</v>
      </c>
      <c r="S461">
        <v>700</v>
      </c>
      <c r="T461">
        <v>475</v>
      </c>
      <c r="U461">
        <v>275</v>
      </c>
      <c r="V461">
        <v>370</v>
      </c>
      <c r="W461">
        <v>155</v>
      </c>
    </row>
    <row r="462" spans="1:23">
      <c r="A462">
        <v>363.71295245275888</v>
      </c>
      <c r="B462">
        <v>56</v>
      </c>
      <c r="C462">
        <v>4.5464119056594861</v>
      </c>
      <c r="D462">
        <v>412.07639999999998</v>
      </c>
      <c r="E462">
        <v>691.02074688796677</v>
      </c>
      <c r="F462">
        <v>160.75020000000001</v>
      </c>
      <c r="G462">
        <v>70.596000000000004</v>
      </c>
      <c r="H462">
        <v>6</v>
      </c>
      <c r="I462">
        <v>51</v>
      </c>
      <c r="J462">
        <v>6</v>
      </c>
      <c r="K462">
        <v>252</v>
      </c>
      <c r="L462">
        <v>60</v>
      </c>
      <c r="M462">
        <v>30</v>
      </c>
      <c r="N462">
        <v>1995</v>
      </c>
      <c r="O462">
        <v>0.27</v>
      </c>
      <c r="P462">
        <v>2.4700000000000002</v>
      </c>
      <c r="Q462">
        <v>1.4999999999999999E-2</v>
      </c>
      <c r="R462">
        <v>65</v>
      </c>
      <c r="S462">
        <v>700</v>
      </c>
      <c r="T462">
        <v>475</v>
      </c>
      <c r="U462">
        <v>275</v>
      </c>
      <c r="V462">
        <v>370</v>
      </c>
      <c r="W462">
        <v>155</v>
      </c>
    </row>
    <row r="463" spans="1:23">
      <c r="A463">
        <v>363.62726864072118</v>
      </c>
      <c r="B463">
        <v>56</v>
      </c>
      <c r="C463">
        <v>4.5453408580090153</v>
      </c>
      <c r="D463">
        <v>393.33960000000002</v>
      </c>
      <c r="E463">
        <v>687.23651452282149</v>
      </c>
      <c r="F463">
        <v>162.45959999999999</v>
      </c>
      <c r="G463">
        <v>70.506460000000004</v>
      </c>
      <c r="H463">
        <v>6</v>
      </c>
      <c r="I463">
        <v>52</v>
      </c>
      <c r="J463">
        <v>6</v>
      </c>
      <c r="K463">
        <v>263</v>
      </c>
      <c r="L463">
        <v>61</v>
      </c>
      <c r="M463">
        <v>22</v>
      </c>
      <c r="N463">
        <v>1995</v>
      </c>
      <c r="O463">
        <v>0.27</v>
      </c>
      <c r="P463">
        <v>2.4700000000000002</v>
      </c>
      <c r="Q463">
        <v>1.4999999999999999E-2</v>
      </c>
      <c r="R463">
        <v>65</v>
      </c>
      <c r="S463">
        <v>700</v>
      </c>
      <c r="T463">
        <v>475</v>
      </c>
      <c r="U463">
        <v>275</v>
      </c>
      <c r="V463">
        <v>370</v>
      </c>
      <c r="W463">
        <v>155</v>
      </c>
    </row>
    <row r="464" spans="1:23">
      <c r="A464">
        <v>340.84718971494289</v>
      </c>
      <c r="B464">
        <v>52.500000000000007</v>
      </c>
      <c r="C464">
        <v>4.5446291961992378</v>
      </c>
      <c r="D464">
        <v>413.7747</v>
      </c>
      <c r="E464">
        <v>690.92116182572624</v>
      </c>
      <c r="F464">
        <v>195.64490000000001</v>
      </c>
      <c r="G464">
        <v>66.156000000000006</v>
      </c>
      <c r="H464">
        <v>22</v>
      </c>
      <c r="I464">
        <v>52</v>
      </c>
      <c r="J464">
        <v>3</v>
      </c>
      <c r="K464">
        <v>97</v>
      </c>
      <c r="L464">
        <v>60</v>
      </c>
      <c r="M464">
        <v>10</v>
      </c>
      <c r="N464">
        <v>1995</v>
      </c>
      <c r="O464">
        <v>0.27</v>
      </c>
      <c r="P464">
        <v>2.4700000000000002</v>
      </c>
      <c r="Q464">
        <v>1.4999999999999999E-2</v>
      </c>
      <c r="R464">
        <v>65</v>
      </c>
      <c r="S464">
        <v>700</v>
      </c>
      <c r="T464">
        <v>475</v>
      </c>
      <c r="U464">
        <v>275</v>
      </c>
      <c r="V464">
        <v>370</v>
      </c>
      <c r="W464">
        <v>155</v>
      </c>
    </row>
    <row r="465" spans="1:23">
      <c r="A465">
        <v>340.68049067226559</v>
      </c>
      <c r="B465">
        <v>52.5</v>
      </c>
      <c r="C465">
        <v>4.5424065422968747</v>
      </c>
      <c r="D465">
        <v>391.46</v>
      </c>
      <c r="E465">
        <v>676.31535269709548</v>
      </c>
      <c r="F465">
        <v>195.73</v>
      </c>
      <c r="G465">
        <v>65.86</v>
      </c>
      <c r="H465">
        <v>22</v>
      </c>
      <c r="I465">
        <v>52</v>
      </c>
      <c r="J465">
        <v>3</v>
      </c>
      <c r="K465">
        <v>259</v>
      </c>
      <c r="L465">
        <v>61</v>
      </c>
      <c r="M465">
        <v>10</v>
      </c>
      <c r="N465">
        <v>1995</v>
      </c>
      <c r="O465">
        <v>0.27</v>
      </c>
      <c r="P465">
        <v>2.4700000000000002</v>
      </c>
      <c r="Q465">
        <v>1.4999999999999999E-2</v>
      </c>
      <c r="R465">
        <v>65</v>
      </c>
      <c r="S465">
        <v>700</v>
      </c>
      <c r="T465">
        <v>475</v>
      </c>
      <c r="U465">
        <v>275</v>
      </c>
      <c r="V465">
        <v>370</v>
      </c>
      <c r="W465">
        <v>155</v>
      </c>
    </row>
    <row r="466" spans="1:23">
      <c r="A466">
        <v>363.22137321485121</v>
      </c>
      <c r="B466">
        <v>56.000000000000007</v>
      </c>
      <c r="C466">
        <v>4.5402671651856394</v>
      </c>
      <c r="D466">
        <v>442.12965000000003</v>
      </c>
      <c r="E466">
        <v>691.46058091286307</v>
      </c>
      <c r="F466">
        <v>162.91655</v>
      </c>
      <c r="G466">
        <v>70.509050000000002</v>
      </c>
      <c r="H466">
        <v>9</v>
      </c>
      <c r="I466">
        <v>57</v>
      </c>
      <c r="J466">
        <v>3</v>
      </c>
      <c r="K466">
        <v>97</v>
      </c>
      <c r="L466">
        <v>55</v>
      </c>
      <c r="M466">
        <v>11</v>
      </c>
      <c r="N466">
        <v>1995</v>
      </c>
      <c r="O466">
        <v>0.27</v>
      </c>
      <c r="P466">
        <v>2.4700000000000002</v>
      </c>
      <c r="Q466">
        <v>1.4999999999999999E-2</v>
      </c>
      <c r="R466">
        <v>65</v>
      </c>
      <c r="S466">
        <v>700</v>
      </c>
      <c r="T466">
        <v>475</v>
      </c>
      <c r="U466">
        <v>275</v>
      </c>
      <c r="V466">
        <v>370</v>
      </c>
      <c r="W466">
        <v>155</v>
      </c>
    </row>
    <row r="467" spans="1:23">
      <c r="A467">
        <v>363.14358787556552</v>
      </c>
      <c r="B467">
        <v>56</v>
      </c>
      <c r="C467">
        <v>4.5392948484445688</v>
      </c>
      <c r="D467">
        <v>440.98079999999999</v>
      </c>
      <c r="E467">
        <v>686.76483888368966</v>
      </c>
      <c r="F467">
        <v>162.3116</v>
      </c>
      <c r="G467">
        <v>70.403600000000012</v>
      </c>
      <c r="H467">
        <v>7</v>
      </c>
      <c r="I467">
        <v>54</v>
      </c>
      <c r="J467">
        <v>5</v>
      </c>
      <c r="K467">
        <v>327</v>
      </c>
      <c r="L467">
        <v>59</v>
      </c>
      <c r="M467">
        <v>28</v>
      </c>
      <c r="N467">
        <v>1995</v>
      </c>
      <c r="O467">
        <v>0.27</v>
      </c>
      <c r="P467">
        <v>2.4700000000000002</v>
      </c>
      <c r="Q467">
        <v>1.4999999999999999E-2</v>
      </c>
      <c r="R467">
        <v>65</v>
      </c>
      <c r="S467">
        <v>700</v>
      </c>
      <c r="T467">
        <v>475</v>
      </c>
      <c r="U467">
        <v>275</v>
      </c>
      <c r="V467">
        <v>370</v>
      </c>
      <c r="W467">
        <v>155</v>
      </c>
    </row>
    <row r="468" spans="1:23">
      <c r="A468">
        <v>362.90965977915391</v>
      </c>
      <c r="B468">
        <v>56</v>
      </c>
      <c r="C468">
        <v>4.5363707472394239</v>
      </c>
      <c r="D468">
        <v>999.39792</v>
      </c>
      <c r="E468">
        <v>682.90599341000075</v>
      </c>
      <c r="F468">
        <v>162.63604799999999</v>
      </c>
      <c r="G468">
        <v>70.284047999999999</v>
      </c>
      <c r="H468">
        <v>2</v>
      </c>
      <c r="I468">
        <v>52</v>
      </c>
      <c r="J468">
        <v>8</v>
      </c>
      <c r="K468">
        <v>125</v>
      </c>
      <c r="L468">
        <v>58</v>
      </c>
      <c r="M468">
        <v>23</v>
      </c>
      <c r="N468">
        <v>1995</v>
      </c>
      <c r="O468">
        <v>0.27</v>
      </c>
      <c r="P468">
        <v>2.4700000000000002</v>
      </c>
      <c r="Q468">
        <v>1.4999999999999999E-2</v>
      </c>
      <c r="R468">
        <v>65</v>
      </c>
      <c r="S468">
        <v>700</v>
      </c>
      <c r="T468">
        <v>475</v>
      </c>
      <c r="U468">
        <v>275</v>
      </c>
      <c r="V468">
        <v>370</v>
      </c>
      <c r="W468">
        <v>155</v>
      </c>
    </row>
    <row r="469" spans="1:23">
      <c r="A469">
        <v>352.00867267062148</v>
      </c>
      <c r="B469">
        <v>54.32</v>
      </c>
      <c r="C469">
        <v>4.5361942354461533</v>
      </c>
      <c r="D469">
        <v>398.12099999999998</v>
      </c>
      <c r="E469">
        <v>692.51014887658266</v>
      </c>
      <c r="F469">
        <v>155.54849999999999</v>
      </c>
      <c r="G469">
        <v>68.352000000000004</v>
      </c>
      <c r="H469">
        <v>6</v>
      </c>
      <c r="I469">
        <v>49</v>
      </c>
      <c r="J469">
        <v>6</v>
      </c>
      <c r="K469">
        <v>236</v>
      </c>
      <c r="L469">
        <v>60</v>
      </c>
      <c r="M469">
        <v>23</v>
      </c>
      <c r="N469">
        <v>1995</v>
      </c>
      <c r="O469">
        <v>0.27</v>
      </c>
      <c r="P469">
        <v>2.4700000000000002</v>
      </c>
      <c r="Q469">
        <v>1.4999999999999999E-2</v>
      </c>
      <c r="R469">
        <v>65</v>
      </c>
      <c r="S469">
        <v>700</v>
      </c>
      <c r="T469">
        <v>475</v>
      </c>
      <c r="U469">
        <v>275</v>
      </c>
      <c r="V469">
        <v>370</v>
      </c>
      <c r="W469">
        <v>155</v>
      </c>
    </row>
    <row r="470" spans="1:23">
      <c r="A470">
        <v>362.89032105729922</v>
      </c>
      <c r="B470">
        <v>56</v>
      </c>
      <c r="C470">
        <v>4.5361290132162404</v>
      </c>
      <c r="D470">
        <v>581.56600000000003</v>
      </c>
      <c r="E470">
        <v>689.31855661440545</v>
      </c>
      <c r="F470">
        <v>162.3116</v>
      </c>
      <c r="G470">
        <v>70.403600000000012</v>
      </c>
      <c r="H470">
        <v>7</v>
      </c>
      <c r="I470">
        <v>54</v>
      </c>
      <c r="J470">
        <v>5</v>
      </c>
      <c r="K470">
        <v>148</v>
      </c>
      <c r="L470">
        <v>59</v>
      </c>
      <c r="M470">
        <v>28</v>
      </c>
      <c r="N470">
        <v>1995</v>
      </c>
      <c r="O470">
        <v>0.27</v>
      </c>
      <c r="P470">
        <v>2.4700000000000002</v>
      </c>
      <c r="Q470">
        <v>1.4999999999999999E-2</v>
      </c>
      <c r="R470">
        <v>65</v>
      </c>
      <c r="S470">
        <v>700</v>
      </c>
      <c r="T470">
        <v>475</v>
      </c>
      <c r="U470">
        <v>275</v>
      </c>
      <c r="V470">
        <v>370</v>
      </c>
      <c r="W470">
        <v>155</v>
      </c>
    </row>
    <row r="471" spans="1:23">
      <c r="A471">
        <v>362.66195593199819</v>
      </c>
      <c r="B471">
        <v>56</v>
      </c>
      <c r="C471">
        <v>4.5332744491499772</v>
      </c>
      <c r="D471">
        <v>393.18419999999998</v>
      </c>
      <c r="E471">
        <v>688.75518672199166</v>
      </c>
      <c r="F471">
        <v>162.30420000000001</v>
      </c>
      <c r="G471">
        <v>70.348470000000006</v>
      </c>
      <c r="H471">
        <v>6</v>
      </c>
      <c r="I471">
        <v>52</v>
      </c>
      <c r="J471">
        <v>6</v>
      </c>
      <c r="K471">
        <v>267</v>
      </c>
      <c r="L471">
        <v>61</v>
      </c>
      <c r="M471">
        <v>21</v>
      </c>
      <c r="N471">
        <v>1995</v>
      </c>
      <c r="O471">
        <v>0.27</v>
      </c>
      <c r="P471">
        <v>2.4700000000000002</v>
      </c>
      <c r="Q471">
        <v>1.4999999999999999E-2</v>
      </c>
      <c r="R471">
        <v>65</v>
      </c>
      <c r="S471">
        <v>700</v>
      </c>
      <c r="T471">
        <v>475</v>
      </c>
      <c r="U471">
        <v>275</v>
      </c>
      <c r="V471">
        <v>370</v>
      </c>
      <c r="W471">
        <v>155</v>
      </c>
    </row>
    <row r="472" spans="1:23">
      <c r="A472">
        <v>379.63866868561519</v>
      </c>
      <c r="B472">
        <v>58.625</v>
      </c>
      <c r="C472">
        <v>4.5329990290819726</v>
      </c>
      <c r="D472">
        <v>447.10208</v>
      </c>
      <c r="E472">
        <v>691.71120331950215</v>
      </c>
      <c r="F472">
        <v>172.20392000000001</v>
      </c>
      <c r="G472">
        <v>73.701040000000006</v>
      </c>
      <c r="H472">
        <v>9</v>
      </c>
      <c r="I472">
        <v>45</v>
      </c>
      <c r="J472">
        <v>4</v>
      </c>
      <c r="K472">
        <v>254</v>
      </c>
      <c r="L472">
        <v>59</v>
      </c>
      <c r="M472">
        <v>16</v>
      </c>
      <c r="N472">
        <v>1995</v>
      </c>
      <c r="O472">
        <v>0.27</v>
      </c>
      <c r="P472">
        <v>2.4700000000000002</v>
      </c>
      <c r="Q472">
        <v>1.4999999999999999E-2</v>
      </c>
      <c r="R472">
        <v>65</v>
      </c>
      <c r="S472">
        <v>700</v>
      </c>
      <c r="T472">
        <v>475</v>
      </c>
      <c r="U472">
        <v>275</v>
      </c>
      <c r="V472">
        <v>370</v>
      </c>
      <c r="W472">
        <v>155</v>
      </c>
    </row>
    <row r="473" spans="1:23">
      <c r="A473">
        <v>362.58855852387393</v>
      </c>
      <c r="B473">
        <v>56.000000000000007</v>
      </c>
      <c r="C473">
        <v>4.532356981548423</v>
      </c>
      <c r="D473">
        <v>415.40048000000002</v>
      </c>
      <c r="E473">
        <v>688.9377593360997</v>
      </c>
      <c r="F473">
        <v>161.91274000000001</v>
      </c>
      <c r="G473">
        <v>70.337740000000011</v>
      </c>
      <c r="H473">
        <v>9</v>
      </c>
      <c r="I473">
        <v>55</v>
      </c>
      <c r="J473">
        <v>3</v>
      </c>
      <c r="K473">
        <v>245</v>
      </c>
      <c r="L473">
        <v>58</v>
      </c>
      <c r="M473">
        <v>22</v>
      </c>
      <c r="N473">
        <v>1995</v>
      </c>
      <c r="O473">
        <v>0.27</v>
      </c>
      <c r="P473">
        <v>2.4700000000000002</v>
      </c>
      <c r="Q473">
        <v>1.4999999999999999E-2</v>
      </c>
      <c r="R473">
        <v>65</v>
      </c>
      <c r="S473">
        <v>700</v>
      </c>
      <c r="T473">
        <v>475</v>
      </c>
      <c r="U473">
        <v>275</v>
      </c>
      <c r="V473">
        <v>370</v>
      </c>
      <c r="W473">
        <v>155</v>
      </c>
    </row>
    <row r="474" spans="1:23">
      <c r="A474">
        <v>339.88079499077662</v>
      </c>
      <c r="B474">
        <v>52.500000000000007</v>
      </c>
      <c r="C474">
        <v>4.5317439332103548</v>
      </c>
      <c r="D474">
        <v>386.8313</v>
      </c>
      <c r="E474">
        <v>692.33774612274692</v>
      </c>
      <c r="F474">
        <v>192.98681999999999</v>
      </c>
      <c r="G474">
        <v>65.993940000000009</v>
      </c>
      <c r="H474">
        <v>22</v>
      </c>
      <c r="I474">
        <v>51</v>
      </c>
      <c r="J474">
        <v>3</v>
      </c>
      <c r="K474">
        <v>187</v>
      </c>
      <c r="L474">
        <v>62</v>
      </c>
      <c r="M474">
        <v>19</v>
      </c>
      <c r="N474">
        <v>1995</v>
      </c>
      <c r="O474">
        <v>0.27</v>
      </c>
      <c r="P474">
        <v>2.4700000000000002</v>
      </c>
      <c r="Q474">
        <v>1.4999999999999999E-2</v>
      </c>
      <c r="R474">
        <v>65</v>
      </c>
      <c r="S474">
        <v>700</v>
      </c>
      <c r="T474">
        <v>475</v>
      </c>
      <c r="U474">
        <v>275</v>
      </c>
      <c r="V474">
        <v>370</v>
      </c>
      <c r="W474">
        <v>155</v>
      </c>
    </row>
    <row r="475" spans="1:23">
      <c r="A475">
        <v>362.41371869445049</v>
      </c>
      <c r="B475">
        <v>56</v>
      </c>
      <c r="C475">
        <v>4.5301714836806317</v>
      </c>
      <c r="D475">
        <v>995.55600000000004</v>
      </c>
      <c r="E475">
        <v>682.90599341000075</v>
      </c>
      <c r="F475">
        <v>162.54</v>
      </c>
      <c r="G475">
        <v>70.188000000000002</v>
      </c>
      <c r="H475">
        <v>2</v>
      </c>
      <c r="I475">
        <v>52</v>
      </c>
      <c r="J475">
        <v>8</v>
      </c>
      <c r="K475">
        <v>124</v>
      </c>
      <c r="L475">
        <v>58</v>
      </c>
      <c r="M475">
        <v>23</v>
      </c>
      <c r="N475">
        <v>1995</v>
      </c>
      <c r="O475">
        <v>0.27</v>
      </c>
      <c r="P475">
        <v>2.4700000000000002</v>
      </c>
      <c r="Q475">
        <v>1.4999999999999999E-2</v>
      </c>
      <c r="R475">
        <v>65</v>
      </c>
      <c r="S475">
        <v>700</v>
      </c>
      <c r="T475">
        <v>475</v>
      </c>
      <c r="U475">
        <v>275</v>
      </c>
      <c r="V475">
        <v>370</v>
      </c>
      <c r="W475">
        <v>155</v>
      </c>
    </row>
    <row r="476" spans="1:23">
      <c r="A476">
        <v>362.27527135745061</v>
      </c>
      <c r="B476">
        <v>56</v>
      </c>
      <c r="C476">
        <v>4.5284408919681329</v>
      </c>
      <c r="D476">
        <v>954.61440000000005</v>
      </c>
      <c r="E476">
        <v>682.39610937320595</v>
      </c>
      <c r="F476">
        <v>160.2912</v>
      </c>
      <c r="G476">
        <v>70.151399999999995</v>
      </c>
      <c r="H476">
        <v>2</v>
      </c>
      <c r="I476">
        <v>51</v>
      </c>
      <c r="J476">
        <v>8</v>
      </c>
      <c r="K476">
        <v>85</v>
      </c>
      <c r="L476">
        <v>57</v>
      </c>
      <c r="M476">
        <v>25</v>
      </c>
      <c r="N476">
        <v>1995</v>
      </c>
      <c r="O476">
        <v>0.27</v>
      </c>
      <c r="P476">
        <v>2.4700000000000002</v>
      </c>
      <c r="Q476">
        <v>1.4999999999999999E-2</v>
      </c>
      <c r="R476">
        <v>65</v>
      </c>
      <c r="S476">
        <v>700</v>
      </c>
      <c r="T476">
        <v>475</v>
      </c>
      <c r="U476">
        <v>275</v>
      </c>
      <c r="V476">
        <v>370</v>
      </c>
      <c r="W476">
        <v>155</v>
      </c>
    </row>
    <row r="477" spans="1:23">
      <c r="A477">
        <v>362.22493560670642</v>
      </c>
      <c r="B477">
        <v>56</v>
      </c>
      <c r="C477">
        <v>4.5278116950838303</v>
      </c>
      <c r="D477">
        <v>421.66091999999998</v>
      </c>
      <c r="E477">
        <v>690.01311227892222</v>
      </c>
      <c r="F477">
        <v>164.26032000000001</v>
      </c>
      <c r="G477">
        <v>70.287840000000003</v>
      </c>
      <c r="H477">
        <v>8</v>
      </c>
      <c r="I477">
        <v>56</v>
      </c>
      <c r="J477">
        <v>4</v>
      </c>
      <c r="K477">
        <v>146</v>
      </c>
      <c r="L477">
        <v>57</v>
      </c>
      <c r="M477">
        <v>20</v>
      </c>
      <c r="N477">
        <v>1995</v>
      </c>
      <c r="O477">
        <v>0.27</v>
      </c>
      <c r="P477">
        <v>2.4700000000000002</v>
      </c>
      <c r="Q477">
        <v>1.4999999999999999E-2</v>
      </c>
      <c r="R477">
        <v>65</v>
      </c>
      <c r="S477">
        <v>700</v>
      </c>
      <c r="T477">
        <v>475</v>
      </c>
      <c r="U477">
        <v>275</v>
      </c>
      <c r="V477">
        <v>370</v>
      </c>
      <c r="W477">
        <v>155</v>
      </c>
    </row>
    <row r="478" spans="1:23">
      <c r="A478">
        <v>362.09544463902341</v>
      </c>
      <c r="B478">
        <v>56.000000000000007</v>
      </c>
      <c r="C478">
        <v>4.5261930579877916</v>
      </c>
      <c r="D478">
        <v>422.96624000000003</v>
      </c>
      <c r="E478">
        <v>691.49377593360987</v>
      </c>
      <c r="F478">
        <v>164.41911999999999</v>
      </c>
      <c r="G478">
        <v>70.291119999999992</v>
      </c>
      <c r="H478">
        <v>6</v>
      </c>
      <c r="I478">
        <v>53</v>
      </c>
      <c r="J478">
        <v>6</v>
      </c>
      <c r="K478">
        <v>242</v>
      </c>
      <c r="L478">
        <v>59</v>
      </c>
      <c r="M478">
        <v>19</v>
      </c>
      <c r="N478">
        <v>1995</v>
      </c>
      <c r="O478">
        <v>0.27</v>
      </c>
      <c r="P478">
        <v>2.4700000000000002</v>
      </c>
      <c r="Q478">
        <v>1.4999999999999999E-2</v>
      </c>
      <c r="R478">
        <v>65</v>
      </c>
      <c r="S478">
        <v>700</v>
      </c>
      <c r="T478">
        <v>475</v>
      </c>
      <c r="U478">
        <v>275</v>
      </c>
      <c r="V478">
        <v>370</v>
      </c>
      <c r="W478">
        <v>155</v>
      </c>
    </row>
    <row r="479" spans="1:23">
      <c r="A479">
        <v>362.09544463902341</v>
      </c>
      <c r="B479">
        <v>56.000000000000007</v>
      </c>
      <c r="C479">
        <v>4.5261930579877916</v>
      </c>
      <c r="D479">
        <v>422.96624000000003</v>
      </c>
      <c r="E479">
        <v>691.49377593360987</v>
      </c>
      <c r="F479">
        <v>164.41911999999999</v>
      </c>
      <c r="G479">
        <v>70.291119999999992</v>
      </c>
      <c r="H479">
        <v>6</v>
      </c>
      <c r="I479">
        <v>53</v>
      </c>
      <c r="J479">
        <v>6</v>
      </c>
      <c r="K479">
        <v>243</v>
      </c>
      <c r="L479">
        <v>59</v>
      </c>
      <c r="M479">
        <v>19</v>
      </c>
      <c r="N479">
        <v>1995</v>
      </c>
      <c r="O479">
        <v>0.27</v>
      </c>
      <c r="P479">
        <v>2.4700000000000002</v>
      </c>
      <c r="Q479">
        <v>1.4999999999999999E-2</v>
      </c>
      <c r="R479">
        <v>65</v>
      </c>
      <c r="S479">
        <v>700</v>
      </c>
      <c r="T479">
        <v>475</v>
      </c>
      <c r="U479">
        <v>275</v>
      </c>
      <c r="V479">
        <v>370</v>
      </c>
      <c r="W479">
        <v>155</v>
      </c>
    </row>
    <row r="480" spans="1:23">
      <c r="A480">
        <v>362.03955112518321</v>
      </c>
      <c r="B480">
        <v>56</v>
      </c>
      <c r="C480">
        <v>4.5254943890647903</v>
      </c>
      <c r="D480">
        <v>421.66091999999998</v>
      </c>
      <c r="E480">
        <v>691.88842071781028</v>
      </c>
      <c r="F480">
        <v>164.26032000000001</v>
      </c>
      <c r="G480">
        <v>70.287840000000003</v>
      </c>
      <c r="H480">
        <v>8</v>
      </c>
      <c r="I480">
        <v>56</v>
      </c>
      <c r="J480">
        <v>4</v>
      </c>
      <c r="K480">
        <v>314</v>
      </c>
      <c r="L480">
        <v>57</v>
      </c>
      <c r="M480">
        <v>20</v>
      </c>
      <c r="N480">
        <v>1995</v>
      </c>
      <c r="O480">
        <v>0.27</v>
      </c>
      <c r="P480">
        <v>2.4700000000000002</v>
      </c>
      <c r="Q480">
        <v>1.4999999999999999E-2</v>
      </c>
      <c r="R480">
        <v>65</v>
      </c>
      <c r="S480">
        <v>700</v>
      </c>
      <c r="T480">
        <v>475</v>
      </c>
      <c r="U480">
        <v>275</v>
      </c>
      <c r="V480">
        <v>370</v>
      </c>
      <c r="W480">
        <v>155</v>
      </c>
    </row>
    <row r="481" spans="1:23">
      <c r="A481">
        <v>361.75811660974148</v>
      </c>
      <c r="B481">
        <v>56</v>
      </c>
      <c r="C481">
        <v>4.5219764576217676</v>
      </c>
      <c r="D481">
        <v>395.73599999999999</v>
      </c>
      <c r="E481">
        <v>691.64315352697099</v>
      </c>
      <c r="F481">
        <v>162.636</v>
      </c>
      <c r="G481">
        <v>70.228499999999997</v>
      </c>
      <c r="H481">
        <v>9</v>
      </c>
      <c r="I481">
        <v>57</v>
      </c>
      <c r="J481">
        <v>3</v>
      </c>
      <c r="K481">
        <v>38</v>
      </c>
      <c r="L481">
        <v>48</v>
      </c>
      <c r="M481">
        <v>5</v>
      </c>
      <c r="N481">
        <v>1995</v>
      </c>
      <c r="O481">
        <v>0.27</v>
      </c>
      <c r="P481">
        <v>2.4700000000000002</v>
      </c>
      <c r="Q481">
        <v>1.4999999999999999E-2</v>
      </c>
      <c r="R481">
        <v>65</v>
      </c>
      <c r="S481">
        <v>700</v>
      </c>
      <c r="T481">
        <v>475</v>
      </c>
      <c r="U481">
        <v>275</v>
      </c>
      <c r="V481">
        <v>370</v>
      </c>
      <c r="W481">
        <v>155</v>
      </c>
    </row>
    <row r="482" spans="1:23">
      <c r="A482">
        <v>361.63347987346549</v>
      </c>
      <c r="B482">
        <v>56.000000000000007</v>
      </c>
      <c r="C482">
        <v>4.5204184984183184</v>
      </c>
      <c r="D482">
        <v>417.89879999999999</v>
      </c>
      <c r="E482">
        <v>676.90456431535279</v>
      </c>
      <c r="F482">
        <v>162.32939999999999</v>
      </c>
      <c r="G482">
        <v>69.921899999999994</v>
      </c>
      <c r="H482">
        <v>9</v>
      </c>
      <c r="I482">
        <v>57</v>
      </c>
      <c r="J482">
        <v>3</v>
      </c>
      <c r="K482">
        <v>58</v>
      </c>
      <c r="L482">
        <v>57</v>
      </c>
      <c r="M482">
        <v>9</v>
      </c>
      <c r="N482">
        <v>1995</v>
      </c>
      <c r="O482">
        <v>0.27</v>
      </c>
      <c r="P482">
        <v>2.4700000000000002</v>
      </c>
      <c r="Q482">
        <v>1.4999999999999999E-2</v>
      </c>
      <c r="R482">
        <v>65</v>
      </c>
      <c r="S482">
        <v>700</v>
      </c>
      <c r="T482">
        <v>475</v>
      </c>
      <c r="U482">
        <v>275</v>
      </c>
      <c r="V482">
        <v>370</v>
      </c>
      <c r="W482">
        <v>155</v>
      </c>
    </row>
    <row r="483" spans="1:23">
      <c r="A483">
        <v>361.49954194518551</v>
      </c>
      <c r="B483">
        <v>56</v>
      </c>
      <c r="C483">
        <v>4.5187442743148187</v>
      </c>
      <c r="D483">
        <v>387.22050000000002</v>
      </c>
      <c r="E483">
        <v>685.64315352697099</v>
      </c>
      <c r="F483">
        <v>160.6797</v>
      </c>
      <c r="G483">
        <v>70.063380000000009</v>
      </c>
      <c r="H483">
        <v>8</v>
      </c>
      <c r="I483">
        <v>54</v>
      </c>
      <c r="J483">
        <v>4</v>
      </c>
      <c r="K483">
        <v>208</v>
      </c>
      <c r="L483">
        <v>59</v>
      </c>
      <c r="M483">
        <v>27</v>
      </c>
      <c r="N483">
        <v>1995</v>
      </c>
      <c r="O483">
        <v>0.27</v>
      </c>
      <c r="P483">
        <v>2.4700000000000002</v>
      </c>
      <c r="Q483">
        <v>1.4999999999999999E-2</v>
      </c>
      <c r="R483">
        <v>65</v>
      </c>
      <c r="S483">
        <v>700</v>
      </c>
      <c r="T483">
        <v>475</v>
      </c>
      <c r="U483">
        <v>275</v>
      </c>
      <c r="V483">
        <v>370</v>
      </c>
      <c r="W483">
        <v>155</v>
      </c>
    </row>
    <row r="484" spans="1:23">
      <c r="A484">
        <v>361.24643092363277</v>
      </c>
      <c r="B484">
        <v>56</v>
      </c>
      <c r="C484">
        <v>4.5155803865454107</v>
      </c>
      <c r="D484">
        <v>415.0179</v>
      </c>
      <c r="E484">
        <v>691.32832679828289</v>
      </c>
      <c r="F484">
        <v>161.27856</v>
      </c>
      <c r="G484">
        <v>70.123140000000006</v>
      </c>
      <c r="H484">
        <v>9</v>
      </c>
      <c r="I484">
        <v>55</v>
      </c>
      <c r="J484">
        <v>3</v>
      </c>
      <c r="K484">
        <v>187</v>
      </c>
      <c r="L484">
        <v>58</v>
      </c>
      <c r="M484">
        <v>21</v>
      </c>
      <c r="N484">
        <v>1995</v>
      </c>
      <c r="O484">
        <v>0.27</v>
      </c>
      <c r="P484">
        <v>2.4700000000000002</v>
      </c>
      <c r="Q484">
        <v>1.4999999999999999E-2</v>
      </c>
      <c r="R484">
        <v>65</v>
      </c>
      <c r="S484">
        <v>700</v>
      </c>
      <c r="T484">
        <v>475</v>
      </c>
      <c r="U484">
        <v>275</v>
      </c>
      <c r="V484">
        <v>370</v>
      </c>
      <c r="W484">
        <v>155</v>
      </c>
    </row>
    <row r="485" spans="1:23">
      <c r="A485">
        <v>361.03896388585389</v>
      </c>
      <c r="B485">
        <v>56</v>
      </c>
      <c r="C485">
        <v>4.5129870485731738</v>
      </c>
      <c r="D485">
        <v>978.33600000000001</v>
      </c>
      <c r="E485">
        <v>682.39610937320595</v>
      </c>
      <c r="F485">
        <v>160.05600000000001</v>
      </c>
      <c r="G485">
        <v>69.912000000000006</v>
      </c>
      <c r="H485">
        <v>2</v>
      </c>
      <c r="I485">
        <v>51</v>
      </c>
      <c r="J485">
        <v>8</v>
      </c>
      <c r="K485">
        <v>41</v>
      </c>
      <c r="L485">
        <v>57</v>
      </c>
      <c r="M485">
        <v>25</v>
      </c>
      <c r="N485">
        <v>1995</v>
      </c>
      <c r="O485">
        <v>0.27</v>
      </c>
      <c r="P485">
        <v>2.4700000000000002</v>
      </c>
      <c r="Q485">
        <v>1.4999999999999999E-2</v>
      </c>
      <c r="R485">
        <v>65</v>
      </c>
      <c r="S485">
        <v>700</v>
      </c>
      <c r="T485">
        <v>475</v>
      </c>
      <c r="U485">
        <v>275</v>
      </c>
      <c r="V485">
        <v>370</v>
      </c>
      <c r="W485">
        <v>155</v>
      </c>
    </row>
    <row r="486" spans="1:23">
      <c r="A486">
        <v>361.03293806706881</v>
      </c>
      <c r="B486">
        <v>56</v>
      </c>
      <c r="C486">
        <v>4.51291172583836</v>
      </c>
      <c r="D486">
        <v>449.85599999999999</v>
      </c>
      <c r="E486">
        <v>688.73029045643159</v>
      </c>
      <c r="F486">
        <v>165.93600000000001</v>
      </c>
      <c r="G486">
        <v>70.031999999999996</v>
      </c>
      <c r="H486">
        <v>6</v>
      </c>
      <c r="I486">
        <v>54</v>
      </c>
      <c r="J486">
        <v>6</v>
      </c>
      <c r="K486">
        <v>176</v>
      </c>
      <c r="L486">
        <v>50</v>
      </c>
      <c r="M486">
        <v>4</v>
      </c>
      <c r="N486">
        <v>1995</v>
      </c>
      <c r="O486">
        <v>0.27</v>
      </c>
      <c r="P486">
        <v>2.4700000000000002</v>
      </c>
      <c r="Q486">
        <v>1.4999999999999999E-2</v>
      </c>
      <c r="R486">
        <v>65</v>
      </c>
      <c r="S486">
        <v>700</v>
      </c>
      <c r="T486">
        <v>475</v>
      </c>
      <c r="U486">
        <v>275</v>
      </c>
      <c r="V486">
        <v>370</v>
      </c>
      <c r="W486">
        <v>155</v>
      </c>
    </row>
    <row r="487" spans="1:23">
      <c r="A487">
        <v>338.43384732029381</v>
      </c>
      <c r="B487">
        <v>52.5</v>
      </c>
      <c r="C487">
        <v>4.5124512976039171</v>
      </c>
      <c r="D487">
        <v>413.28</v>
      </c>
      <c r="E487">
        <v>686.59431479465752</v>
      </c>
      <c r="F487">
        <v>195.48</v>
      </c>
      <c r="G487">
        <v>65.61</v>
      </c>
      <c r="H487">
        <v>22</v>
      </c>
      <c r="I487">
        <v>52</v>
      </c>
      <c r="J487">
        <v>3</v>
      </c>
      <c r="K487">
        <v>301</v>
      </c>
      <c r="L487">
        <v>62</v>
      </c>
      <c r="M487">
        <v>2</v>
      </c>
      <c r="N487">
        <v>1995</v>
      </c>
      <c r="O487">
        <v>0.27</v>
      </c>
      <c r="P487">
        <v>2.4700000000000002</v>
      </c>
      <c r="Q487">
        <v>1.4999999999999999E-2</v>
      </c>
      <c r="R487">
        <v>65</v>
      </c>
      <c r="S487">
        <v>700</v>
      </c>
      <c r="T487">
        <v>475</v>
      </c>
      <c r="U487">
        <v>275</v>
      </c>
      <c r="V487">
        <v>370</v>
      </c>
      <c r="W487">
        <v>155</v>
      </c>
    </row>
    <row r="488" spans="1:23">
      <c r="A488">
        <v>360.91632568783928</v>
      </c>
      <c r="B488">
        <v>56.000000000000007</v>
      </c>
      <c r="C488">
        <v>4.5114540710979911</v>
      </c>
      <c r="D488">
        <v>444.30414000000002</v>
      </c>
      <c r="E488">
        <v>690.90622406639</v>
      </c>
      <c r="F488">
        <v>163.78937999999999</v>
      </c>
      <c r="G488">
        <v>70.050989999999999</v>
      </c>
      <c r="H488">
        <v>6</v>
      </c>
      <c r="I488">
        <v>53</v>
      </c>
      <c r="J488">
        <v>6</v>
      </c>
      <c r="K488">
        <v>99</v>
      </c>
      <c r="L488">
        <v>59</v>
      </c>
      <c r="M488">
        <v>9</v>
      </c>
      <c r="N488">
        <v>1995</v>
      </c>
      <c r="O488">
        <v>0.27</v>
      </c>
      <c r="P488">
        <v>2.4700000000000002</v>
      </c>
      <c r="Q488">
        <v>1.4999999999999999E-2</v>
      </c>
      <c r="R488">
        <v>65</v>
      </c>
      <c r="S488">
        <v>700</v>
      </c>
      <c r="T488">
        <v>475</v>
      </c>
      <c r="U488">
        <v>275</v>
      </c>
      <c r="V488">
        <v>370</v>
      </c>
      <c r="W488">
        <v>155</v>
      </c>
    </row>
    <row r="489" spans="1:23">
      <c r="A489">
        <v>360.762776818975</v>
      </c>
      <c r="B489">
        <v>56</v>
      </c>
      <c r="C489">
        <v>4.5095347102371877</v>
      </c>
      <c r="D489">
        <v>464.68991999999997</v>
      </c>
      <c r="E489">
        <v>691.12033195020751</v>
      </c>
      <c r="F489">
        <v>163.15871999999999</v>
      </c>
      <c r="G489">
        <v>70.025279999999995</v>
      </c>
      <c r="H489">
        <v>8</v>
      </c>
      <c r="I489">
        <v>57</v>
      </c>
      <c r="J489">
        <v>4</v>
      </c>
      <c r="K489">
        <v>59</v>
      </c>
      <c r="L489">
        <v>50</v>
      </c>
      <c r="M489">
        <v>3</v>
      </c>
      <c r="N489">
        <v>1995</v>
      </c>
      <c r="O489">
        <v>0.27</v>
      </c>
      <c r="P489">
        <v>2.4700000000000002</v>
      </c>
      <c r="Q489">
        <v>1.4999999999999999E-2</v>
      </c>
      <c r="R489">
        <v>65</v>
      </c>
      <c r="S489">
        <v>700</v>
      </c>
      <c r="T489">
        <v>475</v>
      </c>
      <c r="U489">
        <v>275</v>
      </c>
      <c r="V489">
        <v>370</v>
      </c>
      <c r="W489">
        <v>155</v>
      </c>
    </row>
    <row r="490" spans="1:23">
      <c r="A490">
        <v>360.71374925992541</v>
      </c>
      <c r="B490">
        <v>56</v>
      </c>
      <c r="C490">
        <v>4.5089218657490679</v>
      </c>
      <c r="D490">
        <v>398.08992000000012</v>
      </c>
      <c r="E490">
        <v>691.6182572614108</v>
      </c>
      <c r="F490">
        <v>163.15871999999999</v>
      </c>
      <c r="G490">
        <v>70.025279999999995</v>
      </c>
      <c r="H490">
        <v>8</v>
      </c>
      <c r="I490">
        <v>57</v>
      </c>
      <c r="J490">
        <v>4</v>
      </c>
      <c r="K490">
        <v>191</v>
      </c>
      <c r="L490">
        <v>48</v>
      </c>
      <c r="M490">
        <v>5</v>
      </c>
      <c r="N490">
        <v>1995</v>
      </c>
      <c r="O490">
        <v>0.27</v>
      </c>
      <c r="P490">
        <v>2.4700000000000002</v>
      </c>
      <c r="Q490">
        <v>1.4999999999999999E-2</v>
      </c>
      <c r="R490">
        <v>65</v>
      </c>
      <c r="S490">
        <v>700</v>
      </c>
      <c r="T490">
        <v>475</v>
      </c>
      <c r="U490">
        <v>275</v>
      </c>
      <c r="V490">
        <v>370</v>
      </c>
      <c r="W490">
        <v>155</v>
      </c>
    </row>
    <row r="491" spans="1:23">
      <c r="A491">
        <v>360.70894059296143</v>
      </c>
      <c r="B491">
        <v>56.000000000000007</v>
      </c>
      <c r="C491">
        <v>4.5088617574120162</v>
      </c>
      <c r="D491">
        <v>390.55349999999999</v>
      </c>
      <c r="E491">
        <v>692.48962655601667</v>
      </c>
      <c r="F491">
        <v>161.61600000000001</v>
      </c>
      <c r="G491">
        <v>70.040999999999997</v>
      </c>
      <c r="H491">
        <v>9</v>
      </c>
      <c r="I491">
        <v>55</v>
      </c>
      <c r="J491">
        <v>3</v>
      </c>
      <c r="K491">
        <v>266</v>
      </c>
      <c r="L491">
        <v>57</v>
      </c>
      <c r="M491">
        <v>25</v>
      </c>
      <c r="N491">
        <v>1995</v>
      </c>
      <c r="O491">
        <v>0.27</v>
      </c>
      <c r="P491">
        <v>2.4700000000000002</v>
      </c>
      <c r="Q491">
        <v>1.4999999999999999E-2</v>
      </c>
      <c r="R491">
        <v>65</v>
      </c>
      <c r="S491">
        <v>700</v>
      </c>
      <c r="T491">
        <v>475</v>
      </c>
      <c r="U491">
        <v>275</v>
      </c>
      <c r="V491">
        <v>370</v>
      </c>
      <c r="W491">
        <v>155</v>
      </c>
    </row>
    <row r="492" spans="1:23">
      <c r="A492">
        <v>368.57083509420858</v>
      </c>
      <c r="B492">
        <v>57.235294117647072</v>
      </c>
      <c r="C492">
        <v>4.5077008608644196</v>
      </c>
      <c r="D492">
        <v>980.35019999999997</v>
      </c>
      <c r="E492">
        <v>683.62968488719571</v>
      </c>
      <c r="F492">
        <v>161.22466800000001</v>
      </c>
      <c r="G492">
        <v>71.394570000000002</v>
      </c>
      <c r="H492">
        <v>2</v>
      </c>
      <c r="I492">
        <v>51</v>
      </c>
      <c r="J492">
        <v>8</v>
      </c>
      <c r="K492">
        <v>77</v>
      </c>
      <c r="L492">
        <v>57</v>
      </c>
      <c r="M492">
        <v>36</v>
      </c>
      <c r="N492">
        <v>1995</v>
      </c>
      <c r="O492">
        <v>0.27</v>
      </c>
      <c r="P492">
        <v>2.4700000000000002</v>
      </c>
      <c r="Q492">
        <v>1.4999999999999999E-2</v>
      </c>
      <c r="R492">
        <v>65</v>
      </c>
      <c r="S492">
        <v>700</v>
      </c>
      <c r="T492">
        <v>475</v>
      </c>
      <c r="U492">
        <v>275</v>
      </c>
      <c r="V492">
        <v>370</v>
      </c>
      <c r="W492">
        <v>155</v>
      </c>
    </row>
    <row r="493" spans="1:23">
      <c r="A493">
        <v>360.53958922605148</v>
      </c>
      <c r="B493">
        <v>56.000000000000007</v>
      </c>
      <c r="C493">
        <v>4.5067448653256426</v>
      </c>
      <c r="D493">
        <v>397.18759999999997</v>
      </c>
      <c r="E493">
        <v>691.11203319502067</v>
      </c>
      <c r="F493">
        <v>163.1626</v>
      </c>
      <c r="G493">
        <v>69.981800000000021</v>
      </c>
      <c r="H493">
        <v>7</v>
      </c>
      <c r="I493">
        <v>55</v>
      </c>
      <c r="J493">
        <v>5</v>
      </c>
      <c r="K493">
        <v>98</v>
      </c>
      <c r="L493">
        <v>54</v>
      </c>
      <c r="M493">
        <v>8</v>
      </c>
      <c r="N493">
        <v>1995</v>
      </c>
      <c r="O493">
        <v>0.27</v>
      </c>
      <c r="P493">
        <v>2.4700000000000002</v>
      </c>
      <c r="Q493">
        <v>1.4999999999999999E-2</v>
      </c>
      <c r="R493">
        <v>65</v>
      </c>
      <c r="S493">
        <v>700</v>
      </c>
      <c r="T493">
        <v>475</v>
      </c>
      <c r="U493">
        <v>275</v>
      </c>
      <c r="V493">
        <v>370</v>
      </c>
      <c r="W493">
        <v>155</v>
      </c>
    </row>
    <row r="494" spans="1:23">
      <c r="A494">
        <v>368.38545154629691</v>
      </c>
      <c r="B494">
        <v>57.235294117647072</v>
      </c>
      <c r="C494">
        <v>4.5054335800626228</v>
      </c>
      <c r="D494">
        <v>980.24759999999992</v>
      </c>
      <c r="E494">
        <v>683.62968488719571</v>
      </c>
      <c r="F494">
        <v>161.189784</v>
      </c>
      <c r="G494">
        <v>71.35866</v>
      </c>
      <c r="H494">
        <v>2</v>
      </c>
      <c r="I494">
        <v>51</v>
      </c>
      <c r="J494">
        <v>8</v>
      </c>
      <c r="K494">
        <v>312</v>
      </c>
      <c r="L494">
        <v>57</v>
      </c>
      <c r="M494">
        <v>36</v>
      </c>
      <c r="N494">
        <v>1995</v>
      </c>
      <c r="O494">
        <v>0.27</v>
      </c>
      <c r="P494">
        <v>2.4700000000000002</v>
      </c>
      <c r="Q494">
        <v>1.4999999999999999E-2</v>
      </c>
      <c r="R494">
        <v>65</v>
      </c>
      <c r="S494">
        <v>700</v>
      </c>
      <c r="T494">
        <v>475</v>
      </c>
      <c r="U494">
        <v>275</v>
      </c>
      <c r="V494">
        <v>370</v>
      </c>
      <c r="W494">
        <v>155</v>
      </c>
    </row>
    <row r="495" spans="1:23">
      <c r="A495">
        <v>360.4177732506875</v>
      </c>
      <c r="B495">
        <v>56.000000000000007</v>
      </c>
      <c r="C495">
        <v>4.5052221656335929</v>
      </c>
      <c r="D495">
        <v>384.19024000000002</v>
      </c>
      <c r="E495">
        <v>689.56016597510381</v>
      </c>
      <c r="F495">
        <v>159.41524000000001</v>
      </c>
      <c r="G495">
        <v>69.928520000000006</v>
      </c>
      <c r="H495">
        <v>9</v>
      </c>
      <c r="I495">
        <v>54</v>
      </c>
      <c r="J495">
        <v>3</v>
      </c>
      <c r="K495">
        <v>205</v>
      </c>
      <c r="L495">
        <v>59</v>
      </c>
      <c r="M495">
        <v>26</v>
      </c>
      <c r="N495">
        <v>1995</v>
      </c>
      <c r="O495">
        <v>0.27</v>
      </c>
      <c r="P495">
        <v>2.4700000000000002</v>
      </c>
      <c r="Q495">
        <v>1.4999999999999999E-2</v>
      </c>
      <c r="R495">
        <v>65</v>
      </c>
      <c r="S495">
        <v>700</v>
      </c>
      <c r="T495">
        <v>475</v>
      </c>
      <c r="U495">
        <v>275</v>
      </c>
      <c r="V495">
        <v>370</v>
      </c>
      <c r="W495">
        <v>155</v>
      </c>
    </row>
    <row r="496" spans="1:23">
      <c r="A496">
        <v>360.18472207255462</v>
      </c>
      <c r="B496">
        <v>56.000000000000007</v>
      </c>
      <c r="C496">
        <v>4.5023090259069312</v>
      </c>
      <c r="D496">
        <v>408.74047999999999</v>
      </c>
      <c r="E496">
        <v>691.92950740492961</v>
      </c>
      <c r="F496">
        <v>159.41524000000001</v>
      </c>
      <c r="G496">
        <v>69.928520000000006</v>
      </c>
      <c r="H496">
        <v>9</v>
      </c>
      <c r="I496">
        <v>54</v>
      </c>
      <c r="J496">
        <v>3</v>
      </c>
      <c r="K496">
        <v>211</v>
      </c>
      <c r="L496">
        <v>59</v>
      </c>
      <c r="M496">
        <v>26</v>
      </c>
      <c r="N496">
        <v>1995</v>
      </c>
      <c r="O496">
        <v>0.27</v>
      </c>
      <c r="P496">
        <v>2.4700000000000002</v>
      </c>
      <c r="Q496">
        <v>1.4999999999999999E-2</v>
      </c>
      <c r="R496">
        <v>65</v>
      </c>
      <c r="S496">
        <v>700</v>
      </c>
      <c r="T496">
        <v>475</v>
      </c>
      <c r="U496">
        <v>275</v>
      </c>
      <c r="V496">
        <v>370</v>
      </c>
      <c r="W496">
        <v>155</v>
      </c>
    </row>
    <row r="497" spans="1:23">
      <c r="A497">
        <v>354.42929982700531</v>
      </c>
      <c r="B497">
        <v>55.125</v>
      </c>
      <c r="C497">
        <v>4.5006895216127658</v>
      </c>
      <c r="D497">
        <v>407.14208000000002</v>
      </c>
      <c r="E497">
        <v>686.33360995850626</v>
      </c>
      <c r="F497">
        <v>202.17392000000001</v>
      </c>
      <c r="G497">
        <v>68.706040000000002</v>
      </c>
      <c r="H497">
        <v>22</v>
      </c>
      <c r="I497">
        <v>54</v>
      </c>
      <c r="J497">
        <v>3</v>
      </c>
      <c r="K497">
        <v>254</v>
      </c>
      <c r="L497">
        <v>59</v>
      </c>
      <c r="M497">
        <v>16</v>
      </c>
      <c r="N497">
        <v>1995</v>
      </c>
      <c r="O497">
        <v>0.27</v>
      </c>
      <c r="P497">
        <v>2.4700000000000002</v>
      </c>
      <c r="Q497">
        <v>1.4999999999999999E-2</v>
      </c>
      <c r="R497">
        <v>65</v>
      </c>
      <c r="S497">
        <v>700</v>
      </c>
      <c r="T497">
        <v>475</v>
      </c>
      <c r="U497">
        <v>275</v>
      </c>
      <c r="V497">
        <v>370</v>
      </c>
      <c r="W497">
        <v>155</v>
      </c>
    </row>
    <row r="498" spans="1:23">
      <c r="A498">
        <v>359.98200908383569</v>
      </c>
      <c r="B498">
        <v>56.000000000000007</v>
      </c>
      <c r="C498">
        <v>4.4997751135479458</v>
      </c>
      <c r="D498">
        <v>405.71415999999999</v>
      </c>
      <c r="E498">
        <v>691.08833280206204</v>
      </c>
      <c r="F498">
        <v>158.38795999999999</v>
      </c>
      <c r="G498">
        <v>69.87312</v>
      </c>
      <c r="H498">
        <v>8</v>
      </c>
      <c r="I498">
        <v>53</v>
      </c>
      <c r="J498">
        <v>4</v>
      </c>
      <c r="K498">
        <v>313</v>
      </c>
      <c r="L498">
        <v>60</v>
      </c>
      <c r="M498">
        <v>29</v>
      </c>
      <c r="N498">
        <v>1995</v>
      </c>
      <c r="O498">
        <v>0.27</v>
      </c>
      <c r="P498">
        <v>2.4700000000000002</v>
      </c>
      <c r="Q498">
        <v>1.4999999999999999E-2</v>
      </c>
      <c r="R498">
        <v>65</v>
      </c>
      <c r="S498">
        <v>700</v>
      </c>
      <c r="T498">
        <v>475</v>
      </c>
      <c r="U498">
        <v>275</v>
      </c>
      <c r="V498">
        <v>370</v>
      </c>
      <c r="W498">
        <v>155</v>
      </c>
    </row>
    <row r="499" spans="1:23">
      <c r="A499">
        <v>358.90658030467802</v>
      </c>
      <c r="B499">
        <v>56.000000000000007</v>
      </c>
      <c r="C499">
        <v>4.4863322538084747</v>
      </c>
      <c r="D499">
        <v>384.98980999999998</v>
      </c>
      <c r="E499">
        <v>691.8257261410788</v>
      </c>
      <c r="F499">
        <v>159.47480999999999</v>
      </c>
      <c r="G499">
        <v>69.678399999999996</v>
      </c>
      <c r="H499">
        <v>7</v>
      </c>
      <c r="I499">
        <v>53</v>
      </c>
      <c r="J499">
        <v>5</v>
      </c>
      <c r="K499">
        <v>62</v>
      </c>
      <c r="L499">
        <v>60</v>
      </c>
      <c r="M499">
        <v>27</v>
      </c>
      <c r="N499">
        <v>1995</v>
      </c>
      <c r="O499">
        <v>0.27</v>
      </c>
      <c r="P499">
        <v>2.4700000000000002</v>
      </c>
      <c r="Q499">
        <v>1.4999999999999999E-2</v>
      </c>
      <c r="R499">
        <v>65</v>
      </c>
      <c r="S499">
        <v>700</v>
      </c>
      <c r="T499">
        <v>475</v>
      </c>
      <c r="U499">
        <v>275</v>
      </c>
      <c r="V499">
        <v>370</v>
      </c>
      <c r="W499">
        <v>155</v>
      </c>
    </row>
    <row r="500" spans="1:23">
      <c r="A500">
        <v>336.4207772238417</v>
      </c>
      <c r="B500">
        <v>52.500000000000007</v>
      </c>
      <c r="C500">
        <v>4.4856103629845556</v>
      </c>
      <c r="D500">
        <v>380.17944</v>
      </c>
      <c r="E500">
        <v>686.31274338065555</v>
      </c>
      <c r="F500">
        <v>190.08972</v>
      </c>
      <c r="G500">
        <v>65.21472</v>
      </c>
      <c r="H500">
        <v>22</v>
      </c>
      <c r="I500">
        <v>50</v>
      </c>
      <c r="J500">
        <v>3</v>
      </c>
      <c r="K500">
        <v>211</v>
      </c>
      <c r="L500">
        <v>63</v>
      </c>
      <c r="M500">
        <v>23</v>
      </c>
      <c r="N500">
        <v>1995</v>
      </c>
      <c r="O500">
        <v>0.27</v>
      </c>
      <c r="P500">
        <v>2.4700000000000002</v>
      </c>
      <c r="Q500">
        <v>1.4999999999999999E-2</v>
      </c>
      <c r="R500">
        <v>65</v>
      </c>
      <c r="S500">
        <v>700</v>
      </c>
      <c r="T500">
        <v>475</v>
      </c>
      <c r="U500">
        <v>275</v>
      </c>
      <c r="V500">
        <v>370</v>
      </c>
      <c r="W500">
        <v>155</v>
      </c>
    </row>
    <row r="501" spans="1:23">
      <c r="A501">
        <v>358.53024454210879</v>
      </c>
      <c r="B501">
        <v>56.000000000000007</v>
      </c>
      <c r="C501">
        <v>4.4816280567763602</v>
      </c>
      <c r="D501">
        <v>456.88992000000002</v>
      </c>
      <c r="E501">
        <v>689.91495347424586</v>
      </c>
      <c r="F501">
        <v>163.09871999999999</v>
      </c>
      <c r="G501">
        <v>69.569040000000001</v>
      </c>
      <c r="H501">
        <v>8</v>
      </c>
      <c r="I501">
        <v>56</v>
      </c>
      <c r="J501">
        <v>4</v>
      </c>
      <c r="K501">
        <v>305</v>
      </c>
      <c r="L501">
        <v>51</v>
      </c>
      <c r="M501">
        <v>3</v>
      </c>
      <c r="N501">
        <v>1995</v>
      </c>
      <c r="O501">
        <v>0.27</v>
      </c>
      <c r="P501">
        <v>2.4700000000000002</v>
      </c>
      <c r="Q501">
        <v>1.4999999999999999E-2</v>
      </c>
      <c r="R501">
        <v>65</v>
      </c>
      <c r="S501">
        <v>700</v>
      </c>
      <c r="T501">
        <v>475</v>
      </c>
      <c r="U501">
        <v>275</v>
      </c>
      <c r="V501">
        <v>370</v>
      </c>
      <c r="W501">
        <v>155</v>
      </c>
    </row>
    <row r="502" spans="1:23">
      <c r="A502">
        <v>358.07223019300989</v>
      </c>
      <c r="B502">
        <v>56.000000000000007</v>
      </c>
      <c r="C502">
        <v>4.4759028774126239</v>
      </c>
      <c r="D502">
        <v>408.74047999999999</v>
      </c>
      <c r="E502">
        <v>691.23651452282161</v>
      </c>
      <c r="F502">
        <v>159.41524000000001</v>
      </c>
      <c r="G502">
        <v>69.505240000000001</v>
      </c>
      <c r="H502">
        <v>9</v>
      </c>
      <c r="I502">
        <v>54</v>
      </c>
      <c r="J502">
        <v>3</v>
      </c>
      <c r="K502">
        <v>258</v>
      </c>
      <c r="L502">
        <v>58</v>
      </c>
      <c r="M502">
        <v>22</v>
      </c>
      <c r="N502">
        <v>1995</v>
      </c>
      <c r="O502">
        <v>0.27</v>
      </c>
      <c r="P502">
        <v>2.4700000000000002</v>
      </c>
      <c r="Q502">
        <v>1.4999999999999999E-2</v>
      </c>
      <c r="R502">
        <v>65</v>
      </c>
      <c r="S502">
        <v>700</v>
      </c>
      <c r="T502">
        <v>475</v>
      </c>
      <c r="U502">
        <v>275</v>
      </c>
      <c r="V502">
        <v>370</v>
      </c>
      <c r="W502">
        <v>155</v>
      </c>
    </row>
    <row r="503" spans="1:23">
      <c r="A503">
        <v>357.8890680802736</v>
      </c>
      <c r="B503">
        <v>56</v>
      </c>
      <c r="C503">
        <v>4.4736133510034204</v>
      </c>
      <c r="D503">
        <v>398.38092000000012</v>
      </c>
      <c r="E503">
        <v>691.63485477178415</v>
      </c>
      <c r="F503">
        <v>163.44972000000001</v>
      </c>
      <c r="G503">
        <v>69.477240000000009</v>
      </c>
      <c r="H503">
        <v>8</v>
      </c>
      <c r="I503">
        <v>56</v>
      </c>
      <c r="J503">
        <v>4</v>
      </c>
      <c r="K503">
        <v>48</v>
      </c>
      <c r="L503">
        <v>51</v>
      </c>
      <c r="M503">
        <v>7</v>
      </c>
      <c r="N503">
        <v>1995</v>
      </c>
      <c r="O503">
        <v>0.27</v>
      </c>
      <c r="P503">
        <v>2.4700000000000002</v>
      </c>
      <c r="Q503">
        <v>1.4999999999999999E-2</v>
      </c>
      <c r="R503">
        <v>65</v>
      </c>
      <c r="S503">
        <v>700</v>
      </c>
      <c r="T503">
        <v>475</v>
      </c>
      <c r="U503">
        <v>275</v>
      </c>
      <c r="V503">
        <v>370</v>
      </c>
      <c r="W503">
        <v>155</v>
      </c>
    </row>
    <row r="504" spans="1:23">
      <c r="A504">
        <v>357.72400369186067</v>
      </c>
      <c r="B504">
        <v>56</v>
      </c>
      <c r="C504">
        <v>4.4715500461482591</v>
      </c>
      <c r="D504">
        <v>384.1044</v>
      </c>
      <c r="E504">
        <v>690.27385892116195</v>
      </c>
      <c r="F504">
        <v>159.32939999999999</v>
      </c>
      <c r="G504">
        <v>69.419399999999996</v>
      </c>
      <c r="H504">
        <v>9</v>
      </c>
      <c r="I504">
        <v>54</v>
      </c>
      <c r="J504">
        <v>3</v>
      </c>
      <c r="K504">
        <v>206</v>
      </c>
      <c r="L504">
        <v>58</v>
      </c>
      <c r="M504">
        <v>24</v>
      </c>
      <c r="N504">
        <v>1995</v>
      </c>
      <c r="O504">
        <v>0.27</v>
      </c>
      <c r="P504">
        <v>2.4700000000000002</v>
      </c>
      <c r="Q504">
        <v>1.4999999999999999E-2</v>
      </c>
      <c r="R504">
        <v>65</v>
      </c>
      <c r="S504">
        <v>700</v>
      </c>
      <c r="T504">
        <v>475</v>
      </c>
      <c r="U504">
        <v>275</v>
      </c>
      <c r="V504">
        <v>370</v>
      </c>
      <c r="W504">
        <v>155</v>
      </c>
    </row>
    <row r="505" spans="1:23">
      <c r="A505">
        <v>357.66294858900801</v>
      </c>
      <c r="B505">
        <v>56.000000000000007</v>
      </c>
      <c r="C505">
        <v>4.4707868573625991</v>
      </c>
      <c r="D505">
        <v>413.62799999999999</v>
      </c>
      <c r="E505">
        <v>692.59296851483145</v>
      </c>
      <c r="F505">
        <v>161.0265</v>
      </c>
      <c r="G505">
        <v>69.451499999999996</v>
      </c>
      <c r="H505">
        <v>9</v>
      </c>
      <c r="I505">
        <v>55</v>
      </c>
      <c r="J505">
        <v>3</v>
      </c>
      <c r="K505">
        <v>303</v>
      </c>
      <c r="L505">
        <v>58</v>
      </c>
      <c r="M505">
        <v>16</v>
      </c>
      <c r="N505">
        <v>1995</v>
      </c>
      <c r="O505">
        <v>0.27</v>
      </c>
      <c r="P505">
        <v>2.4700000000000002</v>
      </c>
      <c r="Q505">
        <v>1.4999999999999999E-2</v>
      </c>
      <c r="R505">
        <v>65</v>
      </c>
      <c r="S505">
        <v>700</v>
      </c>
      <c r="T505">
        <v>475</v>
      </c>
      <c r="U505">
        <v>275</v>
      </c>
      <c r="V505">
        <v>370</v>
      </c>
      <c r="W505">
        <v>155</v>
      </c>
    </row>
    <row r="506" spans="1:23">
      <c r="A506">
        <v>357.30914422535562</v>
      </c>
      <c r="B506">
        <v>56.000000000000007</v>
      </c>
      <c r="C506">
        <v>4.4663643028169444</v>
      </c>
      <c r="D506">
        <v>404.30047999999999</v>
      </c>
      <c r="E506">
        <v>692.10290456431539</v>
      </c>
      <c r="F506">
        <v>157.75023999999999</v>
      </c>
      <c r="G506">
        <v>69.373519999999999</v>
      </c>
      <c r="H506">
        <v>6</v>
      </c>
      <c r="I506">
        <v>50</v>
      </c>
      <c r="J506">
        <v>6</v>
      </c>
      <c r="K506">
        <v>255</v>
      </c>
      <c r="L506">
        <v>59</v>
      </c>
      <c r="M506">
        <v>22</v>
      </c>
      <c r="N506">
        <v>1995</v>
      </c>
      <c r="O506">
        <v>0.27</v>
      </c>
      <c r="P506">
        <v>2.4700000000000002</v>
      </c>
      <c r="Q506">
        <v>1.4999999999999999E-2</v>
      </c>
      <c r="R506">
        <v>65</v>
      </c>
      <c r="S506">
        <v>700</v>
      </c>
      <c r="T506">
        <v>475</v>
      </c>
      <c r="U506">
        <v>275</v>
      </c>
      <c r="V506">
        <v>370</v>
      </c>
      <c r="W506">
        <v>155</v>
      </c>
    </row>
    <row r="507" spans="1:23">
      <c r="A507">
        <v>357.19186599825622</v>
      </c>
      <c r="B507">
        <v>56</v>
      </c>
      <c r="C507">
        <v>4.4648983249782024</v>
      </c>
      <c r="D507">
        <v>386.47827999999998</v>
      </c>
      <c r="E507">
        <v>690.53941908713705</v>
      </c>
      <c r="F507">
        <v>159.93747999999999</v>
      </c>
      <c r="G507">
        <v>69.321160000000006</v>
      </c>
      <c r="H507">
        <v>8</v>
      </c>
      <c r="I507">
        <v>54</v>
      </c>
      <c r="J507">
        <v>4</v>
      </c>
      <c r="K507">
        <v>269</v>
      </c>
      <c r="L507">
        <v>59</v>
      </c>
      <c r="M507">
        <v>22</v>
      </c>
      <c r="N507">
        <v>1995</v>
      </c>
      <c r="O507">
        <v>0.27</v>
      </c>
      <c r="P507">
        <v>2.4700000000000002</v>
      </c>
      <c r="Q507">
        <v>1.4999999999999999E-2</v>
      </c>
      <c r="R507">
        <v>65</v>
      </c>
      <c r="S507">
        <v>700</v>
      </c>
      <c r="T507">
        <v>475</v>
      </c>
      <c r="U507">
        <v>275</v>
      </c>
      <c r="V507">
        <v>370</v>
      </c>
      <c r="W507">
        <v>155</v>
      </c>
    </row>
    <row r="508" spans="1:23">
      <c r="A508">
        <v>357.14222473028229</v>
      </c>
      <c r="B508">
        <v>56</v>
      </c>
      <c r="C508">
        <v>4.4642778091285287</v>
      </c>
      <c r="D508">
        <v>410.37439999999998</v>
      </c>
      <c r="E508">
        <v>691.1563441090575</v>
      </c>
      <c r="F508">
        <v>159.89920000000001</v>
      </c>
      <c r="G508">
        <v>69.3232</v>
      </c>
      <c r="H508">
        <v>6</v>
      </c>
      <c r="I508">
        <v>51</v>
      </c>
      <c r="J508">
        <v>6</v>
      </c>
      <c r="K508">
        <v>212</v>
      </c>
      <c r="L508">
        <v>58</v>
      </c>
      <c r="M508">
        <v>16</v>
      </c>
      <c r="N508">
        <v>1995</v>
      </c>
      <c r="O508">
        <v>0.27</v>
      </c>
      <c r="P508">
        <v>2.4700000000000002</v>
      </c>
      <c r="Q508">
        <v>1.4999999999999999E-2</v>
      </c>
      <c r="R508">
        <v>65</v>
      </c>
      <c r="S508">
        <v>700</v>
      </c>
      <c r="T508">
        <v>475</v>
      </c>
      <c r="U508">
        <v>275</v>
      </c>
      <c r="V508">
        <v>370</v>
      </c>
      <c r="W508">
        <v>155</v>
      </c>
    </row>
    <row r="509" spans="1:23">
      <c r="A509">
        <v>357.0686454641305</v>
      </c>
      <c r="B509">
        <v>56.000000000000007</v>
      </c>
      <c r="C509">
        <v>4.4633580683016314</v>
      </c>
      <c r="D509">
        <v>403.40064000000001</v>
      </c>
      <c r="E509">
        <v>691.5983402489627</v>
      </c>
      <c r="F509">
        <v>157.30032</v>
      </c>
      <c r="G509">
        <v>69.317279999999997</v>
      </c>
      <c r="H509">
        <v>6</v>
      </c>
      <c r="I509">
        <v>50</v>
      </c>
      <c r="J509">
        <v>6</v>
      </c>
      <c r="K509">
        <v>253</v>
      </c>
      <c r="L509">
        <v>61</v>
      </c>
      <c r="M509">
        <v>23</v>
      </c>
      <c r="N509">
        <v>1995</v>
      </c>
      <c r="O509">
        <v>0.27</v>
      </c>
      <c r="P509">
        <v>2.4700000000000002</v>
      </c>
      <c r="Q509">
        <v>1.4999999999999999E-2</v>
      </c>
      <c r="R509">
        <v>65</v>
      </c>
      <c r="S509">
        <v>700</v>
      </c>
      <c r="T509">
        <v>475</v>
      </c>
      <c r="U509">
        <v>275</v>
      </c>
      <c r="V509">
        <v>370</v>
      </c>
      <c r="W509">
        <v>155</v>
      </c>
    </row>
    <row r="510" spans="1:23">
      <c r="A510">
        <v>356.96736300991688</v>
      </c>
      <c r="B510">
        <v>56.000000000000007</v>
      </c>
      <c r="C510">
        <v>4.4620920376239601</v>
      </c>
      <c r="D510">
        <v>404.98719999999997</v>
      </c>
      <c r="E510">
        <v>691.38589211618262</v>
      </c>
      <c r="F510">
        <v>158.09360000000001</v>
      </c>
      <c r="G510">
        <v>69.293600000000012</v>
      </c>
      <c r="H510">
        <v>6</v>
      </c>
      <c r="I510">
        <v>50</v>
      </c>
      <c r="J510">
        <v>6</v>
      </c>
      <c r="K510">
        <v>250</v>
      </c>
      <c r="L510">
        <v>58</v>
      </c>
      <c r="M510">
        <v>29</v>
      </c>
      <c r="N510">
        <v>1995</v>
      </c>
      <c r="O510">
        <v>0.27</v>
      </c>
      <c r="P510">
        <v>2.4700000000000002</v>
      </c>
      <c r="Q510">
        <v>1.4999999999999999E-2</v>
      </c>
      <c r="R510">
        <v>65</v>
      </c>
      <c r="S510">
        <v>700</v>
      </c>
      <c r="T510">
        <v>475</v>
      </c>
      <c r="U510">
        <v>275</v>
      </c>
      <c r="V510">
        <v>370</v>
      </c>
      <c r="W510">
        <v>155</v>
      </c>
    </row>
    <row r="511" spans="1:23">
      <c r="A511">
        <v>356.96736300991688</v>
      </c>
      <c r="B511">
        <v>56.000000000000007</v>
      </c>
      <c r="C511">
        <v>4.4620920376239601</v>
      </c>
      <c r="D511">
        <v>404.98719999999997</v>
      </c>
      <c r="E511">
        <v>691.38589211618262</v>
      </c>
      <c r="F511">
        <v>158.09360000000001</v>
      </c>
      <c r="G511">
        <v>69.293600000000012</v>
      </c>
      <c r="H511">
        <v>6</v>
      </c>
      <c r="I511">
        <v>50</v>
      </c>
      <c r="J511">
        <v>6</v>
      </c>
      <c r="K511">
        <v>251</v>
      </c>
      <c r="L511">
        <v>58</v>
      </c>
      <c r="M511">
        <v>29</v>
      </c>
      <c r="N511">
        <v>1995</v>
      </c>
      <c r="O511">
        <v>0.27</v>
      </c>
      <c r="P511">
        <v>2.4700000000000002</v>
      </c>
      <c r="Q511">
        <v>1.4999999999999999E-2</v>
      </c>
      <c r="R511">
        <v>65</v>
      </c>
      <c r="S511">
        <v>700</v>
      </c>
      <c r="T511">
        <v>475</v>
      </c>
      <c r="U511">
        <v>275</v>
      </c>
      <c r="V511">
        <v>370</v>
      </c>
      <c r="W511">
        <v>155</v>
      </c>
    </row>
    <row r="512" spans="1:23">
      <c r="A512">
        <v>356.86954393163131</v>
      </c>
      <c r="B512">
        <v>56.000000000000007</v>
      </c>
      <c r="C512">
        <v>4.4608692991453909</v>
      </c>
      <c r="D512">
        <v>408.75824</v>
      </c>
      <c r="E512">
        <v>692.85975103734427</v>
      </c>
      <c r="F512">
        <v>159.09111999999999</v>
      </c>
      <c r="G512">
        <v>69.302480000000003</v>
      </c>
      <c r="H512">
        <v>6</v>
      </c>
      <c r="I512">
        <v>51</v>
      </c>
      <c r="J512">
        <v>6</v>
      </c>
      <c r="K512">
        <v>244</v>
      </c>
      <c r="L512">
        <v>61</v>
      </c>
      <c r="M512">
        <v>19</v>
      </c>
      <c r="N512">
        <v>1995</v>
      </c>
      <c r="O512">
        <v>0.27</v>
      </c>
      <c r="P512">
        <v>2.4700000000000002</v>
      </c>
      <c r="Q512">
        <v>1.4999999999999999E-2</v>
      </c>
      <c r="R512">
        <v>65</v>
      </c>
      <c r="S512">
        <v>700</v>
      </c>
      <c r="T512">
        <v>475</v>
      </c>
      <c r="U512">
        <v>275</v>
      </c>
      <c r="V512">
        <v>370</v>
      </c>
      <c r="W512">
        <v>155</v>
      </c>
    </row>
    <row r="513" spans="1:23">
      <c r="A513">
        <v>356.86321557954369</v>
      </c>
      <c r="B513">
        <v>56</v>
      </c>
      <c r="C513">
        <v>4.4607901947442956</v>
      </c>
      <c r="D513">
        <v>385.50299999999999</v>
      </c>
      <c r="E513">
        <v>692.84647302904568</v>
      </c>
      <c r="F513">
        <v>159.06299999999999</v>
      </c>
      <c r="G513">
        <v>69.301000000000002</v>
      </c>
      <c r="H513">
        <v>6</v>
      </c>
      <c r="I513">
        <v>51</v>
      </c>
      <c r="J513">
        <v>6</v>
      </c>
      <c r="K513">
        <v>63</v>
      </c>
      <c r="L513">
        <v>59</v>
      </c>
      <c r="M513">
        <v>11</v>
      </c>
      <c r="N513">
        <v>1995</v>
      </c>
      <c r="O513">
        <v>0.27</v>
      </c>
      <c r="P513">
        <v>2.4700000000000002</v>
      </c>
      <c r="Q513">
        <v>1.4999999999999999E-2</v>
      </c>
      <c r="R513">
        <v>65</v>
      </c>
      <c r="S513">
        <v>700</v>
      </c>
      <c r="T513">
        <v>475</v>
      </c>
      <c r="U513">
        <v>275</v>
      </c>
      <c r="V513">
        <v>370</v>
      </c>
      <c r="W513">
        <v>155</v>
      </c>
    </row>
    <row r="514" spans="1:23">
      <c r="A514">
        <v>356.86321557954369</v>
      </c>
      <c r="B514">
        <v>56</v>
      </c>
      <c r="C514">
        <v>4.4607901947442956</v>
      </c>
      <c r="D514">
        <v>408.702</v>
      </c>
      <c r="E514">
        <v>692.84647302904568</v>
      </c>
      <c r="F514">
        <v>159.06299999999999</v>
      </c>
      <c r="G514">
        <v>69.301000000000002</v>
      </c>
      <c r="H514">
        <v>6</v>
      </c>
      <c r="I514">
        <v>51</v>
      </c>
      <c r="J514">
        <v>6</v>
      </c>
      <c r="K514">
        <v>259</v>
      </c>
      <c r="L514">
        <v>59</v>
      </c>
      <c r="M514">
        <v>11</v>
      </c>
      <c r="N514">
        <v>1995</v>
      </c>
      <c r="O514">
        <v>0.27</v>
      </c>
      <c r="P514">
        <v>2.4700000000000002</v>
      </c>
      <c r="Q514">
        <v>1.4999999999999999E-2</v>
      </c>
      <c r="R514">
        <v>65</v>
      </c>
      <c r="S514">
        <v>700</v>
      </c>
      <c r="T514">
        <v>475</v>
      </c>
      <c r="U514">
        <v>275</v>
      </c>
      <c r="V514">
        <v>370</v>
      </c>
      <c r="W514">
        <v>155</v>
      </c>
    </row>
    <row r="515" spans="1:23">
      <c r="A515">
        <v>356.86321557954369</v>
      </c>
      <c r="B515">
        <v>56</v>
      </c>
      <c r="C515">
        <v>4.4607901947442956</v>
      </c>
      <c r="D515">
        <v>386.31700000000001</v>
      </c>
      <c r="E515">
        <v>692.84647302904568</v>
      </c>
      <c r="F515">
        <v>159.87700000000001</v>
      </c>
      <c r="G515">
        <v>69.301000000000002</v>
      </c>
      <c r="H515">
        <v>6</v>
      </c>
      <c r="I515">
        <v>51</v>
      </c>
      <c r="J515">
        <v>6</v>
      </c>
      <c r="K515">
        <v>265</v>
      </c>
      <c r="L515">
        <v>59</v>
      </c>
      <c r="M515">
        <v>22</v>
      </c>
      <c r="N515">
        <v>1995</v>
      </c>
      <c r="O515">
        <v>0.27</v>
      </c>
      <c r="P515">
        <v>2.4700000000000002</v>
      </c>
      <c r="Q515">
        <v>1.4999999999999999E-2</v>
      </c>
      <c r="R515">
        <v>65</v>
      </c>
      <c r="S515">
        <v>700</v>
      </c>
      <c r="T515">
        <v>475</v>
      </c>
      <c r="U515">
        <v>275</v>
      </c>
      <c r="V515">
        <v>370</v>
      </c>
      <c r="W515">
        <v>155</v>
      </c>
    </row>
    <row r="516" spans="1:23">
      <c r="A516">
        <v>356.70499187396541</v>
      </c>
      <c r="B516">
        <v>56.000000000000007</v>
      </c>
      <c r="C516">
        <v>4.4588123984245671</v>
      </c>
      <c r="D516">
        <v>386.28</v>
      </c>
      <c r="E516">
        <v>692.51452282157675</v>
      </c>
      <c r="F516">
        <v>159.84</v>
      </c>
      <c r="G516">
        <v>69.263999999999996</v>
      </c>
      <c r="H516">
        <v>6</v>
      </c>
      <c r="I516">
        <v>51</v>
      </c>
      <c r="J516">
        <v>6</v>
      </c>
      <c r="K516">
        <v>264</v>
      </c>
      <c r="L516">
        <v>60</v>
      </c>
      <c r="M516">
        <v>24</v>
      </c>
      <c r="N516">
        <v>1995</v>
      </c>
      <c r="O516">
        <v>0.27</v>
      </c>
      <c r="P516">
        <v>2.4700000000000002</v>
      </c>
      <c r="Q516">
        <v>1.4999999999999999E-2</v>
      </c>
      <c r="R516">
        <v>65</v>
      </c>
      <c r="S516">
        <v>700</v>
      </c>
      <c r="T516">
        <v>475</v>
      </c>
      <c r="U516">
        <v>275</v>
      </c>
      <c r="V516">
        <v>370</v>
      </c>
      <c r="W516">
        <v>155</v>
      </c>
    </row>
    <row r="517" spans="1:23">
      <c r="A517">
        <v>356.68916792692488</v>
      </c>
      <c r="B517">
        <v>56</v>
      </c>
      <c r="C517">
        <v>4.4586145990865624</v>
      </c>
      <c r="D517">
        <v>408.702</v>
      </c>
      <c r="E517">
        <v>692.48132780082983</v>
      </c>
      <c r="F517">
        <v>159.06299999999999</v>
      </c>
      <c r="G517">
        <v>69.260300000000001</v>
      </c>
      <c r="H517">
        <v>6</v>
      </c>
      <c r="I517">
        <v>51</v>
      </c>
      <c r="J517">
        <v>6</v>
      </c>
      <c r="K517">
        <v>248</v>
      </c>
      <c r="L517">
        <v>62</v>
      </c>
      <c r="M517">
        <v>19</v>
      </c>
      <c r="N517">
        <v>1995</v>
      </c>
      <c r="O517">
        <v>0.27</v>
      </c>
      <c r="P517">
        <v>2.4700000000000002</v>
      </c>
      <c r="Q517">
        <v>1.4999999999999999E-2</v>
      </c>
      <c r="R517">
        <v>65</v>
      </c>
      <c r="S517">
        <v>700</v>
      </c>
      <c r="T517">
        <v>475</v>
      </c>
      <c r="U517">
        <v>275</v>
      </c>
      <c r="V517">
        <v>370</v>
      </c>
      <c r="W517">
        <v>155</v>
      </c>
    </row>
    <row r="518" spans="1:23">
      <c r="A518">
        <v>356.37356776031402</v>
      </c>
      <c r="B518">
        <v>56</v>
      </c>
      <c r="C518">
        <v>4.4546695970039254</v>
      </c>
      <c r="D518">
        <v>403.09872000000001</v>
      </c>
      <c r="E518">
        <v>691.21991701244815</v>
      </c>
      <c r="F518">
        <v>157.14936</v>
      </c>
      <c r="G518">
        <v>69.175200000000004</v>
      </c>
      <c r="H518">
        <v>6</v>
      </c>
      <c r="I518">
        <v>50</v>
      </c>
      <c r="J518">
        <v>6</v>
      </c>
      <c r="K518">
        <v>246</v>
      </c>
      <c r="L518">
        <v>60</v>
      </c>
      <c r="M518">
        <v>18</v>
      </c>
      <c r="N518">
        <v>1995</v>
      </c>
      <c r="O518">
        <v>0.27</v>
      </c>
      <c r="P518">
        <v>2.4700000000000002</v>
      </c>
      <c r="Q518">
        <v>1.4999999999999999E-2</v>
      </c>
      <c r="R518">
        <v>65</v>
      </c>
      <c r="S518">
        <v>700</v>
      </c>
      <c r="T518">
        <v>475</v>
      </c>
      <c r="U518">
        <v>275</v>
      </c>
      <c r="V518">
        <v>370</v>
      </c>
      <c r="W518">
        <v>155</v>
      </c>
    </row>
    <row r="519" spans="1:23">
      <c r="A519">
        <v>357.36003152044373</v>
      </c>
      <c r="B519">
        <v>56.190909090909088</v>
      </c>
      <c r="C519">
        <v>4.4518237222252326</v>
      </c>
      <c r="D519">
        <v>409.10300000000012</v>
      </c>
      <c r="E519">
        <v>690.45643153526976</v>
      </c>
      <c r="F519">
        <v>159.4485</v>
      </c>
      <c r="G519">
        <v>69.352225000000004</v>
      </c>
      <c r="H519">
        <v>7</v>
      </c>
      <c r="I519">
        <v>53</v>
      </c>
      <c r="J519">
        <v>5</v>
      </c>
      <c r="K519">
        <v>113</v>
      </c>
      <c r="L519">
        <v>57</v>
      </c>
      <c r="M519">
        <v>25</v>
      </c>
      <c r="N519">
        <v>1995</v>
      </c>
      <c r="O519">
        <v>0.27</v>
      </c>
      <c r="P519">
        <v>2.4700000000000002</v>
      </c>
      <c r="Q519">
        <v>1.4999999999999999E-2</v>
      </c>
      <c r="R519">
        <v>65</v>
      </c>
      <c r="S519">
        <v>700</v>
      </c>
      <c r="T519">
        <v>475</v>
      </c>
      <c r="U519">
        <v>275</v>
      </c>
      <c r="V519">
        <v>370</v>
      </c>
      <c r="W519">
        <v>155</v>
      </c>
    </row>
    <row r="520" spans="1:23">
      <c r="A520">
        <v>356.09489825040339</v>
      </c>
      <c r="B520">
        <v>56</v>
      </c>
      <c r="C520">
        <v>4.4511862281300436</v>
      </c>
      <c r="D520">
        <v>404.57945999999998</v>
      </c>
      <c r="E520">
        <v>689.55684647302905</v>
      </c>
      <c r="F520">
        <v>157.88972999999999</v>
      </c>
      <c r="G520">
        <v>69.089730000000003</v>
      </c>
      <c r="H520">
        <v>6</v>
      </c>
      <c r="I520">
        <v>50</v>
      </c>
      <c r="J520">
        <v>6</v>
      </c>
      <c r="K520">
        <v>247</v>
      </c>
      <c r="L520">
        <v>59</v>
      </c>
      <c r="M520">
        <v>29</v>
      </c>
      <c r="N520">
        <v>1995</v>
      </c>
      <c r="O520">
        <v>0.27</v>
      </c>
      <c r="P520">
        <v>2.4700000000000002</v>
      </c>
      <c r="Q520">
        <v>1.4999999999999999E-2</v>
      </c>
      <c r="R520">
        <v>65</v>
      </c>
      <c r="S520">
        <v>700</v>
      </c>
      <c r="T520">
        <v>475</v>
      </c>
      <c r="U520">
        <v>275</v>
      </c>
      <c r="V520">
        <v>370</v>
      </c>
      <c r="W520">
        <v>155</v>
      </c>
    </row>
    <row r="521" spans="1:23">
      <c r="A521">
        <v>355.72127845702943</v>
      </c>
      <c r="B521">
        <v>56</v>
      </c>
      <c r="C521">
        <v>4.4465159807128671</v>
      </c>
      <c r="D521">
        <v>377.86619999999999</v>
      </c>
      <c r="E521">
        <v>689.10373443983417</v>
      </c>
      <c r="F521">
        <v>157.25370000000001</v>
      </c>
      <c r="G521">
        <v>69.00869999999999</v>
      </c>
      <c r="H521">
        <v>9</v>
      </c>
      <c r="I521">
        <v>53</v>
      </c>
      <c r="J521">
        <v>3</v>
      </c>
      <c r="K521">
        <v>204</v>
      </c>
      <c r="L521">
        <v>59</v>
      </c>
      <c r="M521">
        <v>30</v>
      </c>
      <c r="N521">
        <v>1995</v>
      </c>
      <c r="O521">
        <v>0.27</v>
      </c>
      <c r="P521">
        <v>2.4700000000000002</v>
      </c>
      <c r="Q521">
        <v>1.4999999999999999E-2</v>
      </c>
      <c r="R521">
        <v>65</v>
      </c>
      <c r="S521">
        <v>700</v>
      </c>
      <c r="T521">
        <v>475</v>
      </c>
      <c r="U521">
        <v>275</v>
      </c>
      <c r="V521">
        <v>370</v>
      </c>
      <c r="W521">
        <v>155</v>
      </c>
    </row>
    <row r="522" spans="1:23">
      <c r="A522">
        <v>355.72127845702943</v>
      </c>
      <c r="B522">
        <v>56</v>
      </c>
      <c r="C522">
        <v>4.4465159807128671</v>
      </c>
      <c r="D522">
        <v>377.86619999999999</v>
      </c>
      <c r="E522">
        <v>689.10373443983417</v>
      </c>
      <c r="F522">
        <v>157.25370000000001</v>
      </c>
      <c r="G522">
        <v>69.00869999999999</v>
      </c>
      <c r="H522">
        <v>9</v>
      </c>
      <c r="I522">
        <v>53</v>
      </c>
      <c r="J522">
        <v>3</v>
      </c>
      <c r="K522">
        <v>207</v>
      </c>
      <c r="L522">
        <v>59</v>
      </c>
      <c r="M522">
        <v>30</v>
      </c>
      <c r="N522">
        <v>1995</v>
      </c>
      <c r="O522">
        <v>0.27</v>
      </c>
      <c r="P522">
        <v>2.4700000000000002</v>
      </c>
      <c r="Q522">
        <v>1.4999999999999999E-2</v>
      </c>
      <c r="R522">
        <v>65</v>
      </c>
      <c r="S522">
        <v>700</v>
      </c>
      <c r="T522">
        <v>475</v>
      </c>
      <c r="U522">
        <v>275</v>
      </c>
      <c r="V522">
        <v>370</v>
      </c>
      <c r="W522">
        <v>155</v>
      </c>
    </row>
    <row r="523" spans="1:23">
      <c r="A523">
        <v>355.6132532048606</v>
      </c>
      <c r="B523">
        <v>56</v>
      </c>
      <c r="C523">
        <v>4.4451656650607578</v>
      </c>
      <c r="D523">
        <v>412.94664000000012</v>
      </c>
      <c r="E523">
        <v>691.39419087136923</v>
      </c>
      <c r="F523">
        <v>160.51931999999999</v>
      </c>
      <c r="G523">
        <v>69.030900000000003</v>
      </c>
      <c r="H523">
        <v>7</v>
      </c>
      <c r="I523">
        <v>54</v>
      </c>
      <c r="J523">
        <v>5</v>
      </c>
      <c r="K523">
        <v>278</v>
      </c>
      <c r="L523">
        <v>55</v>
      </c>
      <c r="M523">
        <v>9</v>
      </c>
      <c r="N523">
        <v>1995</v>
      </c>
      <c r="O523">
        <v>0.27</v>
      </c>
      <c r="P523">
        <v>2.4700000000000002</v>
      </c>
      <c r="Q523">
        <v>1.4999999999999999E-2</v>
      </c>
      <c r="R523">
        <v>65</v>
      </c>
      <c r="S523">
        <v>700</v>
      </c>
      <c r="T523">
        <v>475</v>
      </c>
      <c r="U523">
        <v>275</v>
      </c>
      <c r="V523">
        <v>370</v>
      </c>
      <c r="W523">
        <v>155</v>
      </c>
    </row>
    <row r="524" spans="1:23">
      <c r="A524">
        <v>355.58619321242469</v>
      </c>
      <c r="B524">
        <v>56</v>
      </c>
      <c r="C524">
        <v>4.4448274151553084</v>
      </c>
      <c r="D524">
        <v>379.82423999999997</v>
      </c>
      <c r="E524">
        <v>691.3195020746889</v>
      </c>
      <c r="F524">
        <v>157.82424</v>
      </c>
      <c r="G524">
        <v>69.024239999999992</v>
      </c>
      <c r="H524">
        <v>6</v>
      </c>
      <c r="I524">
        <v>50</v>
      </c>
      <c r="J524">
        <v>6</v>
      </c>
      <c r="K524">
        <v>268</v>
      </c>
      <c r="L524">
        <v>59</v>
      </c>
      <c r="M524">
        <v>24</v>
      </c>
      <c r="N524">
        <v>1995</v>
      </c>
      <c r="O524">
        <v>0.27</v>
      </c>
      <c r="P524">
        <v>2.4700000000000002</v>
      </c>
      <c r="Q524">
        <v>1.4999999999999999E-2</v>
      </c>
      <c r="R524">
        <v>65</v>
      </c>
      <c r="S524">
        <v>700</v>
      </c>
      <c r="T524">
        <v>475</v>
      </c>
      <c r="U524">
        <v>275</v>
      </c>
      <c r="V524">
        <v>370</v>
      </c>
      <c r="W524">
        <v>155</v>
      </c>
    </row>
    <row r="525" spans="1:23">
      <c r="A525">
        <v>355.22095008135068</v>
      </c>
      <c r="B525">
        <v>56</v>
      </c>
      <c r="C525">
        <v>4.4402618760168844</v>
      </c>
      <c r="D525">
        <v>422.64</v>
      </c>
      <c r="E525">
        <v>692.52340527341062</v>
      </c>
      <c r="F525">
        <v>162.21600000000001</v>
      </c>
      <c r="G525">
        <v>68.975999999999999</v>
      </c>
      <c r="H525">
        <v>9</v>
      </c>
      <c r="I525">
        <v>56</v>
      </c>
      <c r="J525">
        <v>3</v>
      </c>
      <c r="K525">
        <v>304</v>
      </c>
      <c r="L525">
        <v>46</v>
      </c>
      <c r="M525">
        <v>3</v>
      </c>
      <c r="N525">
        <v>1995</v>
      </c>
      <c r="O525">
        <v>0.27</v>
      </c>
      <c r="P525">
        <v>2.4700000000000002</v>
      </c>
      <c r="Q525">
        <v>1.4999999999999999E-2</v>
      </c>
      <c r="R525">
        <v>65</v>
      </c>
      <c r="S525">
        <v>700</v>
      </c>
      <c r="T525">
        <v>475</v>
      </c>
      <c r="U525">
        <v>275</v>
      </c>
      <c r="V525">
        <v>370</v>
      </c>
      <c r="W525">
        <v>155</v>
      </c>
    </row>
    <row r="526" spans="1:23">
      <c r="A526">
        <v>354.92261543307291</v>
      </c>
      <c r="B526">
        <v>56</v>
      </c>
      <c r="C526">
        <v>4.4365326929134117</v>
      </c>
      <c r="D526">
        <v>436.36320000000001</v>
      </c>
      <c r="E526">
        <v>690.45643153526964</v>
      </c>
      <c r="F526">
        <v>160.84639999999999</v>
      </c>
      <c r="G526">
        <v>68.879199999999997</v>
      </c>
      <c r="H526">
        <v>6</v>
      </c>
      <c r="I526">
        <v>52</v>
      </c>
      <c r="J526">
        <v>6</v>
      </c>
      <c r="K526">
        <v>101</v>
      </c>
      <c r="L526">
        <v>59</v>
      </c>
      <c r="M526">
        <v>8</v>
      </c>
      <c r="N526">
        <v>1995</v>
      </c>
      <c r="O526">
        <v>0.27</v>
      </c>
      <c r="P526">
        <v>2.4700000000000002</v>
      </c>
      <c r="Q526">
        <v>1.4999999999999999E-2</v>
      </c>
      <c r="R526">
        <v>65</v>
      </c>
      <c r="S526">
        <v>700</v>
      </c>
      <c r="T526">
        <v>475</v>
      </c>
      <c r="U526">
        <v>275</v>
      </c>
      <c r="V526">
        <v>370</v>
      </c>
      <c r="W526">
        <v>155</v>
      </c>
    </row>
    <row r="527" spans="1:23">
      <c r="A527">
        <v>362.69803929337928</v>
      </c>
      <c r="B527">
        <v>57.358208955223901</v>
      </c>
      <c r="C527">
        <v>4.4263695141450654</v>
      </c>
      <c r="D527">
        <v>993.04175999999995</v>
      </c>
      <c r="E527">
        <v>681.65077622032686</v>
      </c>
      <c r="F527">
        <v>161.8177896</v>
      </c>
      <c r="G527">
        <v>70.218942000000013</v>
      </c>
      <c r="H527">
        <v>2</v>
      </c>
      <c r="I527">
        <v>52</v>
      </c>
      <c r="J527">
        <v>8</v>
      </c>
      <c r="K527">
        <v>316</v>
      </c>
      <c r="L527">
        <v>57</v>
      </c>
      <c r="M527">
        <v>28</v>
      </c>
      <c r="N527">
        <v>1995</v>
      </c>
      <c r="O527">
        <v>0.27</v>
      </c>
      <c r="P527">
        <v>2.4700000000000002</v>
      </c>
      <c r="Q527">
        <v>1.4999999999999999E-2</v>
      </c>
      <c r="R527">
        <v>65</v>
      </c>
      <c r="S527">
        <v>700</v>
      </c>
      <c r="T527">
        <v>475</v>
      </c>
      <c r="U527">
        <v>275</v>
      </c>
      <c r="V527">
        <v>370</v>
      </c>
      <c r="W527">
        <v>155</v>
      </c>
    </row>
    <row r="528" spans="1:23">
      <c r="A528">
        <v>353.65378217479838</v>
      </c>
      <c r="B528">
        <v>56.000000000000007</v>
      </c>
      <c r="C528">
        <v>4.4206722771849796</v>
      </c>
      <c r="D528">
        <v>414.34679999999997</v>
      </c>
      <c r="E528">
        <v>691.1203319502074</v>
      </c>
      <c r="F528">
        <v>160.9974</v>
      </c>
      <c r="G528">
        <v>68.645399999999995</v>
      </c>
      <c r="H528">
        <v>6</v>
      </c>
      <c r="I528">
        <v>52</v>
      </c>
      <c r="J528">
        <v>6</v>
      </c>
      <c r="K528">
        <v>58</v>
      </c>
      <c r="L528">
        <v>57</v>
      </c>
      <c r="M528">
        <v>9</v>
      </c>
      <c r="N528">
        <v>1995</v>
      </c>
      <c r="O528">
        <v>0.27</v>
      </c>
      <c r="P528">
        <v>2.4700000000000002</v>
      </c>
      <c r="Q528">
        <v>1.4999999999999999E-2</v>
      </c>
      <c r="R528">
        <v>65</v>
      </c>
      <c r="S528">
        <v>700</v>
      </c>
      <c r="T528">
        <v>475</v>
      </c>
      <c r="U528">
        <v>275</v>
      </c>
      <c r="V528">
        <v>370</v>
      </c>
      <c r="W528">
        <v>155</v>
      </c>
    </row>
    <row r="529" spans="1:23">
      <c r="A529">
        <v>353.58066091568691</v>
      </c>
      <c r="B529">
        <v>56.000000000000007</v>
      </c>
      <c r="C529">
        <v>4.419758261446086</v>
      </c>
      <c r="D529">
        <v>402.76720000000012</v>
      </c>
      <c r="E529">
        <v>690.92780082987554</v>
      </c>
      <c r="F529">
        <v>157.13159999999999</v>
      </c>
      <c r="G529">
        <v>68.627600000000001</v>
      </c>
      <c r="H529">
        <v>7</v>
      </c>
      <c r="I529">
        <v>52</v>
      </c>
      <c r="J529">
        <v>5</v>
      </c>
      <c r="K529">
        <v>249</v>
      </c>
      <c r="L529">
        <v>61</v>
      </c>
      <c r="M529">
        <v>27</v>
      </c>
      <c r="N529">
        <v>1995</v>
      </c>
      <c r="O529">
        <v>0.27</v>
      </c>
      <c r="P529">
        <v>2.4700000000000002</v>
      </c>
      <c r="Q529">
        <v>1.4999999999999999E-2</v>
      </c>
      <c r="R529">
        <v>65</v>
      </c>
      <c r="S529">
        <v>700</v>
      </c>
      <c r="T529">
        <v>475</v>
      </c>
      <c r="U529">
        <v>275</v>
      </c>
      <c r="V529">
        <v>370</v>
      </c>
      <c r="W529">
        <v>155</v>
      </c>
    </row>
    <row r="530" spans="1:23">
      <c r="A530">
        <v>352.5661305364178</v>
      </c>
      <c r="B530">
        <v>56.000000000000007</v>
      </c>
      <c r="C530">
        <v>4.4070766317052206</v>
      </c>
      <c r="D530">
        <v>397.17131999999998</v>
      </c>
      <c r="E530">
        <v>688.35684647302912</v>
      </c>
      <c r="F530">
        <v>155.18466000000001</v>
      </c>
      <c r="G530">
        <v>68.382660000000001</v>
      </c>
      <c r="H530">
        <v>7</v>
      </c>
      <c r="I530">
        <v>51</v>
      </c>
      <c r="J530">
        <v>5</v>
      </c>
      <c r="K530">
        <v>60</v>
      </c>
      <c r="L530">
        <v>62</v>
      </c>
      <c r="M530">
        <v>33</v>
      </c>
      <c r="N530">
        <v>1995</v>
      </c>
      <c r="O530">
        <v>0.27</v>
      </c>
      <c r="P530">
        <v>2.4700000000000002</v>
      </c>
      <c r="Q530">
        <v>1.4999999999999999E-2</v>
      </c>
      <c r="R530">
        <v>65</v>
      </c>
      <c r="S530">
        <v>700</v>
      </c>
      <c r="T530">
        <v>475</v>
      </c>
      <c r="U530">
        <v>275</v>
      </c>
      <c r="V530">
        <v>370</v>
      </c>
      <c r="W530">
        <v>155</v>
      </c>
    </row>
    <row r="531" spans="1:23">
      <c r="A531">
        <v>352.42438057568461</v>
      </c>
      <c r="B531">
        <v>56</v>
      </c>
      <c r="C531">
        <v>4.405304757196058</v>
      </c>
      <c r="D531">
        <v>401.53600000000012</v>
      </c>
      <c r="E531">
        <v>691.1862576000832</v>
      </c>
      <c r="F531">
        <v>156.51599999999999</v>
      </c>
      <c r="G531">
        <v>68.408000000000001</v>
      </c>
      <c r="H531">
        <v>7</v>
      </c>
      <c r="I531">
        <v>52</v>
      </c>
      <c r="J531">
        <v>5</v>
      </c>
      <c r="K531">
        <v>42</v>
      </c>
      <c r="L531">
        <v>61</v>
      </c>
      <c r="M531">
        <v>22</v>
      </c>
      <c r="N531">
        <v>1995</v>
      </c>
      <c r="O531">
        <v>0.27</v>
      </c>
      <c r="P531">
        <v>2.4700000000000002</v>
      </c>
      <c r="Q531">
        <v>1.4999999999999999E-2</v>
      </c>
      <c r="R531">
        <v>65</v>
      </c>
      <c r="S531">
        <v>700</v>
      </c>
      <c r="T531">
        <v>475</v>
      </c>
      <c r="U531">
        <v>275</v>
      </c>
      <c r="V531">
        <v>370</v>
      </c>
      <c r="W531">
        <v>155</v>
      </c>
    </row>
    <row r="532" spans="1:23">
      <c r="A532">
        <v>352.13185095250441</v>
      </c>
      <c r="B532">
        <v>56</v>
      </c>
      <c r="C532">
        <v>4.4016481369063047</v>
      </c>
      <c r="D532">
        <v>422.15519999999998</v>
      </c>
      <c r="E532">
        <v>692.51452282157675</v>
      </c>
      <c r="F532">
        <v>155.51840000000001</v>
      </c>
      <c r="G532">
        <v>68.376000000000005</v>
      </c>
      <c r="H532">
        <v>6</v>
      </c>
      <c r="I532">
        <v>51</v>
      </c>
      <c r="J532">
        <v>6</v>
      </c>
      <c r="K532">
        <v>70</v>
      </c>
      <c r="L532">
        <v>60</v>
      </c>
      <c r="M532">
        <v>8</v>
      </c>
      <c r="N532">
        <v>1995</v>
      </c>
      <c r="O532">
        <v>0.27</v>
      </c>
      <c r="P532">
        <v>2.4700000000000002</v>
      </c>
      <c r="Q532">
        <v>1.4999999999999999E-2</v>
      </c>
      <c r="R532">
        <v>65</v>
      </c>
      <c r="S532">
        <v>700</v>
      </c>
      <c r="T532">
        <v>475</v>
      </c>
      <c r="U532">
        <v>275</v>
      </c>
      <c r="V532">
        <v>370</v>
      </c>
      <c r="W532">
        <v>155</v>
      </c>
    </row>
    <row r="533" spans="1:23">
      <c r="A533">
        <v>364.98718077968778</v>
      </c>
      <c r="B533">
        <v>58.074074074074083</v>
      </c>
      <c r="C533">
        <v>4.3993990540408801</v>
      </c>
      <c r="D533">
        <v>387.16703999999999</v>
      </c>
      <c r="E533">
        <v>688.8424397493568</v>
      </c>
      <c r="F533">
        <v>161.13167999999999</v>
      </c>
      <c r="G533">
        <v>70.801200000000009</v>
      </c>
      <c r="H533">
        <v>7</v>
      </c>
      <c r="I533">
        <v>54</v>
      </c>
      <c r="J533">
        <v>5</v>
      </c>
      <c r="K533">
        <v>154</v>
      </c>
      <c r="L533">
        <v>58</v>
      </c>
      <c r="M533">
        <v>28</v>
      </c>
      <c r="N533">
        <v>1995</v>
      </c>
      <c r="O533">
        <v>0.27</v>
      </c>
      <c r="P533">
        <v>2.4700000000000002</v>
      </c>
      <c r="Q533">
        <v>1.4999999999999999E-2</v>
      </c>
      <c r="R533">
        <v>65</v>
      </c>
      <c r="S533">
        <v>700</v>
      </c>
      <c r="T533">
        <v>475</v>
      </c>
      <c r="U533">
        <v>275</v>
      </c>
      <c r="V533">
        <v>370</v>
      </c>
      <c r="W533">
        <v>155</v>
      </c>
    </row>
    <row r="534" spans="1:23">
      <c r="A534">
        <v>351.44263966452212</v>
      </c>
      <c r="B534">
        <v>56.000000000000007</v>
      </c>
      <c r="C534">
        <v>4.393032995806526</v>
      </c>
      <c r="D534">
        <v>930.90631999999994</v>
      </c>
      <c r="E534">
        <v>682.45643153526976</v>
      </c>
      <c r="F534">
        <v>155.43016</v>
      </c>
      <c r="G534">
        <v>68.054880000000011</v>
      </c>
      <c r="H534">
        <v>2</v>
      </c>
      <c r="I534">
        <v>58</v>
      </c>
      <c r="J534">
        <v>7</v>
      </c>
      <c r="K534">
        <v>331</v>
      </c>
      <c r="L534">
        <v>54</v>
      </c>
      <c r="M534">
        <v>10</v>
      </c>
      <c r="N534">
        <v>1995</v>
      </c>
      <c r="O534">
        <v>0.27</v>
      </c>
      <c r="P534">
        <v>2.4700000000000002</v>
      </c>
      <c r="Q534">
        <v>1.4999999999999999E-2</v>
      </c>
      <c r="R534">
        <v>65</v>
      </c>
      <c r="S534">
        <v>700</v>
      </c>
      <c r="T534">
        <v>475</v>
      </c>
      <c r="U534">
        <v>275</v>
      </c>
      <c r="V534">
        <v>370</v>
      </c>
      <c r="W534">
        <v>155</v>
      </c>
    </row>
    <row r="535" spans="1:23">
      <c r="A535">
        <v>429.39768220770139</v>
      </c>
      <c r="B535">
        <v>68.599999999999994</v>
      </c>
      <c r="C535">
        <v>4.3816090021194034</v>
      </c>
      <c r="D535">
        <v>499.22879999999998</v>
      </c>
      <c r="E535">
        <v>687.91927539513381</v>
      </c>
      <c r="F535">
        <v>191.93039999999999</v>
      </c>
      <c r="G535">
        <v>83.274720000000002</v>
      </c>
      <c r="H535">
        <v>8</v>
      </c>
      <c r="I535">
        <v>56</v>
      </c>
      <c r="J535">
        <v>5</v>
      </c>
      <c r="K535">
        <v>325</v>
      </c>
      <c r="L535">
        <v>57</v>
      </c>
      <c r="M535">
        <v>23</v>
      </c>
      <c r="N535">
        <v>1995</v>
      </c>
      <c r="O535">
        <v>0.27</v>
      </c>
      <c r="P535">
        <v>2.4700000000000002</v>
      </c>
      <c r="Q535">
        <v>1.4999999999999999E-2</v>
      </c>
      <c r="R535">
        <v>65</v>
      </c>
      <c r="S535">
        <v>700</v>
      </c>
      <c r="T535">
        <v>475</v>
      </c>
      <c r="U535">
        <v>275</v>
      </c>
      <c r="V535">
        <v>370</v>
      </c>
      <c r="W535">
        <v>155</v>
      </c>
    </row>
    <row r="536" spans="1:23">
      <c r="A536">
        <v>349.70642402957287</v>
      </c>
      <c r="B536">
        <v>56.000000000000007</v>
      </c>
      <c r="C536">
        <v>4.3713303003696611</v>
      </c>
      <c r="D536">
        <v>424.36964999999998</v>
      </c>
      <c r="E536">
        <v>690.93443983402494</v>
      </c>
      <c r="F536">
        <v>156.25655</v>
      </c>
      <c r="G536">
        <v>67.875760000000014</v>
      </c>
      <c r="H536">
        <v>6</v>
      </c>
      <c r="I536">
        <v>50</v>
      </c>
      <c r="J536">
        <v>6</v>
      </c>
      <c r="K536">
        <v>97</v>
      </c>
      <c r="L536">
        <v>56</v>
      </c>
      <c r="M536">
        <v>11</v>
      </c>
      <c r="N536">
        <v>1995</v>
      </c>
      <c r="O536">
        <v>0.27</v>
      </c>
      <c r="P536">
        <v>2.4700000000000002</v>
      </c>
      <c r="Q536">
        <v>1.4999999999999999E-2</v>
      </c>
      <c r="R536">
        <v>65</v>
      </c>
      <c r="S536">
        <v>700</v>
      </c>
      <c r="T536">
        <v>475</v>
      </c>
      <c r="U536">
        <v>275</v>
      </c>
      <c r="V536">
        <v>370</v>
      </c>
      <c r="W536">
        <v>155</v>
      </c>
    </row>
    <row r="537" spans="1:23">
      <c r="A537">
        <v>349.51507782575271</v>
      </c>
      <c r="B537">
        <v>56.000000000000007</v>
      </c>
      <c r="C537">
        <v>4.3689384728219078</v>
      </c>
      <c r="D537">
        <v>400.47023999999999</v>
      </c>
      <c r="E537">
        <v>692.78008298755185</v>
      </c>
      <c r="F537">
        <v>155.98312000000001</v>
      </c>
      <c r="G537">
        <v>67.872799999999998</v>
      </c>
      <c r="H537">
        <v>7</v>
      </c>
      <c r="I537">
        <v>52</v>
      </c>
      <c r="J537">
        <v>5</v>
      </c>
      <c r="K537">
        <v>242</v>
      </c>
      <c r="L537">
        <v>60</v>
      </c>
      <c r="M537">
        <v>19</v>
      </c>
      <c r="N537">
        <v>1995</v>
      </c>
      <c r="O537">
        <v>0.27</v>
      </c>
      <c r="P537">
        <v>2.4700000000000002</v>
      </c>
      <c r="Q537">
        <v>1.4999999999999999E-2</v>
      </c>
      <c r="R537">
        <v>65</v>
      </c>
      <c r="S537">
        <v>700</v>
      </c>
      <c r="T537">
        <v>475</v>
      </c>
      <c r="U537">
        <v>275</v>
      </c>
      <c r="V537">
        <v>370</v>
      </c>
      <c r="W537">
        <v>155</v>
      </c>
    </row>
    <row r="538" spans="1:23">
      <c r="A538">
        <v>349.51507782575271</v>
      </c>
      <c r="B538">
        <v>56.000000000000007</v>
      </c>
      <c r="C538">
        <v>4.3689384728219078</v>
      </c>
      <c r="D538">
        <v>400.47023999999999</v>
      </c>
      <c r="E538">
        <v>692.78008298755185</v>
      </c>
      <c r="F538">
        <v>155.98312000000001</v>
      </c>
      <c r="G538">
        <v>67.872799999999998</v>
      </c>
      <c r="H538">
        <v>7</v>
      </c>
      <c r="I538">
        <v>52</v>
      </c>
      <c r="J538">
        <v>5</v>
      </c>
      <c r="K538">
        <v>243</v>
      </c>
      <c r="L538">
        <v>60</v>
      </c>
      <c r="M538">
        <v>19</v>
      </c>
      <c r="N538">
        <v>1995</v>
      </c>
      <c r="O538">
        <v>0.27</v>
      </c>
      <c r="P538">
        <v>2.4700000000000002</v>
      </c>
      <c r="Q538">
        <v>1.4999999999999999E-2</v>
      </c>
      <c r="R538">
        <v>65</v>
      </c>
      <c r="S538">
        <v>700</v>
      </c>
      <c r="T538">
        <v>475</v>
      </c>
      <c r="U538">
        <v>275</v>
      </c>
      <c r="V538">
        <v>370</v>
      </c>
      <c r="W538">
        <v>155</v>
      </c>
    </row>
    <row r="539" spans="1:23">
      <c r="A539">
        <v>364.90163290505473</v>
      </c>
      <c r="B539">
        <v>58.625</v>
      </c>
      <c r="C539">
        <v>4.3570344227469224</v>
      </c>
      <c r="D539">
        <v>424.01407999999998</v>
      </c>
      <c r="E539">
        <v>690.41659751037332</v>
      </c>
      <c r="F539">
        <v>163.54592</v>
      </c>
      <c r="G539">
        <v>70.81504000000001</v>
      </c>
      <c r="H539">
        <v>6</v>
      </c>
      <c r="I539">
        <v>53</v>
      </c>
      <c r="J539">
        <v>6</v>
      </c>
      <c r="K539">
        <v>254</v>
      </c>
      <c r="L539">
        <v>59</v>
      </c>
      <c r="M539">
        <v>16</v>
      </c>
      <c r="N539">
        <v>1995</v>
      </c>
      <c r="O539">
        <v>0.27</v>
      </c>
      <c r="P539">
        <v>2.4700000000000002</v>
      </c>
      <c r="Q539">
        <v>1.4999999999999999E-2</v>
      </c>
      <c r="R539">
        <v>65</v>
      </c>
      <c r="S539">
        <v>700</v>
      </c>
      <c r="T539">
        <v>475</v>
      </c>
      <c r="U539">
        <v>275</v>
      </c>
      <c r="V539">
        <v>370</v>
      </c>
      <c r="W539">
        <v>155</v>
      </c>
    </row>
    <row r="540" spans="1:23">
      <c r="A540">
        <v>348.5385871570694</v>
      </c>
      <c r="B540">
        <v>56</v>
      </c>
      <c r="C540">
        <v>4.3567323394633677</v>
      </c>
      <c r="D540">
        <v>377.21679999999998</v>
      </c>
      <c r="E540">
        <v>692.84647302904568</v>
      </c>
      <c r="F540">
        <v>155.21680000000001</v>
      </c>
      <c r="G540">
        <v>67.684399999999997</v>
      </c>
      <c r="H540">
        <v>6</v>
      </c>
      <c r="I540">
        <v>51</v>
      </c>
      <c r="J540">
        <v>6</v>
      </c>
      <c r="K540">
        <v>38</v>
      </c>
      <c r="L540">
        <v>59</v>
      </c>
      <c r="M540">
        <v>4</v>
      </c>
      <c r="N540">
        <v>1995</v>
      </c>
      <c r="O540">
        <v>0.27</v>
      </c>
      <c r="P540">
        <v>2.4700000000000002</v>
      </c>
      <c r="Q540">
        <v>1.4999999999999999E-2</v>
      </c>
      <c r="R540">
        <v>65</v>
      </c>
      <c r="S540">
        <v>700</v>
      </c>
      <c r="T540">
        <v>475</v>
      </c>
      <c r="U540">
        <v>275</v>
      </c>
      <c r="V540">
        <v>370</v>
      </c>
      <c r="W540">
        <v>155</v>
      </c>
    </row>
    <row r="541" spans="1:23">
      <c r="A541">
        <v>348.45266776470368</v>
      </c>
      <c r="B541">
        <v>56</v>
      </c>
      <c r="C541">
        <v>4.355658347058796</v>
      </c>
      <c r="D541">
        <v>420.25600000000009</v>
      </c>
      <c r="E541">
        <v>690.5112033195021</v>
      </c>
      <c r="F541">
        <v>155.27760000000001</v>
      </c>
      <c r="G541">
        <v>67.624600000000001</v>
      </c>
      <c r="H541">
        <v>7</v>
      </c>
      <c r="I541">
        <v>53</v>
      </c>
      <c r="J541">
        <v>5</v>
      </c>
      <c r="K541">
        <v>176</v>
      </c>
      <c r="L541">
        <v>51</v>
      </c>
      <c r="M541">
        <v>4</v>
      </c>
      <c r="N541">
        <v>1995</v>
      </c>
      <c r="O541">
        <v>0.27</v>
      </c>
      <c r="P541">
        <v>2.4700000000000002</v>
      </c>
      <c r="Q541">
        <v>1.4999999999999999E-2</v>
      </c>
      <c r="R541">
        <v>65</v>
      </c>
      <c r="S541">
        <v>700</v>
      </c>
      <c r="T541">
        <v>475</v>
      </c>
      <c r="U541">
        <v>275</v>
      </c>
      <c r="V541">
        <v>370</v>
      </c>
      <c r="W541">
        <v>155</v>
      </c>
    </row>
    <row r="542" spans="1:23">
      <c r="A542">
        <v>348.04630080744118</v>
      </c>
      <c r="B542">
        <v>56.000000000000007</v>
      </c>
      <c r="C542">
        <v>4.3505787600930139</v>
      </c>
      <c r="D542">
        <v>402.41199999999998</v>
      </c>
      <c r="E542">
        <v>692.19571925858986</v>
      </c>
      <c r="F542">
        <v>156.3768</v>
      </c>
      <c r="G542">
        <v>67.576800000000006</v>
      </c>
      <c r="H542">
        <v>6</v>
      </c>
      <c r="I542">
        <v>50</v>
      </c>
      <c r="J542">
        <v>6</v>
      </c>
      <c r="K542">
        <v>187</v>
      </c>
      <c r="L542">
        <v>58</v>
      </c>
      <c r="M542">
        <v>20</v>
      </c>
      <c r="N542">
        <v>1995</v>
      </c>
      <c r="O542">
        <v>0.27</v>
      </c>
      <c r="P542">
        <v>2.4700000000000002</v>
      </c>
      <c r="Q542">
        <v>1.4999999999999999E-2</v>
      </c>
      <c r="R542">
        <v>65</v>
      </c>
      <c r="S542">
        <v>700</v>
      </c>
      <c r="T542">
        <v>475</v>
      </c>
      <c r="U542">
        <v>275</v>
      </c>
      <c r="V542">
        <v>370</v>
      </c>
      <c r="W542">
        <v>155</v>
      </c>
    </row>
    <row r="543" spans="1:23">
      <c r="A543">
        <v>346.71539163561118</v>
      </c>
      <c r="B543">
        <v>56.000000000000007</v>
      </c>
      <c r="C543">
        <v>4.3339423954451401</v>
      </c>
      <c r="D543">
        <v>420.63931000000008</v>
      </c>
      <c r="E543">
        <v>691.78091286307051</v>
      </c>
      <c r="F543">
        <v>157.51677000000001</v>
      </c>
      <c r="G543">
        <v>67.310769999999991</v>
      </c>
      <c r="H543">
        <v>7</v>
      </c>
      <c r="I543">
        <v>53</v>
      </c>
      <c r="J543">
        <v>5</v>
      </c>
      <c r="K543">
        <v>99</v>
      </c>
      <c r="L543">
        <v>57</v>
      </c>
      <c r="M543">
        <v>9</v>
      </c>
      <c r="N543">
        <v>1995</v>
      </c>
      <c r="O543">
        <v>0.27</v>
      </c>
      <c r="P543">
        <v>2.4700000000000002</v>
      </c>
      <c r="Q543">
        <v>1.4999999999999999E-2</v>
      </c>
      <c r="R543">
        <v>65</v>
      </c>
      <c r="S543">
        <v>700</v>
      </c>
      <c r="T543">
        <v>475</v>
      </c>
      <c r="U543">
        <v>275</v>
      </c>
      <c r="V543">
        <v>370</v>
      </c>
      <c r="W543">
        <v>155</v>
      </c>
    </row>
    <row r="544" spans="1:23">
      <c r="A544">
        <v>346.23444928347021</v>
      </c>
      <c r="B544">
        <v>56.000000000000007</v>
      </c>
      <c r="C544">
        <v>4.3279306160433766</v>
      </c>
      <c r="D544">
        <v>908.52760000000001</v>
      </c>
      <c r="E544">
        <v>681.92531120331955</v>
      </c>
      <c r="F544">
        <v>155.6146</v>
      </c>
      <c r="G544">
        <v>67.036600000000007</v>
      </c>
      <c r="H544">
        <v>2</v>
      </c>
      <c r="I544">
        <v>57</v>
      </c>
      <c r="J544">
        <v>7</v>
      </c>
      <c r="K544">
        <v>98</v>
      </c>
      <c r="L544">
        <v>53</v>
      </c>
      <c r="M544">
        <v>8</v>
      </c>
      <c r="N544">
        <v>1995</v>
      </c>
      <c r="O544">
        <v>0.27</v>
      </c>
      <c r="P544">
        <v>2.4700000000000002</v>
      </c>
      <c r="Q544">
        <v>1.4999999999999999E-2</v>
      </c>
      <c r="R544">
        <v>65</v>
      </c>
      <c r="S544">
        <v>700</v>
      </c>
      <c r="T544">
        <v>475</v>
      </c>
      <c r="U544">
        <v>275</v>
      </c>
      <c r="V544">
        <v>370</v>
      </c>
      <c r="W544">
        <v>155</v>
      </c>
    </row>
    <row r="545" spans="1:23">
      <c r="A545">
        <v>360.94932384236068</v>
      </c>
      <c r="B545">
        <v>59.463917525773212</v>
      </c>
      <c r="C545">
        <v>4.2490393704743914</v>
      </c>
      <c r="D545">
        <v>417.73766000000001</v>
      </c>
      <c r="E545">
        <v>691.20663900414934</v>
      </c>
      <c r="F545">
        <v>161.88258999999999</v>
      </c>
      <c r="G545">
        <v>70.063140000000018</v>
      </c>
      <c r="H545">
        <v>8</v>
      </c>
      <c r="I545">
        <v>56</v>
      </c>
      <c r="J545">
        <v>4</v>
      </c>
      <c r="K545">
        <v>200</v>
      </c>
      <c r="L545">
        <v>54</v>
      </c>
      <c r="M545">
        <v>11</v>
      </c>
      <c r="N545">
        <v>1995</v>
      </c>
      <c r="O545">
        <v>0.27</v>
      </c>
      <c r="P545">
        <v>2.4700000000000002</v>
      </c>
      <c r="Q545">
        <v>1.4999999999999999E-2</v>
      </c>
      <c r="R545">
        <v>65</v>
      </c>
      <c r="S545">
        <v>700</v>
      </c>
      <c r="T545">
        <v>475</v>
      </c>
      <c r="U545">
        <v>275</v>
      </c>
      <c r="V545">
        <v>370</v>
      </c>
      <c r="W545">
        <v>155</v>
      </c>
    </row>
    <row r="546" spans="1:23">
      <c r="A546">
        <v>342.51664185617659</v>
      </c>
      <c r="B546">
        <v>57.344000000000008</v>
      </c>
      <c r="C546">
        <v>4.1811113507834046</v>
      </c>
      <c r="D546">
        <v>820.36800000000005</v>
      </c>
      <c r="E546">
        <v>679.67865639446086</v>
      </c>
      <c r="F546">
        <v>671.54399999999998</v>
      </c>
      <c r="G546">
        <v>66.275999999999996</v>
      </c>
      <c r="H546">
        <v>40</v>
      </c>
      <c r="I546">
        <v>60</v>
      </c>
      <c r="J546">
        <v>11</v>
      </c>
      <c r="K546">
        <v>325</v>
      </c>
      <c r="L546">
        <v>60</v>
      </c>
      <c r="M546">
        <v>21</v>
      </c>
      <c r="N546">
        <v>1995</v>
      </c>
      <c r="O546">
        <v>0.27</v>
      </c>
      <c r="P546">
        <v>2.4700000000000002</v>
      </c>
      <c r="Q546">
        <v>1.4999999999999999E-2</v>
      </c>
      <c r="R546">
        <v>65</v>
      </c>
      <c r="S546">
        <v>700</v>
      </c>
      <c r="T546">
        <v>475</v>
      </c>
      <c r="U546">
        <v>275</v>
      </c>
      <c r="V546">
        <v>370</v>
      </c>
      <c r="W546">
        <v>155</v>
      </c>
    </row>
    <row r="547" spans="1:23">
      <c r="A547">
        <v>427.67130837498649</v>
      </c>
      <c r="B547">
        <v>73.381443298969074</v>
      </c>
      <c r="C547">
        <v>4.0796406067240216</v>
      </c>
      <c r="D547">
        <v>536.83918125000002</v>
      </c>
      <c r="E547">
        <v>689.84701375022519</v>
      </c>
      <c r="F547">
        <v>190.63767562500001</v>
      </c>
      <c r="G547">
        <v>82.98360000000001</v>
      </c>
      <c r="H547">
        <v>8</v>
      </c>
      <c r="I547">
        <v>55</v>
      </c>
      <c r="J547">
        <v>5</v>
      </c>
      <c r="K547">
        <v>79</v>
      </c>
      <c r="L547">
        <v>58</v>
      </c>
      <c r="M547">
        <v>25</v>
      </c>
      <c r="N547">
        <v>1995</v>
      </c>
      <c r="O547">
        <v>0.27</v>
      </c>
      <c r="P547">
        <v>2.4700000000000002</v>
      </c>
      <c r="Q547">
        <v>1.4999999999999999E-2</v>
      </c>
      <c r="R547">
        <v>65</v>
      </c>
      <c r="S547">
        <v>700</v>
      </c>
      <c r="T547">
        <v>475</v>
      </c>
      <c r="U547">
        <v>275</v>
      </c>
      <c r="V547">
        <v>370</v>
      </c>
      <c r="W547">
        <v>155</v>
      </c>
    </row>
    <row r="548" spans="1:23">
      <c r="A548">
        <v>427.54046780370442</v>
      </c>
      <c r="B548">
        <v>73.381443298969074</v>
      </c>
      <c r="C548">
        <v>4.0783924928170174</v>
      </c>
      <c r="D548">
        <v>536.83918125000002</v>
      </c>
      <c r="E548">
        <v>690.96774338386263</v>
      </c>
      <c r="F548">
        <v>190.63767562500001</v>
      </c>
      <c r="G548">
        <v>82.98360000000001</v>
      </c>
      <c r="H548">
        <v>8</v>
      </c>
      <c r="I548">
        <v>55</v>
      </c>
      <c r="J548">
        <v>5</v>
      </c>
      <c r="K548">
        <v>78</v>
      </c>
      <c r="L548">
        <v>58</v>
      </c>
      <c r="M548">
        <v>25</v>
      </c>
      <c r="N548">
        <v>1995</v>
      </c>
      <c r="O548">
        <v>0.27</v>
      </c>
      <c r="P548">
        <v>2.4700000000000002</v>
      </c>
      <c r="Q548">
        <v>1.4999999999999999E-2</v>
      </c>
      <c r="R548">
        <v>65</v>
      </c>
      <c r="S548">
        <v>700</v>
      </c>
      <c r="T548">
        <v>475</v>
      </c>
      <c r="U548">
        <v>275</v>
      </c>
      <c r="V548">
        <v>370</v>
      </c>
      <c r="W548">
        <v>155</v>
      </c>
    </row>
    <row r="549" spans="1:23">
      <c r="A549">
        <v>396.27858552542358</v>
      </c>
      <c r="B549">
        <v>68.600000000000023</v>
      </c>
      <c r="C549">
        <v>4.0436590359737092</v>
      </c>
      <c r="D549">
        <v>451.14879999999999</v>
      </c>
      <c r="E549">
        <v>691.27373512615873</v>
      </c>
      <c r="F549">
        <v>173.77440000000001</v>
      </c>
      <c r="G549">
        <v>76.922240000000002</v>
      </c>
      <c r="H549">
        <v>6</v>
      </c>
      <c r="I549">
        <v>50</v>
      </c>
      <c r="J549">
        <v>7</v>
      </c>
      <c r="K549">
        <v>325</v>
      </c>
      <c r="L549">
        <v>61</v>
      </c>
      <c r="M549">
        <v>22</v>
      </c>
      <c r="N549">
        <v>1995</v>
      </c>
      <c r="O549">
        <v>0.27</v>
      </c>
      <c r="P549">
        <v>2.4700000000000002</v>
      </c>
      <c r="Q549">
        <v>1.4999999999999999E-2</v>
      </c>
      <c r="R549">
        <v>65</v>
      </c>
      <c r="S549">
        <v>700</v>
      </c>
      <c r="T549">
        <v>475</v>
      </c>
      <c r="U549">
        <v>275</v>
      </c>
      <c r="V549">
        <v>370</v>
      </c>
      <c r="W549">
        <v>155</v>
      </c>
    </row>
    <row r="550" spans="1:23">
      <c r="A550">
        <v>421.61863192226559</v>
      </c>
      <c r="B550">
        <v>74</v>
      </c>
      <c r="C550">
        <v>3.9882843560214321</v>
      </c>
      <c r="D550">
        <v>533.50800000000004</v>
      </c>
      <c r="E550">
        <v>684.78131580618447</v>
      </c>
      <c r="F550">
        <v>189.8604</v>
      </c>
      <c r="G550">
        <v>81.695999999999998</v>
      </c>
      <c r="H550">
        <v>8</v>
      </c>
      <c r="I550">
        <v>55</v>
      </c>
      <c r="J550">
        <v>5</v>
      </c>
      <c r="K550">
        <v>116</v>
      </c>
      <c r="L550">
        <v>58</v>
      </c>
      <c r="M550">
        <v>23</v>
      </c>
      <c r="N550">
        <v>1995</v>
      </c>
      <c r="O550">
        <v>0.27</v>
      </c>
      <c r="P550">
        <v>2.4700000000000002</v>
      </c>
      <c r="Q550">
        <v>1.4999999999999999E-2</v>
      </c>
      <c r="R550">
        <v>65</v>
      </c>
      <c r="S550">
        <v>700</v>
      </c>
      <c r="T550">
        <v>475</v>
      </c>
      <c r="U550">
        <v>275</v>
      </c>
      <c r="V550">
        <v>370</v>
      </c>
      <c r="W550">
        <v>155</v>
      </c>
    </row>
    <row r="551" spans="1:23">
      <c r="A551">
        <v>406.81964081131059</v>
      </c>
      <c r="B551">
        <v>73.381443298969074</v>
      </c>
      <c r="C551">
        <v>3.8807324544939581</v>
      </c>
      <c r="D551">
        <v>498.38093700000002</v>
      </c>
      <c r="E551">
        <v>690.73574898221909</v>
      </c>
      <c r="F551">
        <v>176.67288529999999</v>
      </c>
      <c r="G551">
        <v>78.956783999999999</v>
      </c>
      <c r="H551">
        <v>9</v>
      </c>
      <c r="I551">
        <v>49</v>
      </c>
      <c r="J551">
        <v>4</v>
      </c>
      <c r="K551">
        <v>79</v>
      </c>
      <c r="L551">
        <v>64</v>
      </c>
      <c r="M551">
        <v>22</v>
      </c>
      <c r="N551">
        <v>1995</v>
      </c>
      <c r="O551">
        <v>0.27</v>
      </c>
      <c r="P551">
        <v>2.4700000000000002</v>
      </c>
      <c r="Q551">
        <v>1.4999999999999999E-2</v>
      </c>
      <c r="R551">
        <v>65</v>
      </c>
      <c r="S551">
        <v>700</v>
      </c>
      <c r="T551">
        <v>475</v>
      </c>
      <c r="U551">
        <v>275</v>
      </c>
      <c r="V551">
        <v>370</v>
      </c>
      <c r="W551">
        <v>155</v>
      </c>
    </row>
    <row r="552" spans="1:23">
      <c r="A552">
        <v>343.1539586055361</v>
      </c>
      <c r="B552">
        <v>62.125443298969081</v>
      </c>
      <c r="C552">
        <v>3.866495887488683</v>
      </c>
      <c r="D552">
        <v>843.99916500000006</v>
      </c>
      <c r="E552">
        <v>682.84364524328919</v>
      </c>
      <c r="F552">
        <v>659.54033849999996</v>
      </c>
      <c r="G552">
        <v>66.456863999999996</v>
      </c>
      <c r="H552">
        <v>40</v>
      </c>
      <c r="I552">
        <v>59</v>
      </c>
      <c r="J552">
        <v>11</v>
      </c>
      <c r="K552">
        <v>79</v>
      </c>
      <c r="L552">
        <v>61</v>
      </c>
      <c r="M552">
        <v>23</v>
      </c>
      <c r="N552">
        <v>1995</v>
      </c>
      <c r="O552">
        <v>0.27</v>
      </c>
      <c r="P552">
        <v>2.4700000000000002</v>
      </c>
      <c r="Q552">
        <v>1.4999999999999999E-2</v>
      </c>
      <c r="R552">
        <v>65</v>
      </c>
      <c r="S552">
        <v>700</v>
      </c>
      <c r="T552">
        <v>475</v>
      </c>
      <c r="U552">
        <v>275</v>
      </c>
      <c r="V552">
        <v>370</v>
      </c>
      <c r="W552">
        <v>155</v>
      </c>
    </row>
    <row r="553" spans="1:23">
      <c r="A553">
        <v>343.05218236968813</v>
      </c>
      <c r="B553">
        <v>62.125443298969081</v>
      </c>
      <c r="C553">
        <v>3.8653491211831161</v>
      </c>
      <c r="D553">
        <v>843.99916500000006</v>
      </c>
      <c r="E553">
        <v>683.92804777845686</v>
      </c>
      <c r="F553">
        <v>659.54033849999996</v>
      </c>
      <c r="G553">
        <v>66.456863999999996</v>
      </c>
      <c r="H553">
        <v>40</v>
      </c>
      <c r="I553">
        <v>59</v>
      </c>
      <c r="J553">
        <v>11</v>
      </c>
      <c r="K553">
        <v>78</v>
      </c>
      <c r="L553">
        <v>61</v>
      </c>
      <c r="M553">
        <v>23</v>
      </c>
      <c r="N553">
        <v>1995</v>
      </c>
      <c r="O553">
        <v>0.27</v>
      </c>
      <c r="P553">
        <v>2.4700000000000002</v>
      </c>
      <c r="Q553">
        <v>1.4999999999999999E-2</v>
      </c>
      <c r="R553">
        <v>65</v>
      </c>
      <c r="S553">
        <v>700</v>
      </c>
      <c r="T553">
        <v>475</v>
      </c>
      <c r="U553">
        <v>275</v>
      </c>
      <c r="V553">
        <v>370</v>
      </c>
      <c r="W553">
        <v>155</v>
      </c>
    </row>
    <row r="554" spans="1:23">
      <c r="A554">
        <v>404.98096519770502</v>
      </c>
      <c r="B554">
        <v>73.381443298969074</v>
      </c>
      <c r="C554">
        <v>3.863192966693477</v>
      </c>
      <c r="D554">
        <v>498.38093700000002</v>
      </c>
      <c r="E554">
        <v>689.47744012459043</v>
      </c>
      <c r="F554">
        <v>176.67288529999999</v>
      </c>
      <c r="G554">
        <v>78.57292799999999</v>
      </c>
      <c r="H554">
        <v>9</v>
      </c>
      <c r="I554">
        <v>49</v>
      </c>
      <c r="J554">
        <v>4</v>
      </c>
      <c r="K554">
        <v>78</v>
      </c>
      <c r="L554">
        <v>63</v>
      </c>
      <c r="M554">
        <v>22</v>
      </c>
      <c r="N554">
        <v>1995</v>
      </c>
      <c r="O554">
        <v>0.27</v>
      </c>
      <c r="P554">
        <v>2.4700000000000002</v>
      </c>
      <c r="Q554">
        <v>1.4999999999999999E-2</v>
      </c>
      <c r="R554">
        <v>65</v>
      </c>
      <c r="S554">
        <v>700</v>
      </c>
      <c r="T554">
        <v>475</v>
      </c>
      <c r="U554">
        <v>275</v>
      </c>
      <c r="V554">
        <v>370</v>
      </c>
      <c r="W554">
        <v>155</v>
      </c>
    </row>
    <row r="555" spans="1:23">
      <c r="A555">
        <v>420.28663039078901</v>
      </c>
      <c r="B555">
        <v>77</v>
      </c>
      <c r="C555">
        <v>3.8207875490071741</v>
      </c>
      <c r="D555">
        <v>391.63799999999998</v>
      </c>
      <c r="E555">
        <v>689.15064440751257</v>
      </c>
      <c r="F555">
        <v>185.11920000000001</v>
      </c>
      <c r="G555">
        <v>81.535200000000017</v>
      </c>
      <c r="H555">
        <v>52</v>
      </c>
      <c r="I555">
        <v>55</v>
      </c>
      <c r="J555">
        <v>12</v>
      </c>
      <c r="K555">
        <v>87</v>
      </c>
      <c r="L555">
        <v>58</v>
      </c>
      <c r="M555">
        <v>27</v>
      </c>
      <c r="N555">
        <v>1995</v>
      </c>
      <c r="O555">
        <v>0.27</v>
      </c>
      <c r="P555">
        <v>2.4700000000000002</v>
      </c>
      <c r="Q555">
        <v>1.4999999999999999E-2</v>
      </c>
      <c r="R555">
        <v>65</v>
      </c>
      <c r="S555">
        <v>700</v>
      </c>
      <c r="T555">
        <v>475</v>
      </c>
      <c r="U555">
        <v>275</v>
      </c>
      <c r="V555">
        <v>370</v>
      </c>
      <c r="W555">
        <v>155</v>
      </c>
    </row>
    <row r="556" spans="1:23">
      <c r="A556">
        <v>404.2544623806433</v>
      </c>
      <c r="B556">
        <v>74.152284263959416</v>
      </c>
      <c r="C556">
        <v>3.8161754081524299</v>
      </c>
      <c r="D556">
        <v>444.61149599999999</v>
      </c>
      <c r="E556">
        <v>688.91557835661717</v>
      </c>
      <c r="F556">
        <v>174.8840472</v>
      </c>
      <c r="G556">
        <v>78.419939999999997</v>
      </c>
      <c r="H556">
        <v>8</v>
      </c>
      <c r="I556">
        <v>50</v>
      </c>
      <c r="J556">
        <v>5</v>
      </c>
      <c r="K556">
        <v>152</v>
      </c>
      <c r="L556">
        <v>63</v>
      </c>
      <c r="M556">
        <v>29</v>
      </c>
      <c r="N556">
        <v>1995</v>
      </c>
      <c r="O556">
        <v>0.27</v>
      </c>
      <c r="P556">
        <v>2.4700000000000002</v>
      </c>
      <c r="Q556">
        <v>1.4999999999999999E-2</v>
      </c>
      <c r="R556">
        <v>65</v>
      </c>
      <c r="S556">
        <v>700</v>
      </c>
      <c r="T556">
        <v>475</v>
      </c>
      <c r="U556">
        <v>275</v>
      </c>
      <c r="V556">
        <v>370</v>
      </c>
      <c r="W556">
        <v>155</v>
      </c>
    </row>
    <row r="557" spans="1:23">
      <c r="A557">
        <v>403.14376608360641</v>
      </c>
      <c r="B557">
        <v>74</v>
      </c>
      <c r="C557">
        <v>3.8135221116016829</v>
      </c>
      <c r="D557">
        <v>496.548</v>
      </c>
      <c r="E557">
        <v>688.89311488112151</v>
      </c>
      <c r="F557">
        <v>176.24520000000001</v>
      </c>
      <c r="G557">
        <v>78.203999999999994</v>
      </c>
      <c r="H557">
        <v>9</v>
      </c>
      <c r="I557">
        <v>49</v>
      </c>
      <c r="J557">
        <v>4</v>
      </c>
      <c r="K557">
        <v>116</v>
      </c>
      <c r="L557">
        <v>63</v>
      </c>
      <c r="M557">
        <v>21</v>
      </c>
      <c r="N557">
        <v>1995</v>
      </c>
      <c r="O557">
        <v>0.27</v>
      </c>
      <c r="P557">
        <v>2.4700000000000002</v>
      </c>
      <c r="Q557">
        <v>1.4999999999999999E-2</v>
      </c>
      <c r="R557">
        <v>65</v>
      </c>
      <c r="S557">
        <v>700</v>
      </c>
      <c r="T557">
        <v>475</v>
      </c>
      <c r="U557">
        <v>275</v>
      </c>
      <c r="V557">
        <v>370</v>
      </c>
      <c r="W557">
        <v>155</v>
      </c>
    </row>
    <row r="558" spans="1:23">
      <c r="A558">
        <v>381.76542150303311</v>
      </c>
      <c r="B558">
        <v>70.5</v>
      </c>
      <c r="C558">
        <v>3.7905786532216048</v>
      </c>
      <c r="D558">
        <v>462.75599999999997</v>
      </c>
      <c r="E558">
        <v>690.72657917203605</v>
      </c>
      <c r="F558">
        <v>212.16839999999999</v>
      </c>
      <c r="G558">
        <v>74.093999999999994</v>
      </c>
      <c r="H558">
        <v>22</v>
      </c>
      <c r="I558">
        <v>44</v>
      </c>
      <c r="J558">
        <v>4</v>
      </c>
      <c r="K558">
        <v>116</v>
      </c>
      <c r="L558">
        <v>61</v>
      </c>
      <c r="M558">
        <v>23</v>
      </c>
      <c r="N558">
        <v>1995</v>
      </c>
      <c r="O558">
        <v>0.27</v>
      </c>
      <c r="P558">
        <v>2.4700000000000002</v>
      </c>
      <c r="Q558">
        <v>1.4999999999999999E-2</v>
      </c>
      <c r="R558">
        <v>65</v>
      </c>
      <c r="S558">
        <v>700</v>
      </c>
      <c r="T558">
        <v>475</v>
      </c>
      <c r="U558">
        <v>275</v>
      </c>
      <c r="V558">
        <v>370</v>
      </c>
      <c r="W558">
        <v>155</v>
      </c>
    </row>
    <row r="559" spans="1:23">
      <c r="A559">
        <v>416.6520226095725</v>
      </c>
      <c r="B559">
        <v>77</v>
      </c>
      <c r="C559">
        <v>3.787745660087023</v>
      </c>
      <c r="D559">
        <v>557.01120000000003</v>
      </c>
      <c r="E559">
        <v>690.43305159814213</v>
      </c>
      <c r="F559">
        <v>183.60720000000001</v>
      </c>
      <c r="G559">
        <v>80.858399999999989</v>
      </c>
      <c r="H559">
        <v>8</v>
      </c>
      <c r="I559">
        <v>53</v>
      </c>
      <c r="J559">
        <v>5</v>
      </c>
      <c r="K559">
        <v>87</v>
      </c>
      <c r="L559">
        <v>60</v>
      </c>
      <c r="M559">
        <v>26</v>
      </c>
      <c r="N559">
        <v>1995</v>
      </c>
      <c r="O559">
        <v>0.27</v>
      </c>
      <c r="P559">
        <v>2.4700000000000002</v>
      </c>
      <c r="Q559">
        <v>1.4999999999999999E-2</v>
      </c>
      <c r="R559">
        <v>65</v>
      </c>
      <c r="S559">
        <v>700</v>
      </c>
      <c r="T559">
        <v>475</v>
      </c>
      <c r="U559">
        <v>275</v>
      </c>
      <c r="V559">
        <v>370</v>
      </c>
      <c r="W559">
        <v>155</v>
      </c>
    </row>
    <row r="560" spans="1:23">
      <c r="A560">
        <v>368.05924303527883</v>
      </c>
      <c r="B560">
        <v>68.600000000000023</v>
      </c>
      <c r="C560">
        <v>3.7557065615844758</v>
      </c>
      <c r="D560">
        <v>960.26880000000006</v>
      </c>
      <c r="E560">
        <v>683.77166043736202</v>
      </c>
      <c r="F560">
        <v>156.9024</v>
      </c>
      <c r="G560">
        <v>71.298240000000007</v>
      </c>
      <c r="H560">
        <v>2</v>
      </c>
      <c r="I560">
        <v>52</v>
      </c>
      <c r="J560">
        <v>8</v>
      </c>
      <c r="K560">
        <v>325</v>
      </c>
      <c r="L560">
        <v>61</v>
      </c>
      <c r="M560">
        <v>22</v>
      </c>
      <c r="N560">
        <v>1995</v>
      </c>
      <c r="O560">
        <v>0.27</v>
      </c>
      <c r="P560">
        <v>2.4700000000000002</v>
      </c>
      <c r="Q560">
        <v>1.4999999999999999E-2</v>
      </c>
      <c r="R560">
        <v>65</v>
      </c>
      <c r="S560">
        <v>700</v>
      </c>
      <c r="T560">
        <v>475</v>
      </c>
      <c r="U560">
        <v>275</v>
      </c>
      <c r="V560">
        <v>370</v>
      </c>
      <c r="W560">
        <v>155</v>
      </c>
    </row>
    <row r="561" spans="1:23">
      <c r="A561">
        <v>411.45594614590323</v>
      </c>
      <c r="B561">
        <v>77</v>
      </c>
      <c r="C561">
        <v>3.7405086013263928</v>
      </c>
      <c r="D561">
        <v>424.387</v>
      </c>
      <c r="E561">
        <v>692.00120844448679</v>
      </c>
      <c r="F561">
        <v>175.11548999999999</v>
      </c>
      <c r="G561">
        <v>79.884200000000007</v>
      </c>
      <c r="H561">
        <v>52</v>
      </c>
      <c r="I561">
        <v>56</v>
      </c>
      <c r="J561">
        <v>11</v>
      </c>
      <c r="K561">
        <v>82</v>
      </c>
      <c r="L561">
        <v>57</v>
      </c>
      <c r="M561">
        <v>40</v>
      </c>
      <c r="N561">
        <v>1995</v>
      </c>
      <c r="O561">
        <v>0.27</v>
      </c>
      <c r="P561">
        <v>2.4700000000000002</v>
      </c>
      <c r="Q561">
        <v>1.4999999999999999E-2</v>
      </c>
      <c r="R561">
        <v>65</v>
      </c>
      <c r="S561">
        <v>700</v>
      </c>
      <c r="T561">
        <v>475</v>
      </c>
      <c r="U561">
        <v>275</v>
      </c>
      <c r="V561">
        <v>370</v>
      </c>
      <c r="W561">
        <v>155</v>
      </c>
    </row>
    <row r="562" spans="1:23">
      <c r="A562">
        <v>390.77979634983842</v>
      </c>
      <c r="B562">
        <v>74</v>
      </c>
      <c r="C562">
        <v>3.6965656411471199</v>
      </c>
      <c r="D562">
        <v>479.178</v>
      </c>
      <c r="E562">
        <v>689.39682841050421</v>
      </c>
      <c r="F562">
        <v>169.173</v>
      </c>
      <c r="G562">
        <v>75.816000000000003</v>
      </c>
      <c r="H562">
        <v>6</v>
      </c>
      <c r="I562">
        <v>57</v>
      </c>
      <c r="J562">
        <v>6</v>
      </c>
      <c r="K562">
        <v>116</v>
      </c>
      <c r="L562">
        <v>56</v>
      </c>
      <c r="M562">
        <v>25</v>
      </c>
      <c r="N562">
        <v>1995</v>
      </c>
      <c r="O562">
        <v>0.27</v>
      </c>
      <c r="P562">
        <v>2.4700000000000002</v>
      </c>
      <c r="Q562">
        <v>1.4999999999999999E-2</v>
      </c>
      <c r="R562">
        <v>65</v>
      </c>
      <c r="S562">
        <v>700</v>
      </c>
      <c r="T562">
        <v>475</v>
      </c>
      <c r="U562">
        <v>275</v>
      </c>
      <c r="V562">
        <v>370</v>
      </c>
      <c r="W562">
        <v>155</v>
      </c>
    </row>
    <row r="563" spans="1:23">
      <c r="A563">
        <v>408.90984620575563</v>
      </c>
      <c r="B563">
        <v>77.639593908629479</v>
      </c>
      <c r="C563">
        <v>3.6867386591548659</v>
      </c>
      <c r="D563">
        <v>459.27888000000007</v>
      </c>
      <c r="E563">
        <v>688.57886377086209</v>
      </c>
      <c r="F563">
        <v>179.69745599999999</v>
      </c>
      <c r="G563">
        <v>79.315726800000007</v>
      </c>
      <c r="H563">
        <v>8</v>
      </c>
      <c r="I563">
        <v>52</v>
      </c>
      <c r="J563">
        <v>5</v>
      </c>
      <c r="K563">
        <v>151</v>
      </c>
      <c r="L563">
        <v>61</v>
      </c>
      <c r="M563">
        <v>27</v>
      </c>
      <c r="N563">
        <v>1995</v>
      </c>
      <c r="O563">
        <v>0.27</v>
      </c>
      <c r="P563">
        <v>2.4700000000000002</v>
      </c>
      <c r="Q563">
        <v>1.4999999999999999E-2</v>
      </c>
      <c r="R563">
        <v>65</v>
      </c>
      <c r="S563">
        <v>700</v>
      </c>
      <c r="T563">
        <v>475</v>
      </c>
      <c r="U563">
        <v>275</v>
      </c>
      <c r="V563">
        <v>370</v>
      </c>
      <c r="W563">
        <v>155</v>
      </c>
    </row>
    <row r="564" spans="1:23">
      <c r="A564">
        <v>403.6257832770541</v>
      </c>
      <c r="B564">
        <v>76.999999999999986</v>
      </c>
      <c r="C564">
        <v>3.6693253025186752</v>
      </c>
      <c r="D564">
        <v>573.404</v>
      </c>
      <c r="E564">
        <v>686.2224499993265</v>
      </c>
      <c r="F564">
        <v>174.24724000000001</v>
      </c>
      <c r="G564">
        <v>78.240390000000019</v>
      </c>
      <c r="H564">
        <v>8</v>
      </c>
      <c r="I564">
        <v>50</v>
      </c>
      <c r="J564">
        <v>5</v>
      </c>
      <c r="K564">
        <v>82</v>
      </c>
      <c r="L564">
        <v>63</v>
      </c>
      <c r="M564">
        <v>34</v>
      </c>
      <c r="N564">
        <v>1995</v>
      </c>
      <c r="O564">
        <v>0.27</v>
      </c>
      <c r="P564">
        <v>2.4700000000000002</v>
      </c>
      <c r="Q564">
        <v>1.4999999999999999E-2</v>
      </c>
      <c r="R564">
        <v>65</v>
      </c>
      <c r="S564">
        <v>700</v>
      </c>
      <c r="T564">
        <v>475</v>
      </c>
      <c r="U564">
        <v>275</v>
      </c>
      <c r="V564">
        <v>370</v>
      </c>
      <c r="W564">
        <v>155</v>
      </c>
    </row>
    <row r="565" spans="1:23">
      <c r="A565">
        <v>386.86051496793112</v>
      </c>
      <c r="B565">
        <v>74.152284263959416</v>
      </c>
      <c r="C565">
        <v>3.651975973033796</v>
      </c>
      <c r="D565">
        <v>424.70567999999997</v>
      </c>
      <c r="E565">
        <v>692.50881375854169</v>
      </c>
      <c r="F565">
        <v>167.42397600000001</v>
      </c>
      <c r="G565">
        <v>75.119399999999999</v>
      </c>
      <c r="H565">
        <v>9</v>
      </c>
      <c r="I565">
        <v>45</v>
      </c>
      <c r="J565">
        <v>4</v>
      </c>
      <c r="K565">
        <v>152</v>
      </c>
      <c r="L565">
        <v>59</v>
      </c>
      <c r="M565">
        <v>30</v>
      </c>
      <c r="N565">
        <v>1995</v>
      </c>
      <c r="O565">
        <v>0.27</v>
      </c>
      <c r="P565">
        <v>2.4700000000000002</v>
      </c>
      <c r="Q565">
        <v>1.4999999999999999E-2</v>
      </c>
      <c r="R565">
        <v>65</v>
      </c>
      <c r="S565">
        <v>700</v>
      </c>
      <c r="T565">
        <v>475</v>
      </c>
      <c r="U565">
        <v>275</v>
      </c>
      <c r="V565">
        <v>370</v>
      </c>
      <c r="W565">
        <v>155</v>
      </c>
    </row>
    <row r="566" spans="1:23">
      <c r="A566">
        <v>397.03795413120019</v>
      </c>
      <c r="B566">
        <v>77.000000000000014</v>
      </c>
      <c r="C566">
        <v>3.6094359466472739</v>
      </c>
      <c r="D566">
        <v>524.49599999999998</v>
      </c>
      <c r="E566">
        <v>690.49214094157321</v>
      </c>
      <c r="F566">
        <v>172.5804</v>
      </c>
      <c r="G566">
        <v>77.053200000000004</v>
      </c>
      <c r="H566">
        <v>9</v>
      </c>
      <c r="I566">
        <v>47</v>
      </c>
      <c r="J566">
        <v>4</v>
      </c>
      <c r="K566">
        <v>87</v>
      </c>
      <c r="L566">
        <v>64</v>
      </c>
      <c r="M566">
        <v>24</v>
      </c>
      <c r="N566">
        <v>1995</v>
      </c>
      <c r="O566">
        <v>0.27</v>
      </c>
      <c r="P566">
        <v>2.4700000000000002</v>
      </c>
      <c r="Q566">
        <v>1.4999999999999999E-2</v>
      </c>
      <c r="R566">
        <v>65</v>
      </c>
      <c r="S566">
        <v>700</v>
      </c>
      <c r="T566">
        <v>475</v>
      </c>
      <c r="U566">
        <v>275</v>
      </c>
      <c r="V566">
        <v>370</v>
      </c>
      <c r="W566">
        <v>155</v>
      </c>
    </row>
    <row r="567" spans="1:23">
      <c r="A567">
        <v>396.17191856913291</v>
      </c>
      <c r="B567">
        <v>77</v>
      </c>
      <c r="C567">
        <v>3.6015628960830259</v>
      </c>
      <c r="D567">
        <v>412.21800000000002</v>
      </c>
      <c r="E567">
        <v>691.65177042890161</v>
      </c>
      <c r="F567">
        <v>169.85298</v>
      </c>
      <c r="G567">
        <v>76.909469999999999</v>
      </c>
      <c r="H567">
        <v>53</v>
      </c>
      <c r="I567">
        <v>56</v>
      </c>
      <c r="J567">
        <v>11</v>
      </c>
      <c r="K567">
        <v>82</v>
      </c>
      <c r="L567">
        <v>57</v>
      </c>
      <c r="M567">
        <v>38</v>
      </c>
      <c r="N567">
        <v>1995</v>
      </c>
      <c r="O567">
        <v>0.27</v>
      </c>
      <c r="P567">
        <v>2.4700000000000002</v>
      </c>
      <c r="Q567">
        <v>1.4999999999999999E-2</v>
      </c>
      <c r="R567">
        <v>65</v>
      </c>
      <c r="S567">
        <v>700</v>
      </c>
      <c r="T567">
        <v>475</v>
      </c>
      <c r="U567">
        <v>275</v>
      </c>
      <c r="V567">
        <v>370</v>
      </c>
      <c r="W567">
        <v>155</v>
      </c>
    </row>
    <row r="568" spans="1:23">
      <c r="A568">
        <v>361.66725337340739</v>
      </c>
      <c r="B568">
        <v>70.652284263959416</v>
      </c>
      <c r="C568">
        <v>3.5832822674995768</v>
      </c>
      <c r="D568">
        <v>384.74567999999999</v>
      </c>
      <c r="E568">
        <v>687.1312203975458</v>
      </c>
      <c r="F568">
        <v>197.39397600000001</v>
      </c>
      <c r="G568">
        <v>70.124399999999994</v>
      </c>
      <c r="H568">
        <v>22</v>
      </c>
      <c r="I568">
        <v>54</v>
      </c>
      <c r="J568">
        <v>3</v>
      </c>
      <c r="K568">
        <v>152</v>
      </c>
      <c r="L568">
        <v>59</v>
      </c>
      <c r="M568">
        <v>30</v>
      </c>
      <c r="N568">
        <v>1995</v>
      </c>
      <c r="O568">
        <v>0.27</v>
      </c>
      <c r="P568">
        <v>2.4700000000000002</v>
      </c>
      <c r="Q568">
        <v>1.4999999999999999E-2</v>
      </c>
      <c r="R568">
        <v>65</v>
      </c>
      <c r="S568">
        <v>700</v>
      </c>
      <c r="T568">
        <v>475</v>
      </c>
      <c r="U568">
        <v>275</v>
      </c>
      <c r="V568">
        <v>370</v>
      </c>
      <c r="W568">
        <v>155</v>
      </c>
    </row>
    <row r="569" spans="1:23">
      <c r="A569">
        <v>428.55034207833512</v>
      </c>
      <c r="B569">
        <v>84</v>
      </c>
      <c r="C569">
        <v>3.571252850652793</v>
      </c>
      <c r="D569">
        <v>534.50850000000003</v>
      </c>
      <c r="E569">
        <v>686.93311670276807</v>
      </c>
      <c r="F569">
        <v>187.6593</v>
      </c>
      <c r="G569">
        <v>83.087999999999994</v>
      </c>
      <c r="H569">
        <v>8</v>
      </c>
      <c r="I569">
        <v>55</v>
      </c>
      <c r="J569">
        <v>5</v>
      </c>
      <c r="K569">
        <v>81</v>
      </c>
      <c r="L569">
        <v>58</v>
      </c>
      <c r="M569">
        <v>24</v>
      </c>
      <c r="N569">
        <v>1995</v>
      </c>
      <c r="O569">
        <v>0.27</v>
      </c>
      <c r="P569">
        <v>2.4700000000000002</v>
      </c>
      <c r="Q569">
        <v>1.4999999999999999E-2</v>
      </c>
      <c r="R569">
        <v>65</v>
      </c>
      <c r="S569">
        <v>700</v>
      </c>
      <c r="T569">
        <v>475</v>
      </c>
      <c r="U569">
        <v>275</v>
      </c>
      <c r="V569">
        <v>370</v>
      </c>
      <c r="W569">
        <v>155</v>
      </c>
    </row>
    <row r="570" spans="1:23">
      <c r="A570">
        <v>373.71212456949439</v>
      </c>
      <c r="B570">
        <v>73.500000000000014</v>
      </c>
      <c r="C570">
        <v>3.5591630911380419</v>
      </c>
      <c r="D570">
        <v>483.76799999999997</v>
      </c>
      <c r="E570">
        <v>687.90873293569268</v>
      </c>
      <c r="F570">
        <v>203.10120000000001</v>
      </c>
      <c r="G570">
        <v>72.475200000000001</v>
      </c>
      <c r="H570">
        <v>22</v>
      </c>
      <c r="I570">
        <v>56</v>
      </c>
      <c r="J570">
        <v>3</v>
      </c>
      <c r="K570">
        <v>87</v>
      </c>
      <c r="L570">
        <v>57</v>
      </c>
      <c r="M570">
        <v>28</v>
      </c>
      <c r="N570">
        <v>1995</v>
      </c>
      <c r="O570">
        <v>0.27</v>
      </c>
      <c r="P570">
        <v>2.4700000000000002</v>
      </c>
      <c r="Q570">
        <v>1.4999999999999999E-2</v>
      </c>
      <c r="R570">
        <v>65</v>
      </c>
      <c r="S570">
        <v>700</v>
      </c>
      <c r="T570">
        <v>475</v>
      </c>
      <c r="U570">
        <v>275</v>
      </c>
      <c r="V570">
        <v>370</v>
      </c>
      <c r="W570">
        <v>155</v>
      </c>
    </row>
    <row r="571" spans="1:23">
      <c r="A571">
        <v>365.30263237772181</v>
      </c>
      <c r="B571">
        <v>73.5</v>
      </c>
      <c r="C571">
        <v>3.479072689311637</v>
      </c>
      <c r="D571">
        <v>510.66</v>
      </c>
      <c r="E571">
        <v>688.84284512988529</v>
      </c>
      <c r="F571">
        <v>193.8348</v>
      </c>
      <c r="G571">
        <v>70.862399999999994</v>
      </c>
      <c r="H571">
        <v>22</v>
      </c>
      <c r="I571">
        <v>53</v>
      </c>
      <c r="J571">
        <v>3</v>
      </c>
      <c r="K571">
        <v>82</v>
      </c>
      <c r="L571">
        <v>60</v>
      </c>
      <c r="M571">
        <v>37</v>
      </c>
      <c r="N571">
        <v>1995</v>
      </c>
      <c r="O571">
        <v>0.27</v>
      </c>
      <c r="P571">
        <v>2.4700000000000002</v>
      </c>
      <c r="Q571">
        <v>1.4999999999999999E-2</v>
      </c>
      <c r="R571">
        <v>65</v>
      </c>
      <c r="S571">
        <v>700</v>
      </c>
      <c r="T571">
        <v>475</v>
      </c>
      <c r="U571">
        <v>275</v>
      </c>
      <c r="V571">
        <v>370</v>
      </c>
      <c r="W571">
        <v>155</v>
      </c>
    </row>
    <row r="572" spans="1:23">
      <c r="A572">
        <v>382.52355561764898</v>
      </c>
      <c r="B572">
        <v>77</v>
      </c>
      <c r="C572">
        <v>3.4774868692513561</v>
      </c>
      <c r="D572">
        <v>503.47199999999998</v>
      </c>
      <c r="E572">
        <v>689.15064440751257</v>
      </c>
      <c r="F572">
        <v>163.43279999999999</v>
      </c>
      <c r="G572">
        <v>74.209199999999996</v>
      </c>
      <c r="H572">
        <v>6</v>
      </c>
      <c r="I572">
        <v>55</v>
      </c>
      <c r="J572">
        <v>6</v>
      </c>
      <c r="K572">
        <v>87</v>
      </c>
      <c r="L572">
        <v>58</v>
      </c>
      <c r="M572">
        <v>27</v>
      </c>
      <c r="N572">
        <v>1995</v>
      </c>
      <c r="O572">
        <v>0.27</v>
      </c>
      <c r="P572">
        <v>2.4700000000000002</v>
      </c>
      <c r="Q572">
        <v>1.4999999999999999E-2</v>
      </c>
      <c r="R572">
        <v>65</v>
      </c>
      <c r="S572">
        <v>700</v>
      </c>
      <c r="T572">
        <v>475</v>
      </c>
      <c r="U572">
        <v>275</v>
      </c>
      <c r="V572">
        <v>370</v>
      </c>
      <c r="W572">
        <v>155</v>
      </c>
    </row>
    <row r="573" spans="1:23">
      <c r="A573">
        <v>368.16593879996611</v>
      </c>
      <c r="B573">
        <v>74.13959390862945</v>
      </c>
      <c r="C573">
        <v>3.4760934552405129</v>
      </c>
      <c r="D573">
        <v>395.99481600000001</v>
      </c>
      <c r="E573">
        <v>692.46007375912859</v>
      </c>
      <c r="F573">
        <v>202.6043712</v>
      </c>
      <c r="G573">
        <v>71.488393200000004</v>
      </c>
      <c r="H573">
        <v>22</v>
      </c>
      <c r="I573">
        <v>56</v>
      </c>
      <c r="J573">
        <v>3</v>
      </c>
      <c r="K573">
        <v>151</v>
      </c>
      <c r="L573">
        <v>57</v>
      </c>
      <c r="M573">
        <v>29</v>
      </c>
      <c r="N573">
        <v>1995</v>
      </c>
      <c r="O573">
        <v>0.27</v>
      </c>
      <c r="P573">
        <v>2.4700000000000002</v>
      </c>
      <c r="Q573">
        <v>1.4999999999999999E-2</v>
      </c>
      <c r="R573">
        <v>65</v>
      </c>
      <c r="S573">
        <v>700</v>
      </c>
      <c r="T573">
        <v>475</v>
      </c>
      <c r="U573">
        <v>275</v>
      </c>
      <c r="V573">
        <v>370</v>
      </c>
      <c r="W573">
        <v>155</v>
      </c>
    </row>
    <row r="574" spans="1:23">
      <c r="A574">
        <v>513.90014166182937</v>
      </c>
      <c r="B574">
        <v>105</v>
      </c>
      <c r="C574">
        <v>3.4260009444121962</v>
      </c>
      <c r="D574">
        <v>444.87959999999998</v>
      </c>
      <c r="E574">
        <v>691.05560165975112</v>
      </c>
      <c r="F574">
        <v>157.08439999999999</v>
      </c>
      <c r="G574">
        <v>99.748000000000005</v>
      </c>
      <c r="H574">
        <v>39</v>
      </c>
      <c r="I574">
        <v>56</v>
      </c>
      <c r="J574">
        <v>11</v>
      </c>
      <c r="K574">
        <v>320</v>
      </c>
      <c r="L574">
        <v>55</v>
      </c>
      <c r="M574">
        <v>39</v>
      </c>
      <c r="N574">
        <v>1995</v>
      </c>
      <c r="O574">
        <v>0.27</v>
      </c>
      <c r="P574">
        <v>2.4700000000000002</v>
      </c>
      <c r="Q574">
        <v>1.4999999999999999E-2</v>
      </c>
      <c r="R574">
        <v>65</v>
      </c>
      <c r="S574">
        <v>700</v>
      </c>
      <c r="T574">
        <v>475</v>
      </c>
      <c r="U574">
        <v>275</v>
      </c>
      <c r="V574">
        <v>370</v>
      </c>
      <c r="W574">
        <v>155</v>
      </c>
    </row>
    <row r="575" spans="1:23">
      <c r="A575">
        <v>374.23402204277522</v>
      </c>
      <c r="B575">
        <v>77</v>
      </c>
      <c r="C575">
        <v>3.4021274731161379</v>
      </c>
      <c r="D575">
        <v>525.26300000000003</v>
      </c>
      <c r="E575">
        <v>690.4508690986504</v>
      </c>
      <c r="F575">
        <v>155.67205000000001</v>
      </c>
      <c r="G575">
        <v>72.626820000000009</v>
      </c>
      <c r="H575">
        <v>6</v>
      </c>
      <c r="I575">
        <v>52</v>
      </c>
      <c r="J575">
        <v>6</v>
      </c>
      <c r="K575">
        <v>82</v>
      </c>
      <c r="L575">
        <v>61</v>
      </c>
      <c r="M575">
        <v>36</v>
      </c>
      <c r="N575">
        <v>1995</v>
      </c>
      <c r="O575">
        <v>0.27</v>
      </c>
      <c r="P575">
        <v>2.4700000000000002</v>
      </c>
      <c r="Q575">
        <v>1.4999999999999999E-2</v>
      </c>
      <c r="R575">
        <v>65</v>
      </c>
      <c r="S575">
        <v>700</v>
      </c>
      <c r="T575">
        <v>475</v>
      </c>
      <c r="U575">
        <v>275</v>
      </c>
      <c r="V575">
        <v>370</v>
      </c>
      <c r="W575">
        <v>155</v>
      </c>
    </row>
    <row r="576" spans="1:23">
      <c r="A576">
        <v>375.44927731572</v>
      </c>
      <c r="B576">
        <v>77.639593908629436</v>
      </c>
      <c r="C576">
        <v>3.3850575574918471</v>
      </c>
      <c r="D576">
        <v>406.65081600000002</v>
      </c>
      <c r="E576">
        <v>687.56977527560707</v>
      </c>
      <c r="F576">
        <v>159.98037120000001</v>
      </c>
      <c r="G576">
        <v>72.805348800000004</v>
      </c>
      <c r="H576">
        <v>6</v>
      </c>
      <c r="I576">
        <v>54</v>
      </c>
      <c r="J576">
        <v>6</v>
      </c>
      <c r="K576">
        <v>151</v>
      </c>
      <c r="L576">
        <v>59</v>
      </c>
      <c r="M576">
        <v>28</v>
      </c>
      <c r="N576">
        <v>1995</v>
      </c>
      <c r="O576">
        <v>0.27</v>
      </c>
      <c r="P576">
        <v>2.4700000000000002</v>
      </c>
      <c r="Q576">
        <v>1.4999999999999999E-2</v>
      </c>
      <c r="R576">
        <v>65</v>
      </c>
      <c r="S576">
        <v>700</v>
      </c>
      <c r="T576">
        <v>475</v>
      </c>
      <c r="U576">
        <v>275</v>
      </c>
      <c r="V576">
        <v>370</v>
      </c>
      <c r="W576">
        <v>155</v>
      </c>
    </row>
    <row r="577" spans="1:23">
      <c r="A577">
        <v>367.05977039407537</v>
      </c>
      <c r="B577">
        <v>77</v>
      </c>
      <c r="C577">
        <v>3.3369070035825041</v>
      </c>
      <c r="D577">
        <v>483.01600000000008</v>
      </c>
      <c r="E577">
        <v>690.45457781734649</v>
      </c>
      <c r="F577">
        <v>156.70140000000001</v>
      </c>
      <c r="G577">
        <v>71.2346</v>
      </c>
      <c r="H577">
        <v>7</v>
      </c>
      <c r="I577">
        <v>55</v>
      </c>
      <c r="J577">
        <v>5</v>
      </c>
      <c r="K577">
        <v>87</v>
      </c>
      <c r="L577">
        <v>58</v>
      </c>
      <c r="M577">
        <v>26</v>
      </c>
      <c r="N577">
        <v>1995</v>
      </c>
      <c r="O577">
        <v>0.27</v>
      </c>
      <c r="P577">
        <v>2.4700000000000002</v>
      </c>
      <c r="Q577">
        <v>1.4999999999999999E-2</v>
      </c>
      <c r="R577">
        <v>65</v>
      </c>
      <c r="S577">
        <v>700</v>
      </c>
      <c r="T577">
        <v>475</v>
      </c>
      <c r="U577">
        <v>275</v>
      </c>
      <c r="V577">
        <v>370</v>
      </c>
      <c r="W577">
        <v>155</v>
      </c>
    </row>
    <row r="578" spans="1:23">
      <c r="A578">
        <v>343.53031082185788</v>
      </c>
      <c r="B578">
        <v>72.744</v>
      </c>
      <c r="C578">
        <v>3.3057189263073319</v>
      </c>
      <c r="D578">
        <v>843.28200000000004</v>
      </c>
      <c r="E578">
        <v>679.49614176516275</v>
      </c>
      <c r="F578">
        <v>656.96400000000006</v>
      </c>
      <c r="G578">
        <v>66.468820000000008</v>
      </c>
      <c r="H578">
        <v>40</v>
      </c>
      <c r="I578">
        <v>59</v>
      </c>
      <c r="J578">
        <v>11</v>
      </c>
      <c r="K578">
        <v>81</v>
      </c>
      <c r="L578">
        <v>61</v>
      </c>
      <c r="M578">
        <v>22</v>
      </c>
      <c r="N578">
        <v>1995</v>
      </c>
      <c r="O578">
        <v>0.27</v>
      </c>
      <c r="P578">
        <v>2.4700000000000002</v>
      </c>
      <c r="Q578">
        <v>1.4999999999999999E-2</v>
      </c>
      <c r="R578">
        <v>65</v>
      </c>
      <c r="S578">
        <v>700</v>
      </c>
      <c r="T578">
        <v>475</v>
      </c>
      <c r="U578">
        <v>275</v>
      </c>
      <c r="V578">
        <v>370</v>
      </c>
      <c r="W578">
        <v>155</v>
      </c>
    </row>
    <row r="579" spans="1:23">
      <c r="A579">
        <v>460.36845373929799</v>
      </c>
      <c r="B579">
        <v>98.000000000000014</v>
      </c>
      <c r="C579">
        <v>3.288346098137843</v>
      </c>
      <c r="D579">
        <v>506.13407999999998</v>
      </c>
      <c r="E579">
        <v>690.29875518672202</v>
      </c>
      <c r="F579">
        <v>197.78688</v>
      </c>
      <c r="G579">
        <v>89.339040000000011</v>
      </c>
      <c r="H579">
        <v>8</v>
      </c>
      <c r="I579">
        <v>49</v>
      </c>
      <c r="J579">
        <v>6</v>
      </c>
      <c r="K579">
        <v>320</v>
      </c>
      <c r="L579">
        <v>61</v>
      </c>
      <c r="M579">
        <v>35</v>
      </c>
      <c r="N579">
        <v>1995</v>
      </c>
      <c r="O579">
        <v>0.27</v>
      </c>
      <c r="P579">
        <v>2.4700000000000002</v>
      </c>
      <c r="Q579">
        <v>1.4999999999999999E-2</v>
      </c>
      <c r="R579">
        <v>65</v>
      </c>
      <c r="S579">
        <v>700</v>
      </c>
      <c r="T579">
        <v>475</v>
      </c>
      <c r="U579">
        <v>275</v>
      </c>
      <c r="V579">
        <v>370</v>
      </c>
      <c r="W579">
        <v>155</v>
      </c>
    </row>
    <row r="580" spans="1:23">
      <c r="A580">
        <v>393.1940255989461</v>
      </c>
      <c r="B580">
        <v>84</v>
      </c>
      <c r="C580">
        <v>3.276616879991217</v>
      </c>
      <c r="D580">
        <v>487.98399999999998</v>
      </c>
      <c r="E580">
        <v>691.49015188299904</v>
      </c>
      <c r="F580">
        <v>170.11680000000001</v>
      </c>
      <c r="G580">
        <v>76.328000000000003</v>
      </c>
      <c r="H580">
        <v>6</v>
      </c>
      <c r="I580">
        <v>50</v>
      </c>
      <c r="J580">
        <v>7</v>
      </c>
      <c r="K580">
        <v>81</v>
      </c>
      <c r="L580">
        <v>56</v>
      </c>
      <c r="M580">
        <v>24</v>
      </c>
      <c r="N580">
        <v>1995</v>
      </c>
      <c r="O580">
        <v>0.27</v>
      </c>
      <c r="P580">
        <v>2.4700000000000002</v>
      </c>
      <c r="Q580">
        <v>1.4999999999999999E-2</v>
      </c>
      <c r="R580">
        <v>65</v>
      </c>
      <c r="S580">
        <v>700</v>
      </c>
      <c r="T580">
        <v>475</v>
      </c>
      <c r="U580">
        <v>275</v>
      </c>
      <c r="V580">
        <v>370</v>
      </c>
      <c r="W580">
        <v>155</v>
      </c>
    </row>
    <row r="581" spans="1:23">
      <c r="A581">
        <v>420.91425191382012</v>
      </c>
      <c r="B581">
        <v>90.633846153846179</v>
      </c>
      <c r="C581">
        <v>3.2508824114066419</v>
      </c>
      <c r="D581">
        <v>466.04220000000009</v>
      </c>
      <c r="E581">
        <v>689.77615554296938</v>
      </c>
      <c r="F581">
        <v>178.48349999999999</v>
      </c>
      <c r="G581">
        <v>81.670908000000011</v>
      </c>
      <c r="H581">
        <v>8</v>
      </c>
      <c r="I581">
        <v>52</v>
      </c>
      <c r="J581">
        <v>5</v>
      </c>
      <c r="K581">
        <v>150</v>
      </c>
      <c r="L581">
        <v>62</v>
      </c>
      <c r="M581">
        <v>41</v>
      </c>
      <c r="N581">
        <v>1995</v>
      </c>
      <c r="O581">
        <v>0.27</v>
      </c>
      <c r="P581">
        <v>2.4700000000000002</v>
      </c>
      <c r="Q581">
        <v>1.4999999999999999E-2</v>
      </c>
      <c r="R581">
        <v>65</v>
      </c>
      <c r="S581">
        <v>700</v>
      </c>
      <c r="T581">
        <v>475</v>
      </c>
      <c r="U581">
        <v>275</v>
      </c>
      <c r="V581">
        <v>370</v>
      </c>
      <c r="W581">
        <v>155</v>
      </c>
    </row>
    <row r="582" spans="1:23">
      <c r="A582">
        <v>376.68702806511197</v>
      </c>
      <c r="B582">
        <v>84</v>
      </c>
      <c r="C582">
        <v>3.139058567209267</v>
      </c>
      <c r="D582">
        <v>461.64</v>
      </c>
      <c r="E582">
        <v>687.05031785810263</v>
      </c>
      <c r="F582">
        <v>160.23779999999999</v>
      </c>
      <c r="G582">
        <v>73.034999999999997</v>
      </c>
      <c r="H582">
        <v>7</v>
      </c>
      <c r="I582">
        <v>57</v>
      </c>
      <c r="J582">
        <v>5</v>
      </c>
      <c r="K582">
        <v>81</v>
      </c>
      <c r="L582">
        <v>56</v>
      </c>
      <c r="M582">
        <v>24</v>
      </c>
      <c r="N582">
        <v>1995</v>
      </c>
      <c r="O582">
        <v>0.27</v>
      </c>
      <c r="P582">
        <v>2.4700000000000002</v>
      </c>
      <c r="Q582">
        <v>1.4999999999999999E-2</v>
      </c>
      <c r="R582">
        <v>65</v>
      </c>
      <c r="S582">
        <v>700</v>
      </c>
      <c r="T582">
        <v>475</v>
      </c>
      <c r="U582">
        <v>275</v>
      </c>
      <c r="V582">
        <v>370</v>
      </c>
      <c r="W582">
        <v>155</v>
      </c>
    </row>
    <row r="583" spans="1:23">
      <c r="A583">
        <v>430.9312414908498</v>
      </c>
      <c r="B583">
        <v>98.000000000000014</v>
      </c>
      <c r="C583">
        <v>3.078080296363213</v>
      </c>
      <c r="D583">
        <v>483.04271999999997</v>
      </c>
      <c r="E583">
        <v>690.69211618257259</v>
      </c>
      <c r="F583">
        <v>188.89272</v>
      </c>
      <c r="G583">
        <v>83.635440000000003</v>
      </c>
      <c r="H583">
        <v>9</v>
      </c>
      <c r="I583">
        <v>53</v>
      </c>
      <c r="J583">
        <v>4</v>
      </c>
      <c r="K583">
        <v>320</v>
      </c>
      <c r="L583">
        <v>58</v>
      </c>
      <c r="M583">
        <v>33</v>
      </c>
      <c r="N583">
        <v>1995</v>
      </c>
      <c r="O583">
        <v>0.27</v>
      </c>
      <c r="P583">
        <v>2.4700000000000002</v>
      </c>
      <c r="Q583">
        <v>1.4999999999999999E-2</v>
      </c>
      <c r="R583">
        <v>65</v>
      </c>
      <c r="S583">
        <v>700</v>
      </c>
      <c r="T583">
        <v>475</v>
      </c>
      <c r="U583">
        <v>275</v>
      </c>
      <c r="V583">
        <v>370</v>
      </c>
      <c r="W583">
        <v>155</v>
      </c>
    </row>
    <row r="584" spans="1:23">
      <c r="A584">
        <v>436.40075255104222</v>
      </c>
      <c r="B584">
        <v>99.714285714285708</v>
      </c>
      <c r="C584">
        <v>3.063558291547432</v>
      </c>
      <c r="D584">
        <v>494.81040000000002</v>
      </c>
      <c r="E584">
        <v>691.70124481327798</v>
      </c>
      <c r="F584">
        <v>188.42292</v>
      </c>
      <c r="G584">
        <v>84.720300000000009</v>
      </c>
      <c r="H584">
        <v>8</v>
      </c>
      <c r="I584">
        <v>56</v>
      </c>
      <c r="J584">
        <v>5</v>
      </c>
      <c r="K584">
        <v>321</v>
      </c>
      <c r="L584">
        <v>54</v>
      </c>
      <c r="M584">
        <v>25</v>
      </c>
      <c r="N584">
        <v>1995</v>
      </c>
      <c r="O584">
        <v>0.27</v>
      </c>
      <c r="P584">
        <v>2.4700000000000002</v>
      </c>
      <c r="Q584">
        <v>1.4999999999999999E-2</v>
      </c>
      <c r="R584">
        <v>65</v>
      </c>
      <c r="S584">
        <v>700</v>
      </c>
      <c r="T584">
        <v>475</v>
      </c>
      <c r="U584">
        <v>275</v>
      </c>
      <c r="V584">
        <v>370</v>
      </c>
      <c r="W584">
        <v>155</v>
      </c>
    </row>
    <row r="585" spans="1:23">
      <c r="A585">
        <v>434.64485272219491</v>
      </c>
      <c r="B585">
        <v>100.5846153846154</v>
      </c>
      <c r="C585">
        <v>3.0248303454970729</v>
      </c>
      <c r="D585">
        <v>478.62270000000001</v>
      </c>
      <c r="E585">
        <v>691.95484176368757</v>
      </c>
      <c r="F585">
        <v>182.67615000000001</v>
      </c>
      <c r="G585">
        <v>84.385260000000002</v>
      </c>
      <c r="H585">
        <v>8</v>
      </c>
      <c r="I585">
        <v>54</v>
      </c>
      <c r="J585">
        <v>5</v>
      </c>
      <c r="K585">
        <v>149</v>
      </c>
      <c r="L585">
        <v>59</v>
      </c>
      <c r="M585">
        <v>39</v>
      </c>
      <c r="N585">
        <v>1995</v>
      </c>
      <c r="O585">
        <v>0.27</v>
      </c>
      <c r="P585">
        <v>2.4700000000000002</v>
      </c>
      <c r="Q585">
        <v>1.4999999999999999E-2</v>
      </c>
      <c r="R585">
        <v>65</v>
      </c>
      <c r="S585">
        <v>700</v>
      </c>
      <c r="T585">
        <v>475</v>
      </c>
      <c r="U585">
        <v>275</v>
      </c>
      <c r="V585">
        <v>370</v>
      </c>
      <c r="W585">
        <v>155</v>
      </c>
    </row>
    <row r="586" spans="1:23">
      <c r="A586">
        <v>406.88202364361632</v>
      </c>
      <c r="B586">
        <v>94.500000000000014</v>
      </c>
      <c r="C586">
        <v>3.013940915878639</v>
      </c>
      <c r="D586">
        <v>438.2928</v>
      </c>
      <c r="E586">
        <v>691.83734439834029</v>
      </c>
      <c r="F586">
        <v>225.1728</v>
      </c>
      <c r="G586">
        <v>78.992639999999994</v>
      </c>
      <c r="H586">
        <v>22</v>
      </c>
      <c r="I586">
        <v>48</v>
      </c>
      <c r="J586">
        <v>4</v>
      </c>
      <c r="K586">
        <v>320</v>
      </c>
      <c r="L586">
        <v>62</v>
      </c>
      <c r="M586">
        <v>32</v>
      </c>
      <c r="N586">
        <v>1995</v>
      </c>
      <c r="O586">
        <v>0.27</v>
      </c>
      <c r="P586">
        <v>2.4700000000000002</v>
      </c>
      <c r="Q586">
        <v>1.4999999999999999E-2</v>
      </c>
      <c r="R586">
        <v>65</v>
      </c>
      <c r="S586">
        <v>700</v>
      </c>
      <c r="T586">
        <v>475</v>
      </c>
      <c r="U586">
        <v>275</v>
      </c>
      <c r="V586">
        <v>370</v>
      </c>
      <c r="W586">
        <v>155</v>
      </c>
    </row>
    <row r="587" spans="1:23">
      <c r="A587">
        <v>378.49175384189431</v>
      </c>
      <c r="B587">
        <v>87.92</v>
      </c>
      <c r="C587">
        <v>3.013469377722088</v>
      </c>
      <c r="D587">
        <v>428.47919999999999</v>
      </c>
      <c r="E587">
        <v>689.25863470147124</v>
      </c>
      <c r="F587">
        <v>163.8972</v>
      </c>
      <c r="G587">
        <v>73.429199999999994</v>
      </c>
      <c r="H587">
        <v>8</v>
      </c>
      <c r="I587">
        <v>60</v>
      </c>
      <c r="J587">
        <v>4</v>
      </c>
      <c r="K587">
        <v>275</v>
      </c>
      <c r="L587">
        <v>53</v>
      </c>
      <c r="M587">
        <v>3</v>
      </c>
      <c r="N587">
        <v>1995</v>
      </c>
      <c r="O587">
        <v>0.27</v>
      </c>
      <c r="P587">
        <v>2.4700000000000002</v>
      </c>
      <c r="Q587">
        <v>1.4999999999999999E-2</v>
      </c>
      <c r="R587">
        <v>65</v>
      </c>
      <c r="S587">
        <v>700</v>
      </c>
      <c r="T587">
        <v>475</v>
      </c>
      <c r="U587">
        <v>275</v>
      </c>
      <c r="V587">
        <v>370</v>
      </c>
      <c r="W587">
        <v>155</v>
      </c>
    </row>
    <row r="588" spans="1:23">
      <c r="A588">
        <v>388.93952299299872</v>
      </c>
      <c r="B588">
        <v>90.63384615384615</v>
      </c>
      <c r="C588">
        <v>3.0039293006826191</v>
      </c>
      <c r="D588">
        <v>413.80200000000002</v>
      </c>
      <c r="E588">
        <v>690.94747820598593</v>
      </c>
      <c r="F588">
        <v>158.94900000000001</v>
      </c>
      <c r="G588">
        <v>75.490920000000003</v>
      </c>
      <c r="H588">
        <v>6</v>
      </c>
      <c r="I588">
        <v>54</v>
      </c>
      <c r="J588">
        <v>6</v>
      </c>
      <c r="K588">
        <v>150</v>
      </c>
      <c r="L588">
        <v>60</v>
      </c>
      <c r="M588">
        <v>43</v>
      </c>
      <c r="N588">
        <v>1995</v>
      </c>
      <c r="O588">
        <v>0.27</v>
      </c>
      <c r="P588">
        <v>2.4700000000000002</v>
      </c>
      <c r="Q588">
        <v>1.4999999999999999E-2</v>
      </c>
      <c r="R588">
        <v>65</v>
      </c>
      <c r="S588">
        <v>700</v>
      </c>
      <c r="T588">
        <v>475</v>
      </c>
      <c r="U588">
        <v>275</v>
      </c>
      <c r="V588">
        <v>370</v>
      </c>
      <c r="W588">
        <v>155</v>
      </c>
    </row>
    <row r="589" spans="1:23">
      <c r="A589">
        <v>418.8755427759732</v>
      </c>
      <c r="B589">
        <v>98</v>
      </c>
      <c r="C589">
        <v>2.9919681626855228</v>
      </c>
      <c r="D589">
        <v>477.76060000000001</v>
      </c>
      <c r="E589">
        <v>691.52741866892791</v>
      </c>
      <c r="F589">
        <v>182.24510000000001</v>
      </c>
      <c r="G589">
        <v>81.314200000000014</v>
      </c>
      <c r="H589">
        <v>8</v>
      </c>
      <c r="I589">
        <v>54</v>
      </c>
      <c r="J589">
        <v>5</v>
      </c>
      <c r="K589">
        <v>66</v>
      </c>
      <c r="L589">
        <v>58</v>
      </c>
      <c r="M589">
        <v>23</v>
      </c>
      <c r="N589">
        <v>1995</v>
      </c>
      <c r="O589">
        <v>0.27</v>
      </c>
      <c r="P589">
        <v>2.4700000000000002</v>
      </c>
      <c r="Q589">
        <v>1.4999999999999999E-2</v>
      </c>
      <c r="R589">
        <v>65</v>
      </c>
      <c r="S589">
        <v>700</v>
      </c>
      <c r="T589">
        <v>475</v>
      </c>
      <c r="U589">
        <v>275</v>
      </c>
      <c r="V589">
        <v>370</v>
      </c>
      <c r="W589">
        <v>155</v>
      </c>
    </row>
    <row r="590" spans="1:23">
      <c r="A590">
        <v>418.5473449814009</v>
      </c>
      <c r="B590">
        <v>98.000000000000014</v>
      </c>
      <c r="C590">
        <v>2.9896238927242922</v>
      </c>
      <c r="D590">
        <v>452.04255999999998</v>
      </c>
      <c r="E590">
        <v>690.00829875518662</v>
      </c>
      <c r="F590">
        <v>177.50255999999999</v>
      </c>
      <c r="G590">
        <v>81.216800000000006</v>
      </c>
      <c r="H590">
        <v>6</v>
      </c>
      <c r="I590">
        <v>53</v>
      </c>
      <c r="J590">
        <v>7</v>
      </c>
      <c r="K590">
        <v>320</v>
      </c>
      <c r="L590">
        <v>58</v>
      </c>
      <c r="M590">
        <v>35</v>
      </c>
      <c r="N590">
        <v>1995</v>
      </c>
      <c r="O590">
        <v>0.27</v>
      </c>
      <c r="P590">
        <v>2.4700000000000002</v>
      </c>
      <c r="Q590">
        <v>1.4999999999999999E-2</v>
      </c>
      <c r="R590">
        <v>65</v>
      </c>
      <c r="S590">
        <v>700</v>
      </c>
      <c r="T590">
        <v>475</v>
      </c>
      <c r="U590">
        <v>275</v>
      </c>
      <c r="V590">
        <v>370</v>
      </c>
      <c r="W590">
        <v>155</v>
      </c>
    </row>
    <row r="591" spans="1:23">
      <c r="A591">
        <v>417.80830052644808</v>
      </c>
      <c r="B591">
        <v>98.000000000000014</v>
      </c>
      <c r="C591">
        <v>2.984345003760343</v>
      </c>
      <c r="D591">
        <v>519.63300000000004</v>
      </c>
      <c r="E591">
        <v>686.25929985907896</v>
      </c>
      <c r="F591">
        <v>179.24950000000001</v>
      </c>
      <c r="G591">
        <v>80.990399999999994</v>
      </c>
      <c r="H591">
        <v>8</v>
      </c>
      <c r="I591">
        <v>53</v>
      </c>
      <c r="J591">
        <v>5</v>
      </c>
      <c r="K591">
        <v>83</v>
      </c>
      <c r="L591">
        <v>60</v>
      </c>
      <c r="M591">
        <v>29</v>
      </c>
      <c r="N591">
        <v>1995</v>
      </c>
      <c r="O591">
        <v>0.27</v>
      </c>
      <c r="P591">
        <v>2.4700000000000002</v>
      </c>
      <c r="Q591">
        <v>1.4999999999999999E-2</v>
      </c>
      <c r="R591">
        <v>65</v>
      </c>
      <c r="S591">
        <v>700</v>
      </c>
      <c r="T591">
        <v>475</v>
      </c>
      <c r="U591">
        <v>275</v>
      </c>
      <c r="V591">
        <v>370</v>
      </c>
      <c r="W591">
        <v>155</v>
      </c>
    </row>
    <row r="592" spans="1:23">
      <c r="A592">
        <v>368.77763693101087</v>
      </c>
      <c r="B592">
        <v>86.744</v>
      </c>
      <c r="C592">
        <v>2.9759331579326251</v>
      </c>
      <c r="D592">
        <v>839.08223999999996</v>
      </c>
      <c r="E592">
        <v>684.70705394190873</v>
      </c>
      <c r="F592">
        <v>701.27423999999996</v>
      </c>
      <c r="G592">
        <v>71.455680000000001</v>
      </c>
      <c r="H592">
        <v>40</v>
      </c>
      <c r="I592">
        <v>58</v>
      </c>
      <c r="J592">
        <v>12</v>
      </c>
      <c r="K592">
        <v>320</v>
      </c>
      <c r="L592">
        <v>60</v>
      </c>
      <c r="M592">
        <v>34</v>
      </c>
      <c r="N592">
        <v>1995</v>
      </c>
      <c r="O592">
        <v>0.27</v>
      </c>
      <c r="P592">
        <v>2.4700000000000002</v>
      </c>
      <c r="Q592">
        <v>1.4999999999999999E-2</v>
      </c>
      <c r="R592">
        <v>65</v>
      </c>
      <c r="S592">
        <v>700</v>
      </c>
      <c r="T592">
        <v>475</v>
      </c>
      <c r="U592">
        <v>275</v>
      </c>
      <c r="V592">
        <v>370</v>
      </c>
      <c r="W592">
        <v>155</v>
      </c>
    </row>
    <row r="593" spans="1:23">
      <c r="A593">
        <v>431.7963175963668</v>
      </c>
      <c r="B593">
        <v>102.2352941176471</v>
      </c>
      <c r="C593">
        <v>2.956488020366379</v>
      </c>
      <c r="D593">
        <v>528.70560000000012</v>
      </c>
      <c r="E593">
        <v>689.84701375022519</v>
      </c>
      <c r="F593">
        <v>184.48171199999999</v>
      </c>
      <c r="G593">
        <v>83.784000000000006</v>
      </c>
      <c r="H593">
        <v>8</v>
      </c>
      <c r="I593">
        <v>55</v>
      </c>
      <c r="J593">
        <v>5</v>
      </c>
      <c r="K593">
        <v>110</v>
      </c>
      <c r="L593">
        <v>58</v>
      </c>
      <c r="M593">
        <v>25</v>
      </c>
      <c r="N593">
        <v>1995</v>
      </c>
      <c r="O593">
        <v>0.27</v>
      </c>
      <c r="P593">
        <v>2.4700000000000002</v>
      </c>
      <c r="Q593">
        <v>1.4999999999999999E-2</v>
      </c>
      <c r="R593">
        <v>65</v>
      </c>
      <c r="S593">
        <v>700</v>
      </c>
      <c r="T593">
        <v>475</v>
      </c>
      <c r="U593">
        <v>275</v>
      </c>
      <c r="V593">
        <v>370</v>
      </c>
      <c r="W593">
        <v>155</v>
      </c>
    </row>
    <row r="594" spans="1:23">
      <c r="A594">
        <v>411.41541294889657</v>
      </c>
      <c r="B594">
        <v>98</v>
      </c>
      <c r="C594">
        <v>2.9386815210635482</v>
      </c>
      <c r="D594">
        <v>512.13600000000008</v>
      </c>
      <c r="E594">
        <v>689.23356781689108</v>
      </c>
      <c r="F594">
        <v>176.25200000000001</v>
      </c>
      <c r="G594">
        <v>79.816000000000003</v>
      </c>
      <c r="H594">
        <v>8</v>
      </c>
      <c r="I594">
        <v>52</v>
      </c>
      <c r="J594">
        <v>5</v>
      </c>
      <c r="K594">
        <v>64</v>
      </c>
      <c r="L594">
        <v>61</v>
      </c>
      <c r="M594">
        <v>28</v>
      </c>
      <c r="N594">
        <v>1995</v>
      </c>
      <c r="O594">
        <v>0.27</v>
      </c>
      <c r="P594">
        <v>2.4700000000000002</v>
      </c>
      <c r="Q594">
        <v>1.4999999999999999E-2</v>
      </c>
      <c r="R594">
        <v>65</v>
      </c>
      <c r="S594">
        <v>700</v>
      </c>
      <c r="T594">
        <v>475</v>
      </c>
      <c r="U594">
        <v>275</v>
      </c>
      <c r="V594">
        <v>370</v>
      </c>
      <c r="W594">
        <v>155</v>
      </c>
    </row>
    <row r="595" spans="1:23">
      <c r="A595">
        <v>411.41541294889657</v>
      </c>
      <c r="B595">
        <v>98</v>
      </c>
      <c r="C595">
        <v>2.9386815210635482</v>
      </c>
      <c r="D595">
        <v>461.57920000000013</v>
      </c>
      <c r="E595">
        <v>689.23356781689108</v>
      </c>
      <c r="F595">
        <v>176.25200000000001</v>
      </c>
      <c r="G595">
        <v>79.816000000000003</v>
      </c>
      <c r="H595">
        <v>8</v>
      </c>
      <c r="I595">
        <v>52</v>
      </c>
      <c r="J595">
        <v>5</v>
      </c>
      <c r="K595">
        <v>72</v>
      </c>
      <c r="L595">
        <v>61</v>
      </c>
      <c r="M595">
        <v>28</v>
      </c>
      <c r="N595">
        <v>1995</v>
      </c>
      <c r="O595">
        <v>0.27</v>
      </c>
      <c r="P595">
        <v>2.4700000000000002</v>
      </c>
      <c r="Q595">
        <v>1.4999999999999999E-2</v>
      </c>
      <c r="R595">
        <v>65</v>
      </c>
      <c r="S595">
        <v>700</v>
      </c>
      <c r="T595">
        <v>475</v>
      </c>
      <c r="U595">
        <v>275</v>
      </c>
      <c r="V595">
        <v>370</v>
      </c>
      <c r="W595">
        <v>155</v>
      </c>
    </row>
    <row r="596" spans="1:23">
      <c r="A596">
        <v>409.95022919468403</v>
      </c>
      <c r="B596">
        <v>98</v>
      </c>
      <c r="C596">
        <v>2.928215922819172</v>
      </c>
      <c r="D596">
        <v>511.11120000000011</v>
      </c>
      <c r="E596">
        <v>686.59328338343926</v>
      </c>
      <c r="F596">
        <v>176.0812</v>
      </c>
      <c r="G596">
        <v>79.474400000000003</v>
      </c>
      <c r="H596">
        <v>8</v>
      </c>
      <c r="I596">
        <v>52</v>
      </c>
      <c r="J596">
        <v>5</v>
      </c>
      <c r="K596">
        <v>80</v>
      </c>
      <c r="L596">
        <v>61</v>
      </c>
      <c r="M596">
        <v>28</v>
      </c>
      <c r="N596">
        <v>1995</v>
      </c>
      <c r="O596">
        <v>0.27</v>
      </c>
      <c r="P596">
        <v>2.4700000000000002</v>
      </c>
      <c r="Q596">
        <v>1.4999999999999999E-2</v>
      </c>
      <c r="R596">
        <v>65</v>
      </c>
      <c r="S596">
        <v>700</v>
      </c>
      <c r="T596">
        <v>475</v>
      </c>
      <c r="U596">
        <v>275</v>
      </c>
      <c r="V596">
        <v>370</v>
      </c>
      <c r="W596">
        <v>155</v>
      </c>
    </row>
    <row r="597" spans="1:23">
      <c r="A597">
        <v>411.16868343675861</v>
      </c>
      <c r="B597">
        <v>99.714285714285708</v>
      </c>
      <c r="C597">
        <v>2.886427720401314</v>
      </c>
      <c r="D597">
        <v>468.255</v>
      </c>
      <c r="E597">
        <v>688.63070539419095</v>
      </c>
      <c r="F597">
        <v>178.38495</v>
      </c>
      <c r="G597">
        <v>79.754999999999995</v>
      </c>
      <c r="H597">
        <v>9</v>
      </c>
      <c r="I597">
        <v>50</v>
      </c>
      <c r="J597">
        <v>4</v>
      </c>
      <c r="K597">
        <v>321</v>
      </c>
      <c r="L597">
        <v>60</v>
      </c>
      <c r="M597">
        <v>21</v>
      </c>
      <c r="N597">
        <v>1995</v>
      </c>
      <c r="O597">
        <v>0.27</v>
      </c>
      <c r="P597">
        <v>2.4700000000000002</v>
      </c>
      <c r="Q597">
        <v>1.4999999999999999E-2</v>
      </c>
      <c r="R597">
        <v>65</v>
      </c>
      <c r="S597">
        <v>700</v>
      </c>
      <c r="T597">
        <v>475</v>
      </c>
      <c r="U597">
        <v>275</v>
      </c>
      <c r="V597">
        <v>370</v>
      </c>
      <c r="W597">
        <v>155</v>
      </c>
    </row>
    <row r="598" spans="1:23">
      <c r="A598">
        <v>402.22386259484881</v>
      </c>
      <c r="B598">
        <v>98</v>
      </c>
      <c r="C598">
        <v>2.8730275899632058</v>
      </c>
      <c r="D598">
        <v>428.88384000000002</v>
      </c>
      <c r="E598">
        <v>691.39917012448143</v>
      </c>
      <c r="F598">
        <v>168.47783999999999</v>
      </c>
      <c r="G598">
        <v>78.078960000000009</v>
      </c>
      <c r="H598">
        <v>7</v>
      </c>
      <c r="I598">
        <v>51</v>
      </c>
      <c r="J598">
        <v>6</v>
      </c>
      <c r="K598">
        <v>320</v>
      </c>
      <c r="L598">
        <v>59</v>
      </c>
      <c r="M598">
        <v>34</v>
      </c>
      <c r="N598">
        <v>1995</v>
      </c>
      <c r="O598">
        <v>0.27</v>
      </c>
      <c r="P598">
        <v>2.4700000000000002</v>
      </c>
      <c r="Q598">
        <v>1.4999999999999999E-2</v>
      </c>
      <c r="R598">
        <v>65</v>
      </c>
      <c r="S598">
        <v>700</v>
      </c>
      <c r="T598">
        <v>475</v>
      </c>
      <c r="U598">
        <v>275</v>
      </c>
      <c r="V598">
        <v>370</v>
      </c>
      <c r="W598">
        <v>155</v>
      </c>
    </row>
    <row r="599" spans="1:23">
      <c r="A599">
        <v>401.43556623065331</v>
      </c>
      <c r="B599">
        <v>98</v>
      </c>
      <c r="C599">
        <v>2.867396901647524</v>
      </c>
      <c r="D599">
        <v>492.17039999999997</v>
      </c>
      <c r="E599">
        <v>691.32689128938591</v>
      </c>
      <c r="F599">
        <v>168.97839999999999</v>
      </c>
      <c r="G599">
        <v>77.924399999999991</v>
      </c>
      <c r="H599">
        <v>9</v>
      </c>
      <c r="I599">
        <v>47</v>
      </c>
      <c r="J599">
        <v>4</v>
      </c>
      <c r="K599">
        <v>83</v>
      </c>
      <c r="L599">
        <v>63</v>
      </c>
      <c r="M599">
        <v>28</v>
      </c>
      <c r="N599">
        <v>1995</v>
      </c>
      <c r="O599">
        <v>0.27</v>
      </c>
      <c r="P599">
        <v>2.4700000000000002</v>
      </c>
      <c r="Q599">
        <v>1.4999999999999999E-2</v>
      </c>
      <c r="R599">
        <v>65</v>
      </c>
      <c r="S599">
        <v>700</v>
      </c>
      <c r="T599">
        <v>475</v>
      </c>
      <c r="U599">
        <v>275</v>
      </c>
      <c r="V599">
        <v>370</v>
      </c>
      <c r="W599">
        <v>155</v>
      </c>
    </row>
    <row r="600" spans="1:23">
      <c r="A600">
        <v>398.37029422588517</v>
      </c>
      <c r="B600">
        <v>98</v>
      </c>
      <c r="C600">
        <v>2.8455021016134658</v>
      </c>
      <c r="D600">
        <v>449.55</v>
      </c>
      <c r="E600">
        <v>691.35594527106298</v>
      </c>
      <c r="F600">
        <v>171.495</v>
      </c>
      <c r="G600">
        <v>77.33</v>
      </c>
      <c r="H600">
        <v>9</v>
      </c>
      <c r="I600">
        <v>48</v>
      </c>
      <c r="J600">
        <v>4</v>
      </c>
      <c r="K600">
        <v>66</v>
      </c>
      <c r="L600">
        <v>65</v>
      </c>
      <c r="M600">
        <v>20</v>
      </c>
      <c r="N600">
        <v>1995</v>
      </c>
      <c r="O600">
        <v>0.27</v>
      </c>
      <c r="P600">
        <v>2.4700000000000002</v>
      </c>
      <c r="Q600">
        <v>1.4999999999999999E-2</v>
      </c>
      <c r="R600">
        <v>65</v>
      </c>
      <c r="S600">
        <v>700</v>
      </c>
      <c r="T600">
        <v>475</v>
      </c>
      <c r="U600">
        <v>275</v>
      </c>
      <c r="V600">
        <v>370</v>
      </c>
      <c r="W600">
        <v>155</v>
      </c>
    </row>
    <row r="601" spans="1:23">
      <c r="A601">
        <v>390.38783239493142</v>
      </c>
      <c r="B601">
        <v>96.214285714285708</v>
      </c>
      <c r="C601">
        <v>2.8402381272979431</v>
      </c>
      <c r="D601">
        <v>424.16300000000001</v>
      </c>
      <c r="E601">
        <v>691.50207468879671</v>
      </c>
      <c r="F601">
        <v>211.83587</v>
      </c>
      <c r="G601">
        <v>75.783500000000004</v>
      </c>
      <c r="H601">
        <v>22</v>
      </c>
      <c r="I601">
        <v>45</v>
      </c>
      <c r="J601">
        <v>4</v>
      </c>
      <c r="K601">
        <v>321</v>
      </c>
      <c r="L601">
        <v>61</v>
      </c>
      <c r="M601">
        <v>22</v>
      </c>
      <c r="N601">
        <v>1995</v>
      </c>
      <c r="O601">
        <v>0.27</v>
      </c>
      <c r="P601">
        <v>2.4700000000000002</v>
      </c>
      <c r="Q601">
        <v>1.4999999999999999E-2</v>
      </c>
      <c r="R601">
        <v>65</v>
      </c>
      <c r="S601">
        <v>700</v>
      </c>
      <c r="T601">
        <v>475</v>
      </c>
      <c r="U601">
        <v>275</v>
      </c>
      <c r="V601">
        <v>370</v>
      </c>
      <c r="W601">
        <v>155</v>
      </c>
    </row>
    <row r="602" spans="1:23">
      <c r="A602">
        <v>407.70947821547873</v>
      </c>
      <c r="B602">
        <v>100.5846153846154</v>
      </c>
      <c r="C602">
        <v>2.837378595718</v>
      </c>
      <c r="D602">
        <v>449.8272</v>
      </c>
      <c r="E602">
        <v>688.85601486566316</v>
      </c>
      <c r="F602">
        <v>171.6336</v>
      </c>
      <c r="G602">
        <v>79.088880000000003</v>
      </c>
      <c r="H602">
        <v>9</v>
      </c>
      <c r="I602">
        <v>49</v>
      </c>
      <c r="J602">
        <v>4</v>
      </c>
      <c r="K602">
        <v>149</v>
      </c>
      <c r="L602">
        <v>64</v>
      </c>
      <c r="M602">
        <v>32</v>
      </c>
      <c r="N602">
        <v>1995</v>
      </c>
      <c r="O602">
        <v>0.27</v>
      </c>
      <c r="P602">
        <v>2.4700000000000002</v>
      </c>
      <c r="Q602">
        <v>1.4999999999999999E-2</v>
      </c>
      <c r="R602">
        <v>65</v>
      </c>
      <c r="S602">
        <v>700</v>
      </c>
      <c r="T602">
        <v>475</v>
      </c>
      <c r="U602">
        <v>275</v>
      </c>
      <c r="V602">
        <v>370</v>
      </c>
      <c r="W602">
        <v>155</v>
      </c>
    </row>
    <row r="603" spans="1:23">
      <c r="A603">
        <v>392.88290085779352</v>
      </c>
      <c r="B603">
        <v>98.000000000000014</v>
      </c>
      <c r="C603">
        <v>2.8063064346985249</v>
      </c>
      <c r="D603">
        <v>480.40800000000002</v>
      </c>
      <c r="E603">
        <v>689.9143158979083</v>
      </c>
      <c r="F603">
        <v>165.16800000000001</v>
      </c>
      <c r="G603">
        <v>76.234800000000007</v>
      </c>
      <c r="H603">
        <v>9</v>
      </c>
      <c r="I603">
        <v>46</v>
      </c>
      <c r="J603">
        <v>4</v>
      </c>
      <c r="K603">
        <v>64</v>
      </c>
      <c r="L603">
        <v>63</v>
      </c>
      <c r="M603">
        <v>27</v>
      </c>
      <c r="N603">
        <v>1995</v>
      </c>
      <c r="O603">
        <v>0.27</v>
      </c>
      <c r="P603">
        <v>2.4700000000000002</v>
      </c>
      <c r="Q603">
        <v>1.4999999999999999E-2</v>
      </c>
      <c r="R603">
        <v>65</v>
      </c>
      <c r="S603">
        <v>700</v>
      </c>
      <c r="T603">
        <v>475</v>
      </c>
      <c r="U603">
        <v>275</v>
      </c>
      <c r="V603">
        <v>370</v>
      </c>
      <c r="W603">
        <v>155</v>
      </c>
    </row>
    <row r="604" spans="1:23">
      <c r="A604">
        <v>392.88290085779352</v>
      </c>
      <c r="B604">
        <v>98.000000000000014</v>
      </c>
      <c r="C604">
        <v>2.8063064346985249</v>
      </c>
      <c r="D604">
        <v>432.45600000000002</v>
      </c>
      <c r="E604">
        <v>689.9143158979083</v>
      </c>
      <c r="F604">
        <v>165.16800000000001</v>
      </c>
      <c r="G604">
        <v>76.234800000000007</v>
      </c>
      <c r="H604">
        <v>9</v>
      </c>
      <c r="I604">
        <v>46</v>
      </c>
      <c r="J604">
        <v>4</v>
      </c>
      <c r="K604">
        <v>72</v>
      </c>
      <c r="L604">
        <v>63</v>
      </c>
      <c r="M604">
        <v>27</v>
      </c>
      <c r="N604">
        <v>1995</v>
      </c>
      <c r="O604">
        <v>0.27</v>
      </c>
      <c r="P604">
        <v>2.4700000000000002</v>
      </c>
      <c r="Q604">
        <v>1.4999999999999999E-2</v>
      </c>
      <c r="R604">
        <v>65</v>
      </c>
      <c r="S604">
        <v>700</v>
      </c>
      <c r="T604">
        <v>475</v>
      </c>
      <c r="U604">
        <v>275</v>
      </c>
      <c r="V604">
        <v>370</v>
      </c>
      <c r="W604">
        <v>155</v>
      </c>
    </row>
    <row r="605" spans="1:23">
      <c r="A605">
        <v>398.066245287752</v>
      </c>
      <c r="B605">
        <v>99.714285714285708</v>
      </c>
      <c r="C605">
        <v>2.794447853739233</v>
      </c>
      <c r="D605">
        <v>438.96300000000002</v>
      </c>
      <c r="E605">
        <v>688.46473029045649</v>
      </c>
      <c r="F605">
        <v>167.43586999999999</v>
      </c>
      <c r="G605">
        <v>77.209999999999994</v>
      </c>
      <c r="H605">
        <v>6</v>
      </c>
      <c r="I605">
        <v>50</v>
      </c>
      <c r="J605">
        <v>7</v>
      </c>
      <c r="K605">
        <v>321</v>
      </c>
      <c r="L605">
        <v>60</v>
      </c>
      <c r="M605">
        <v>22</v>
      </c>
      <c r="N605">
        <v>1995</v>
      </c>
      <c r="O605">
        <v>0.27</v>
      </c>
      <c r="P605">
        <v>2.4700000000000002</v>
      </c>
      <c r="Q605">
        <v>1.4999999999999999E-2</v>
      </c>
      <c r="R605">
        <v>65</v>
      </c>
      <c r="S605">
        <v>700</v>
      </c>
      <c r="T605">
        <v>475</v>
      </c>
      <c r="U605">
        <v>275</v>
      </c>
      <c r="V605">
        <v>370</v>
      </c>
      <c r="W605">
        <v>155</v>
      </c>
    </row>
    <row r="606" spans="1:23">
      <c r="A606">
        <v>401.27693412461139</v>
      </c>
      <c r="B606">
        <v>100.5846153846154</v>
      </c>
      <c r="C606">
        <v>2.7926124965845549</v>
      </c>
      <c r="D606">
        <v>423.8331</v>
      </c>
      <c r="E606">
        <v>692.20231887925115</v>
      </c>
      <c r="F606">
        <v>162.18854999999999</v>
      </c>
      <c r="G606">
        <v>77.912220000000005</v>
      </c>
      <c r="H606">
        <v>6</v>
      </c>
      <c r="I606">
        <v>56</v>
      </c>
      <c r="J606">
        <v>6</v>
      </c>
      <c r="K606">
        <v>149</v>
      </c>
      <c r="L606">
        <v>57</v>
      </c>
      <c r="M606">
        <v>41</v>
      </c>
      <c r="N606">
        <v>1995</v>
      </c>
      <c r="O606">
        <v>0.27</v>
      </c>
      <c r="P606">
        <v>2.4700000000000002</v>
      </c>
      <c r="Q606">
        <v>1.4999999999999999E-2</v>
      </c>
      <c r="R606">
        <v>65</v>
      </c>
      <c r="S606">
        <v>700</v>
      </c>
      <c r="T606">
        <v>475</v>
      </c>
      <c r="U606">
        <v>275</v>
      </c>
      <c r="V606">
        <v>370</v>
      </c>
      <c r="W606">
        <v>155</v>
      </c>
    </row>
    <row r="607" spans="1:23">
      <c r="A607">
        <v>390.81704005446932</v>
      </c>
      <c r="B607">
        <v>98</v>
      </c>
      <c r="C607">
        <v>2.791550286103353</v>
      </c>
      <c r="D607">
        <v>989.50080000000003</v>
      </c>
      <c r="E607">
        <v>683.11369294605811</v>
      </c>
      <c r="F607">
        <v>159.2208</v>
      </c>
      <c r="G607">
        <v>75.693119999999993</v>
      </c>
      <c r="H607">
        <v>2</v>
      </c>
      <c r="I607">
        <v>55</v>
      </c>
      <c r="J607">
        <v>8</v>
      </c>
      <c r="K607">
        <v>320</v>
      </c>
      <c r="L607">
        <v>56</v>
      </c>
      <c r="M607">
        <v>37</v>
      </c>
      <c r="N607">
        <v>1995</v>
      </c>
      <c r="O607">
        <v>0.27</v>
      </c>
      <c r="P607">
        <v>2.4700000000000002</v>
      </c>
      <c r="Q607">
        <v>1.4999999999999999E-2</v>
      </c>
      <c r="R607">
        <v>65</v>
      </c>
      <c r="S607">
        <v>700</v>
      </c>
      <c r="T607">
        <v>475</v>
      </c>
      <c r="U607">
        <v>275</v>
      </c>
      <c r="V607">
        <v>370</v>
      </c>
      <c r="W607">
        <v>155</v>
      </c>
    </row>
    <row r="608" spans="1:23">
      <c r="A608">
        <v>386.98262333582562</v>
      </c>
      <c r="B608">
        <v>98</v>
      </c>
      <c r="C608">
        <v>2.764161595255898</v>
      </c>
      <c r="D608">
        <v>466.93200000000002</v>
      </c>
      <c r="E608">
        <v>689.95756974373148</v>
      </c>
      <c r="F608">
        <v>159.22200000000001</v>
      </c>
      <c r="G608">
        <v>75.090800000000002</v>
      </c>
      <c r="H608">
        <v>6</v>
      </c>
      <c r="I608">
        <v>55</v>
      </c>
      <c r="J608">
        <v>6</v>
      </c>
      <c r="K608">
        <v>83</v>
      </c>
      <c r="L608">
        <v>58</v>
      </c>
      <c r="M608">
        <v>31</v>
      </c>
      <c r="N608">
        <v>1995</v>
      </c>
      <c r="O608">
        <v>0.27</v>
      </c>
      <c r="P608">
        <v>2.4700000000000002</v>
      </c>
      <c r="Q608">
        <v>1.4999999999999999E-2</v>
      </c>
      <c r="R608">
        <v>65</v>
      </c>
      <c r="S608">
        <v>700</v>
      </c>
      <c r="T608">
        <v>475</v>
      </c>
      <c r="U608">
        <v>275</v>
      </c>
      <c r="V608">
        <v>370</v>
      </c>
      <c r="W608">
        <v>155</v>
      </c>
    </row>
    <row r="609" spans="1:23">
      <c r="A609">
        <v>385.54499237008929</v>
      </c>
      <c r="B609">
        <v>98</v>
      </c>
      <c r="C609">
        <v>2.7538928026434948</v>
      </c>
      <c r="D609">
        <v>450.06515999999999</v>
      </c>
      <c r="E609">
        <v>691.12365145228227</v>
      </c>
      <c r="F609">
        <v>162.85869</v>
      </c>
      <c r="G609">
        <v>74.835660000000004</v>
      </c>
      <c r="H609">
        <v>8</v>
      </c>
      <c r="I609">
        <v>48</v>
      </c>
      <c r="J609">
        <v>5</v>
      </c>
      <c r="K609">
        <v>256</v>
      </c>
      <c r="L609">
        <v>59</v>
      </c>
      <c r="M609">
        <v>17</v>
      </c>
      <c r="N609">
        <v>1995</v>
      </c>
      <c r="O609">
        <v>0.27</v>
      </c>
      <c r="P609">
        <v>2.4700000000000002</v>
      </c>
      <c r="Q609">
        <v>1.4999999999999999E-2</v>
      </c>
      <c r="R609">
        <v>65</v>
      </c>
      <c r="S609">
        <v>700</v>
      </c>
      <c r="T609">
        <v>475</v>
      </c>
      <c r="U609">
        <v>275</v>
      </c>
      <c r="V609">
        <v>370</v>
      </c>
      <c r="W609">
        <v>155</v>
      </c>
    </row>
    <row r="610" spans="1:23">
      <c r="A610">
        <v>371.23078666084712</v>
      </c>
      <c r="B610">
        <v>94.5</v>
      </c>
      <c r="C610">
        <v>2.7498576789692382</v>
      </c>
      <c r="D610">
        <v>442.512</v>
      </c>
      <c r="E610">
        <v>690.16167114274333</v>
      </c>
      <c r="F610">
        <v>195.852</v>
      </c>
      <c r="G610">
        <v>72.038300000000007</v>
      </c>
      <c r="H610">
        <v>22</v>
      </c>
      <c r="I610">
        <v>55</v>
      </c>
      <c r="J610">
        <v>3</v>
      </c>
      <c r="K610">
        <v>80</v>
      </c>
      <c r="L610">
        <v>58</v>
      </c>
      <c r="M610">
        <v>31</v>
      </c>
      <c r="N610">
        <v>1995</v>
      </c>
      <c r="O610">
        <v>0.27</v>
      </c>
      <c r="P610">
        <v>2.4700000000000002</v>
      </c>
      <c r="Q610">
        <v>1.4999999999999999E-2</v>
      </c>
      <c r="R610">
        <v>65</v>
      </c>
      <c r="S610">
        <v>700</v>
      </c>
      <c r="T610">
        <v>475</v>
      </c>
      <c r="U610">
        <v>275</v>
      </c>
      <c r="V610">
        <v>370</v>
      </c>
      <c r="W610">
        <v>155</v>
      </c>
    </row>
    <row r="611" spans="1:23">
      <c r="A611">
        <v>347.43429723332912</v>
      </c>
      <c r="B611">
        <v>88.458285714285708</v>
      </c>
      <c r="C611">
        <v>2.7493637944653702</v>
      </c>
      <c r="D611">
        <v>808.64300000000003</v>
      </c>
      <c r="E611">
        <v>680.99585062240658</v>
      </c>
      <c r="F611">
        <v>665.43587000000002</v>
      </c>
      <c r="G611">
        <v>67.251800000000003</v>
      </c>
      <c r="H611">
        <v>40</v>
      </c>
      <c r="I611">
        <v>60</v>
      </c>
      <c r="J611">
        <v>11</v>
      </c>
      <c r="K611">
        <v>321</v>
      </c>
      <c r="L611">
        <v>58</v>
      </c>
      <c r="M611">
        <v>22</v>
      </c>
      <c r="N611">
        <v>1995</v>
      </c>
      <c r="O611">
        <v>0.27</v>
      </c>
      <c r="P611">
        <v>2.4700000000000002</v>
      </c>
      <c r="Q611">
        <v>1.4999999999999999E-2</v>
      </c>
      <c r="R611">
        <v>65</v>
      </c>
      <c r="S611">
        <v>700</v>
      </c>
      <c r="T611">
        <v>475</v>
      </c>
      <c r="U611">
        <v>275</v>
      </c>
      <c r="V611">
        <v>370</v>
      </c>
      <c r="W611">
        <v>155</v>
      </c>
    </row>
    <row r="612" spans="1:23">
      <c r="A612">
        <v>384.36310709932229</v>
      </c>
      <c r="B612">
        <v>98</v>
      </c>
      <c r="C612">
        <v>2.7454507649951601</v>
      </c>
      <c r="D612">
        <v>422.68799999999999</v>
      </c>
      <c r="E612">
        <v>690.4238368882169</v>
      </c>
      <c r="F612">
        <v>161.61600000000001</v>
      </c>
      <c r="G612">
        <v>74.591999999999999</v>
      </c>
      <c r="H612">
        <v>6</v>
      </c>
      <c r="I612">
        <v>56</v>
      </c>
      <c r="J612">
        <v>6</v>
      </c>
      <c r="K612">
        <v>66</v>
      </c>
      <c r="L612">
        <v>56</v>
      </c>
      <c r="M612">
        <v>24</v>
      </c>
      <c r="N612">
        <v>1995</v>
      </c>
      <c r="O612">
        <v>0.27</v>
      </c>
      <c r="P612">
        <v>2.4700000000000002</v>
      </c>
      <c r="Q612">
        <v>1.4999999999999999E-2</v>
      </c>
      <c r="R612">
        <v>65</v>
      </c>
      <c r="S612">
        <v>700</v>
      </c>
      <c r="T612">
        <v>475</v>
      </c>
      <c r="U612">
        <v>275</v>
      </c>
      <c r="V612">
        <v>370</v>
      </c>
      <c r="W612">
        <v>155</v>
      </c>
    </row>
    <row r="613" spans="1:23">
      <c r="A613">
        <v>370.40902271872039</v>
      </c>
      <c r="B613">
        <v>94.5</v>
      </c>
      <c r="C613">
        <v>2.7437705386571891</v>
      </c>
      <c r="D613">
        <v>398.26799999999997</v>
      </c>
      <c r="E613">
        <v>692.66680991822477</v>
      </c>
      <c r="F613">
        <v>199.13399999999999</v>
      </c>
      <c r="G613">
        <v>71.927999999999997</v>
      </c>
      <c r="H613">
        <v>22</v>
      </c>
      <c r="I613">
        <v>56</v>
      </c>
      <c r="J613">
        <v>3</v>
      </c>
      <c r="K613">
        <v>72</v>
      </c>
      <c r="L613">
        <v>57</v>
      </c>
      <c r="M613">
        <v>30</v>
      </c>
      <c r="N613">
        <v>1995</v>
      </c>
      <c r="O613">
        <v>0.27</v>
      </c>
      <c r="P613">
        <v>2.4700000000000002</v>
      </c>
      <c r="Q613">
        <v>1.4999999999999999E-2</v>
      </c>
      <c r="R613">
        <v>65</v>
      </c>
      <c r="S613">
        <v>700</v>
      </c>
      <c r="T613">
        <v>475</v>
      </c>
      <c r="U613">
        <v>275</v>
      </c>
      <c r="V613">
        <v>370</v>
      </c>
      <c r="W613">
        <v>155</v>
      </c>
    </row>
    <row r="614" spans="1:23">
      <c r="A614">
        <v>383.91566963494188</v>
      </c>
      <c r="B614">
        <v>98</v>
      </c>
      <c r="C614">
        <v>2.7422547831067279</v>
      </c>
      <c r="D614">
        <v>411.77256</v>
      </c>
      <c r="E614">
        <v>690.75186721991702</v>
      </c>
      <c r="F614">
        <v>157.64148</v>
      </c>
      <c r="G614">
        <v>74.511839999999992</v>
      </c>
      <c r="H614">
        <v>8</v>
      </c>
      <c r="I614">
        <v>46</v>
      </c>
      <c r="J614">
        <v>5</v>
      </c>
      <c r="K614">
        <v>201</v>
      </c>
      <c r="L614">
        <v>58</v>
      </c>
      <c r="M614">
        <v>34</v>
      </c>
      <c r="N614">
        <v>1995</v>
      </c>
      <c r="O614">
        <v>0.27</v>
      </c>
      <c r="P614">
        <v>2.4700000000000002</v>
      </c>
      <c r="Q614">
        <v>1.4999999999999999E-2</v>
      </c>
      <c r="R614">
        <v>65</v>
      </c>
      <c r="S614">
        <v>700</v>
      </c>
      <c r="T614">
        <v>475</v>
      </c>
      <c r="U614">
        <v>275</v>
      </c>
      <c r="V614">
        <v>370</v>
      </c>
      <c r="W614">
        <v>155</v>
      </c>
    </row>
    <row r="615" spans="1:23">
      <c r="A615">
        <v>369.00361662931999</v>
      </c>
      <c r="B615">
        <v>94.5</v>
      </c>
      <c r="C615">
        <v>2.733360123180149</v>
      </c>
      <c r="D615">
        <v>442.22399999999999</v>
      </c>
      <c r="E615">
        <v>686.75465305648572</v>
      </c>
      <c r="F615">
        <v>195.804</v>
      </c>
      <c r="G615">
        <v>71.539500000000004</v>
      </c>
      <c r="H615">
        <v>22</v>
      </c>
      <c r="I615">
        <v>55</v>
      </c>
      <c r="J615">
        <v>3</v>
      </c>
      <c r="K615">
        <v>64</v>
      </c>
      <c r="L615">
        <v>58</v>
      </c>
      <c r="M615">
        <v>30</v>
      </c>
      <c r="N615">
        <v>1995</v>
      </c>
      <c r="O615">
        <v>0.27</v>
      </c>
      <c r="P615">
        <v>2.4700000000000002</v>
      </c>
      <c r="Q615">
        <v>1.4999999999999999E-2</v>
      </c>
      <c r="R615">
        <v>65</v>
      </c>
      <c r="S615">
        <v>700</v>
      </c>
      <c r="T615">
        <v>475</v>
      </c>
      <c r="U615">
        <v>275</v>
      </c>
      <c r="V615">
        <v>370</v>
      </c>
      <c r="W615">
        <v>155</v>
      </c>
    </row>
    <row r="616" spans="1:23">
      <c r="A616">
        <v>380.13419933459721</v>
      </c>
      <c r="B616">
        <v>98</v>
      </c>
      <c r="C616">
        <v>2.7152442809614081</v>
      </c>
      <c r="D616">
        <v>458.55779999999999</v>
      </c>
      <c r="E616">
        <v>691.55035345718397</v>
      </c>
      <c r="F616">
        <v>156.34630000000001</v>
      </c>
      <c r="G616">
        <v>73.793999999999997</v>
      </c>
      <c r="H616">
        <v>6</v>
      </c>
      <c r="I616">
        <v>54</v>
      </c>
      <c r="J616">
        <v>6</v>
      </c>
      <c r="K616">
        <v>80</v>
      </c>
      <c r="L616">
        <v>59</v>
      </c>
      <c r="M616">
        <v>30</v>
      </c>
      <c r="N616">
        <v>1995</v>
      </c>
      <c r="O616">
        <v>0.27</v>
      </c>
      <c r="P616">
        <v>2.4700000000000002</v>
      </c>
      <c r="Q616">
        <v>1.4999999999999999E-2</v>
      </c>
      <c r="R616">
        <v>65</v>
      </c>
      <c r="S616">
        <v>700</v>
      </c>
      <c r="T616">
        <v>475</v>
      </c>
      <c r="U616">
        <v>275</v>
      </c>
      <c r="V616">
        <v>370</v>
      </c>
      <c r="W616">
        <v>155</v>
      </c>
    </row>
    <row r="617" spans="1:23">
      <c r="A617">
        <v>345.85652520728968</v>
      </c>
      <c r="B617">
        <v>89.328615384615389</v>
      </c>
      <c r="C617">
        <v>2.7102129211643242</v>
      </c>
      <c r="D617">
        <v>795.27780000000007</v>
      </c>
      <c r="E617">
        <v>683.36227254271716</v>
      </c>
      <c r="F617">
        <v>654.64290000000005</v>
      </c>
      <c r="G617">
        <v>66.989760000000004</v>
      </c>
      <c r="H617">
        <v>40</v>
      </c>
      <c r="I617">
        <v>59</v>
      </c>
      <c r="J617">
        <v>11</v>
      </c>
      <c r="K617">
        <v>149</v>
      </c>
      <c r="L617">
        <v>61</v>
      </c>
      <c r="M617">
        <v>34</v>
      </c>
      <c r="N617">
        <v>1995</v>
      </c>
      <c r="O617">
        <v>0.27</v>
      </c>
      <c r="P617">
        <v>2.4700000000000002</v>
      </c>
      <c r="Q617">
        <v>1.4999999999999999E-2</v>
      </c>
      <c r="R617">
        <v>65</v>
      </c>
      <c r="S617">
        <v>700</v>
      </c>
      <c r="T617">
        <v>475</v>
      </c>
      <c r="U617">
        <v>275</v>
      </c>
      <c r="V617">
        <v>370</v>
      </c>
      <c r="W617">
        <v>155</v>
      </c>
    </row>
    <row r="618" spans="1:23">
      <c r="A618">
        <v>388.08210225464342</v>
      </c>
      <c r="B618">
        <v>100.52</v>
      </c>
      <c r="C618">
        <v>2.702521603444592</v>
      </c>
      <c r="D618">
        <v>414.8612</v>
      </c>
      <c r="E618">
        <v>690.42323651452284</v>
      </c>
      <c r="F618">
        <v>163.14920000000001</v>
      </c>
      <c r="G618">
        <v>75.313720000000004</v>
      </c>
      <c r="H618">
        <v>8</v>
      </c>
      <c r="I618">
        <v>48</v>
      </c>
      <c r="J618">
        <v>5</v>
      </c>
      <c r="K618">
        <v>322</v>
      </c>
      <c r="L618">
        <v>58</v>
      </c>
      <c r="M618">
        <v>22</v>
      </c>
      <c r="N618">
        <v>1995</v>
      </c>
      <c r="O618">
        <v>0.27</v>
      </c>
      <c r="P618">
        <v>2.4700000000000002</v>
      </c>
      <c r="Q618">
        <v>1.4999999999999999E-2</v>
      </c>
      <c r="R618">
        <v>65</v>
      </c>
      <c r="S618">
        <v>700</v>
      </c>
      <c r="T618">
        <v>475</v>
      </c>
      <c r="U618">
        <v>275</v>
      </c>
      <c r="V618">
        <v>370</v>
      </c>
      <c r="W618">
        <v>155</v>
      </c>
    </row>
    <row r="619" spans="1:23">
      <c r="A619">
        <v>384.81929112035698</v>
      </c>
      <c r="B619">
        <v>99.714285714285708</v>
      </c>
      <c r="C619">
        <v>2.7014534763463458</v>
      </c>
      <c r="D619">
        <v>416.93480000000011</v>
      </c>
      <c r="E619">
        <v>691.23651452282161</v>
      </c>
      <c r="F619">
        <v>159.20186000000001</v>
      </c>
      <c r="G619">
        <v>74.697100000000006</v>
      </c>
      <c r="H619">
        <v>7</v>
      </c>
      <c r="I619">
        <v>48</v>
      </c>
      <c r="J619">
        <v>6</v>
      </c>
      <c r="K619">
        <v>321</v>
      </c>
      <c r="L619">
        <v>58</v>
      </c>
      <c r="M619">
        <v>23</v>
      </c>
      <c r="N619">
        <v>1995</v>
      </c>
      <c r="O619">
        <v>0.27</v>
      </c>
      <c r="P619">
        <v>2.4700000000000002</v>
      </c>
      <c r="Q619">
        <v>1.4999999999999999E-2</v>
      </c>
      <c r="R619">
        <v>65</v>
      </c>
      <c r="S619">
        <v>700</v>
      </c>
      <c r="T619">
        <v>475</v>
      </c>
      <c r="U619">
        <v>275</v>
      </c>
      <c r="V619">
        <v>370</v>
      </c>
      <c r="W619">
        <v>155</v>
      </c>
    </row>
    <row r="620" spans="1:23">
      <c r="A620">
        <v>377.82645437220708</v>
      </c>
      <c r="B620">
        <v>98.000000000000014</v>
      </c>
      <c r="C620">
        <v>2.6987603883729081</v>
      </c>
      <c r="D620">
        <v>459.58440000000002</v>
      </c>
      <c r="E620">
        <v>687.99338947511569</v>
      </c>
      <c r="F620">
        <v>156.51740000000001</v>
      </c>
      <c r="G620">
        <v>73.274799999999999</v>
      </c>
      <c r="H620">
        <v>6</v>
      </c>
      <c r="I620">
        <v>54</v>
      </c>
      <c r="J620">
        <v>6</v>
      </c>
      <c r="K620">
        <v>64</v>
      </c>
      <c r="L620">
        <v>59</v>
      </c>
      <c r="M620">
        <v>29</v>
      </c>
      <c r="N620">
        <v>1995</v>
      </c>
      <c r="O620">
        <v>0.27</v>
      </c>
      <c r="P620">
        <v>2.4700000000000002</v>
      </c>
      <c r="Q620">
        <v>1.4999999999999999E-2</v>
      </c>
      <c r="R620">
        <v>65</v>
      </c>
      <c r="S620">
        <v>700</v>
      </c>
      <c r="T620">
        <v>475</v>
      </c>
      <c r="U620">
        <v>275</v>
      </c>
      <c r="V620">
        <v>370</v>
      </c>
      <c r="W620">
        <v>155</v>
      </c>
    </row>
    <row r="621" spans="1:23">
      <c r="A621">
        <v>377.82645437220708</v>
      </c>
      <c r="B621">
        <v>98.000000000000014</v>
      </c>
      <c r="C621">
        <v>2.6987603883729081</v>
      </c>
      <c r="D621">
        <v>408.93880000000001</v>
      </c>
      <c r="E621">
        <v>687.99338947511569</v>
      </c>
      <c r="F621">
        <v>156.51740000000001</v>
      </c>
      <c r="G621">
        <v>73.274799999999999</v>
      </c>
      <c r="H621">
        <v>6</v>
      </c>
      <c r="I621">
        <v>54</v>
      </c>
      <c r="J621">
        <v>6</v>
      </c>
      <c r="K621">
        <v>72</v>
      </c>
      <c r="L621">
        <v>59</v>
      </c>
      <c r="M621">
        <v>29</v>
      </c>
      <c r="N621">
        <v>1995</v>
      </c>
      <c r="O621">
        <v>0.27</v>
      </c>
      <c r="P621">
        <v>2.4700000000000002</v>
      </c>
      <c r="Q621">
        <v>1.4999999999999999E-2</v>
      </c>
      <c r="R621">
        <v>65</v>
      </c>
      <c r="S621">
        <v>700</v>
      </c>
      <c r="T621">
        <v>475</v>
      </c>
      <c r="U621">
        <v>275</v>
      </c>
      <c r="V621">
        <v>370</v>
      </c>
      <c r="W621">
        <v>155</v>
      </c>
    </row>
    <row r="622" spans="1:23">
      <c r="A622">
        <v>377.65969399992571</v>
      </c>
      <c r="B622">
        <v>98</v>
      </c>
      <c r="C622">
        <v>2.6975692428566118</v>
      </c>
      <c r="D622">
        <v>418.39139999999998</v>
      </c>
      <c r="E622">
        <v>692.67810284478355</v>
      </c>
      <c r="F622">
        <v>159.90209999999999</v>
      </c>
      <c r="G622">
        <v>73.336200000000005</v>
      </c>
      <c r="H622">
        <v>8</v>
      </c>
      <c r="I622">
        <v>47</v>
      </c>
      <c r="J622">
        <v>5</v>
      </c>
      <c r="K622">
        <v>67</v>
      </c>
      <c r="L622">
        <v>57</v>
      </c>
      <c r="M622">
        <v>19</v>
      </c>
      <c r="N622">
        <v>1995</v>
      </c>
      <c r="O622">
        <v>0.27</v>
      </c>
      <c r="P622">
        <v>2.4700000000000002</v>
      </c>
      <c r="Q622">
        <v>1.4999999999999999E-2</v>
      </c>
      <c r="R622">
        <v>65</v>
      </c>
      <c r="S622">
        <v>700</v>
      </c>
      <c r="T622">
        <v>475</v>
      </c>
      <c r="U622">
        <v>275</v>
      </c>
      <c r="V622">
        <v>370</v>
      </c>
      <c r="W622">
        <v>155</v>
      </c>
    </row>
    <row r="623" spans="1:23">
      <c r="A623">
        <v>377.65969399992571</v>
      </c>
      <c r="B623">
        <v>98</v>
      </c>
      <c r="C623">
        <v>2.6975692428566118</v>
      </c>
      <c r="D623">
        <v>418.39139999999998</v>
      </c>
      <c r="E623">
        <v>692.67810284478355</v>
      </c>
      <c r="F623">
        <v>159.90209999999999</v>
      </c>
      <c r="G623">
        <v>73.336200000000005</v>
      </c>
      <c r="H623">
        <v>8</v>
      </c>
      <c r="I623">
        <v>47</v>
      </c>
      <c r="J623">
        <v>5</v>
      </c>
      <c r="K623">
        <v>213</v>
      </c>
      <c r="L623">
        <v>57</v>
      </c>
      <c r="M623">
        <v>19</v>
      </c>
      <c r="N623">
        <v>1995</v>
      </c>
      <c r="O623">
        <v>0.27</v>
      </c>
      <c r="P623">
        <v>2.4700000000000002</v>
      </c>
      <c r="Q623">
        <v>1.4999999999999999E-2</v>
      </c>
      <c r="R623">
        <v>65</v>
      </c>
      <c r="S623">
        <v>700</v>
      </c>
      <c r="T623">
        <v>475</v>
      </c>
      <c r="U623">
        <v>275</v>
      </c>
      <c r="V623">
        <v>370</v>
      </c>
      <c r="W623">
        <v>155</v>
      </c>
    </row>
    <row r="624" spans="1:23">
      <c r="A624">
        <v>393.75035855227958</v>
      </c>
      <c r="B624">
        <v>102.2352941176471</v>
      </c>
      <c r="C624">
        <v>2.695989221387876</v>
      </c>
      <c r="D624">
        <v>482.13760000000002</v>
      </c>
      <c r="E624">
        <v>690.91510164339479</v>
      </c>
      <c r="F624">
        <v>166.915392</v>
      </c>
      <c r="G624">
        <v>76.424000000000007</v>
      </c>
      <c r="H624">
        <v>6</v>
      </c>
      <c r="I624">
        <v>50</v>
      </c>
      <c r="J624">
        <v>7</v>
      </c>
      <c r="K624">
        <v>110</v>
      </c>
      <c r="L624">
        <v>57</v>
      </c>
      <c r="M624">
        <v>24</v>
      </c>
      <c r="N624">
        <v>1995</v>
      </c>
      <c r="O624">
        <v>0.27</v>
      </c>
      <c r="P624">
        <v>2.4700000000000002</v>
      </c>
      <c r="Q624">
        <v>1.4999999999999999E-2</v>
      </c>
      <c r="R624">
        <v>65</v>
      </c>
      <c r="S624">
        <v>700</v>
      </c>
      <c r="T624">
        <v>475</v>
      </c>
      <c r="U624">
        <v>275</v>
      </c>
      <c r="V624">
        <v>370</v>
      </c>
      <c r="W624">
        <v>155</v>
      </c>
    </row>
    <row r="625" spans="1:23">
      <c r="A625">
        <v>383.55520277561789</v>
      </c>
      <c r="B625">
        <v>100.5846153846154</v>
      </c>
      <c r="C625">
        <v>2.669281389766077</v>
      </c>
      <c r="D625">
        <v>407.25709999999998</v>
      </c>
      <c r="E625">
        <v>691.90826790264975</v>
      </c>
      <c r="F625">
        <v>155.97255000000001</v>
      </c>
      <c r="G625">
        <v>74.46538000000001</v>
      </c>
      <c r="H625">
        <v>7</v>
      </c>
      <c r="I625">
        <v>56</v>
      </c>
      <c r="J625">
        <v>5</v>
      </c>
      <c r="K625">
        <v>149</v>
      </c>
      <c r="L625">
        <v>57</v>
      </c>
      <c r="M625">
        <v>39</v>
      </c>
      <c r="N625">
        <v>1995</v>
      </c>
      <c r="O625">
        <v>0.27</v>
      </c>
      <c r="P625">
        <v>2.4700000000000002</v>
      </c>
      <c r="Q625">
        <v>1.4999999999999999E-2</v>
      </c>
      <c r="R625">
        <v>65</v>
      </c>
      <c r="S625">
        <v>700</v>
      </c>
      <c r="T625">
        <v>475</v>
      </c>
      <c r="U625">
        <v>275</v>
      </c>
      <c r="V625">
        <v>370</v>
      </c>
      <c r="W625">
        <v>155</v>
      </c>
    </row>
    <row r="626" spans="1:23">
      <c r="A626">
        <v>343.08728018926871</v>
      </c>
      <c r="B626">
        <v>90.979294117647058</v>
      </c>
      <c r="C626">
        <v>2.6397335620337001</v>
      </c>
      <c r="D626">
        <v>850.60799999999995</v>
      </c>
      <c r="E626">
        <v>683.11040782435737</v>
      </c>
      <c r="F626">
        <v>664.70975999999996</v>
      </c>
      <c r="G626">
        <v>66.448800000000006</v>
      </c>
      <c r="H626">
        <v>40</v>
      </c>
      <c r="I626">
        <v>60</v>
      </c>
      <c r="J626">
        <v>11</v>
      </c>
      <c r="K626">
        <v>110</v>
      </c>
      <c r="L626">
        <v>60</v>
      </c>
      <c r="M626">
        <v>22</v>
      </c>
      <c r="N626">
        <v>1995</v>
      </c>
      <c r="O626">
        <v>0.27</v>
      </c>
      <c r="P626">
        <v>2.4700000000000002</v>
      </c>
      <c r="Q626">
        <v>1.4999999999999999E-2</v>
      </c>
      <c r="R626">
        <v>65</v>
      </c>
      <c r="S626">
        <v>700</v>
      </c>
      <c r="T626">
        <v>475</v>
      </c>
      <c r="U626">
        <v>275</v>
      </c>
      <c r="V626">
        <v>370</v>
      </c>
      <c r="W626">
        <v>155</v>
      </c>
    </row>
    <row r="627" spans="1:23">
      <c r="A627">
        <v>387.7073317820238</v>
      </c>
      <c r="B627">
        <v>103.1219512195122</v>
      </c>
      <c r="C627">
        <v>2.631788179315063</v>
      </c>
      <c r="D627">
        <v>449.60784000000001</v>
      </c>
      <c r="E627">
        <v>690.56929460580909</v>
      </c>
      <c r="F627">
        <v>162.07096000000001</v>
      </c>
      <c r="G627">
        <v>75.243990000000025</v>
      </c>
      <c r="H627">
        <v>8</v>
      </c>
      <c r="I627">
        <v>49</v>
      </c>
      <c r="J627">
        <v>5</v>
      </c>
      <c r="K627">
        <v>257</v>
      </c>
      <c r="L627">
        <v>57</v>
      </c>
      <c r="M627">
        <v>13</v>
      </c>
      <c r="N627">
        <v>1995</v>
      </c>
      <c r="O627">
        <v>0.27</v>
      </c>
      <c r="P627">
        <v>2.4700000000000002</v>
      </c>
      <c r="Q627">
        <v>1.4999999999999999E-2</v>
      </c>
      <c r="R627">
        <v>65</v>
      </c>
      <c r="S627">
        <v>700</v>
      </c>
      <c r="T627">
        <v>475</v>
      </c>
      <c r="U627">
        <v>275</v>
      </c>
      <c r="V627">
        <v>370</v>
      </c>
      <c r="W627">
        <v>155</v>
      </c>
    </row>
    <row r="628" spans="1:23">
      <c r="A628">
        <v>379.86090252593692</v>
      </c>
      <c r="B628">
        <v>102.2352941176471</v>
      </c>
      <c r="C628">
        <v>2.6008888032558399</v>
      </c>
      <c r="D628">
        <v>455.79360000000003</v>
      </c>
      <c r="E628">
        <v>689.86373569702664</v>
      </c>
      <c r="F628">
        <v>157.03639200000001</v>
      </c>
      <c r="G628">
        <v>73.706999999999994</v>
      </c>
      <c r="H628">
        <v>7</v>
      </c>
      <c r="I628">
        <v>57</v>
      </c>
      <c r="J628">
        <v>5</v>
      </c>
      <c r="K628">
        <v>110</v>
      </c>
      <c r="L628">
        <v>56</v>
      </c>
      <c r="M628">
        <v>25</v>
      </c>
      <c r="N628">
        <v>1995</v>
      </c>
      <c r="O628">
        <v>0.27</v>
      </c>
      <c r="P628">
        <v>2.4700000000000002</v>
      </c>
      <c r="Q628">
        <v>1.4999999999999999E-2</v>
      </c>
      <c r="R628">
        <v>65</v>
      </c>
      <c r="S628">
        <v>700</v>
      </c>
      <c r="T628">
        <v>475</v>
      </c>
      <c r="U628">
        <v>275</v>
      </c>
      <c r="V628">
        <v>370</v>
      </c>
      <c r="W628">
        <v>155</v>
      </c>
    </row>
    <row r="629" spans="1:23">
      <c r="A629">
        <v>345.83658857928828</v>
      </c>
      <c r="B629">
        <v>94.5</v>
      </c>
      <c r="C629">
        <v>2.5617525079947279</v>
      </c>
      <c r="D629">
        <v>393.20639999999997</v>
      </c>
      <c r="E629">
        <v>690.89460580912873</v>
      </c>
      <c r="F629">
        <v>184.88159999999999</v>
      </c>
      <c r="G629">
        <v>67.123919999999998</v>
      </c>
      <c r="H629">
        <v>22</v>
      </c>
      <c r="I629">
        <v>52</v>
      </c>
      <c r="J629">
        <v>3</v>
      </c>
      <c r="K629">
        <v>256</v>
      </c>
      <c r="L629">
        <v>61</v>
      </c>
      <c r="M629">
        <v>16</v>
      </c>
      <c r="N629">
        <v>1995</v>
      </c>
      <c r="O629">
        <v>0.27</v>
      </c>
      <c r="P629">
        <v>2.4700000000000002</v>
      </c>
      <c r="Q629">
        <v>1.4999999999999999E-2</v>
      </c>
      <c r="R629">
        <v>65</v>
      </c>
      <c r="S629">
        <v>700</v>
      </c>
      <c r="T629">
        <v>475</v>
      </c>
      <c r="U629">
        <v>275</v>
      </c>
      <c r="V629">
        <v>370</v>
      </c>
      <c r="W629">
        <v>155</v>
      </c>
    </row>
    <row r="630" spans="1:23">
      <c r="A630">
        <v>346.8555360190536</v>
      </c>
      <c r="B630">
        <v>99.621951219512212</v>
      </c>
      <c r="C630">
        <v>2.4372025667148578</v>
      </c>
      <c r="D630">
        <v>391.90104000000002</v>
      </c>
      <c r="E630">
        <v>689.67634854771791</v>
      </c>
      <c r="F630">
        <v>183.90036000000001</v>
      </c>
      <c r="G630">
        <v>67.299300000000002</v>
      </c>
      <c r="H630">
        <v>22</v>
      </c>
      <c r="I630">
        <v>53</v>
      </c>
      <c r="J630">
        <v>3</v>
      </c>
      <c r="K630">
        <v>257</v>
      </c>
      <c r="L630">
        <v>60</v>
      </c>
      <c r="M630">
        <v>12</v>
      </c>
      <c r="N630">
        <v>1995</v>
      </c>
      <c r="O630">
        <v>0.27</v>
      </c>
      <c r="P630">
        <v>2.4700000000000002</v>
      </c>
      <c r="Q630">
        <v>1.4999999999999999E-2</v>
      </c>
      <c r="R630">
        <v>65</v>
      </c>
      <c r="S630">
        <v>700</v>
      </c>
      <c r="T630">
        <v>475</v>
      </c>
      <c r="U630">
        <v>275</v>
      </c>
      <c r="V630">
        <v>370</v>
      </c>
      <c r="W630">
        <v>155</v>
      </c>
    </row>
    <row r="631" spans="1:23">
      <c r="A631">
        <v>340.03195230088721</v>
      </c>
      <c r="B631">
        <v>101.7</v>
      </c>
      <c r="C631">
        <v>2.3404362498586129</v>
      </c>
      <c r="D631">
        <v>375.94367999999997</v>
      </c>
      <c r="E631">
        <v>690.38008298755187</v>
      </c>
      <c r="F631">
        <v>174.59190000000001</v>
      </c>
      <c r="G631">
        <v>65.988020000000006</v>
      </c>
      <c r="H631">
        <v>22</v>
      </c>
      <c r="I631">
        <v>49</v>
      </c>
      <c r="J631">
        <v>3</v>
      </c>
      <c r="K631">
        <v>241</v>
      </c>
      <c r="L631">
        <v>64</v>
      </c>
      <c r="M631">
        <v>28</v>
      </c>
      <c r="N631">
        <v>1995</v>
      </c>
      <c r="O631">
        <v>0.27</v>
      </c>
      <c r="P631">
        <v>2.4700000000000002</v>
      </c>
      <c r="Q631">
        <v>1.4999999999999999E-2</v>
      </c>
      <c r="R631">
        <v>65</v>
      </c>
      <c r="S631">
        <v>700</v>
      </c>
      <c r="T631">
        <v>475</v>
      </c>
      <c r="U631">
        <v>275</v>
      </c>
      <c r="V631">
        <v>370</v>
      </c>
      <c r="W631">
        <v>155</v>
      </c>
    </row>
    <row r="632" spans="1:23">
      <c r="A632">
        <v>426.75543163346617</v>
      </c>
      <c r="B632">
        <v>154</v>
      </c>
      <c r="C632">
        <v>1.9397974165157561</v>
      </c>
      <c r="D632">
        <v>509.49599999999998</v>
      </c>
      <c r="E632">
        <v>686.93311670276807</v>
      </c>
      <c r="F632">
        <v>180.25559999999999</v>
      </c>
      <c r="G632">
        <v>82.74</v>
      </c>
      <c r="H632">
        <v>8</v>
      </c>
      <c r="I632">
        <v>55</v>
      </c>
      <c r="J632">
        <v>5</v>
      </c>
      <c r="K632">
        <v>318</v>
      </c>
      <c r="L632">
        <v>58</v>
      </c>
      <c r="M632">
        <v>24</v>
      </c>
      <c r="N632">
        <v>1995</v>
      </c>
      <c r="O632">
        <v>0.27</v>
      </c>
      <c r="P632">
        <v>2.4700000000000002</v>
      </c>
      <c r="Q632">
        <v>1.4999999999999999E-2</v>
      </c>
      <c r="R632">
        <v>65</v>
      </c>
      <c r="S632">
        <v>700</v>
      </c>
      <c r="T632">
        <v>475</v>
      </c>
      <c r="U632">
        <v>275</v>
      </c>
      <c r="V632">
        <v>370</v>
      </c>
      <c r="W632">
        <v>155</v>
      </c>
    </row>
    <row r="633" spans="1:23">
      <c r="A633">
        <v>405.29360789419178</v>
      </c>
      <c r="B633">
        <v>154</v>
      </c>
      <c r="C633">
        <v>1.842243672246326</v>
      </c>
      <c r="D633">
        <v>473.11200000000002</v>
      </c>
      <c r="E633">
        <v>687.07521412366293</v>
      </c>
      <c r="F633">
        <v>166.8708</v>
      </c>
      <c r="G633">
        <v>78.581999999999994</v>
      </c>
      <c r="H633">
        <v>9</v>
      </c>
      <c r="I633">
        <v>49</v>
      </c>
      <c r="J633">
        <v>4</v>
      </c>
      <c r="K633">
        <v>318</v>
      </c>
      <c r="L633">
        <v>64</v>
      </c>
      <c r="M633">
        <v>21</v>
      </c>
      <c r="N633">
        <v>1995</v>
      </c>
      <c r="O633">
        <v>0.27</v>
      </c>
      <c r="P633">
        <v>2.4700000000000002</v>
      </c>
      <c r="Q633">
        <v>1.4999999999999999E-2</v>
      </c>
      <c r="R633">
        <v>65</v>
      </c>
      <c r="S633">
        <v>700</v>
      </c>
      <c r="T633">
        <v>475</v>
      </c>
      <c r="U633">
        <v>275</v>
      </c>
      <c r="V633">
        <v>370</v>
      </c>
      <c r="W633">
        <v>155</v>
      </c>
    </row>
    <row r="634" spans="1:23">
      <c r="A634">
        <v>391.46316415096828</v>
      </c>
      <c r="B634">
        <v>154</v>
      </c>
      <c r="C634">
        <v>1.7793780188680379</v>
      </c>
      <c r="D634">
        <v>462.78399999999999</v>
      </c>
      <c r="E634">
        <v>691.49015188299904</v>
      </c>
      <c r="F634">
        <v>162.6576</v>
      </c>
      <c r="G634">
        <v>75.992000000000004</v>
      </c>
      <c r="H634">
        <v>6</v>
      </c>
      <c r="I634">
        <v>50</v>
      </c>
      <c r="J634">
        <v>7</v>
      </c>
      <c r="K634">
        <v>318</v>
      </c>
      <c r="L634">
        <v>56</v>
      </c>
      <c r="M634">
        <v>24</v>
      </c>
      <c r="N634">
        <v>1995</v>
      </c>
      <c r="O634">
        <v>0.27</v>
      </c>
      <c r="P634">
        <v>2.4700000000000002</v>
      </c>
      <c r="Q634">
        <v>1.4999999999999999E-2</v>
      </c>
      <c r="R634">
        <v>65</v>
      </c>
      <c r="S634">
        <v>700</v>
      </c>
      <c r="T634">
        <v>475</v>
      </c>
      <c r="U634">
        <v>275</v>
      </c>
      <c r="V634">
        <v>370</v>
      </c>
      <c r="W634">
        <v>155</v>
      </c>
    </row>
    <row r="635" spans="1:23">
      <c r="A635">
        <v>381.04936905295608</v>
      </c>
      <c r="B635">
        <v>150.5</v>
      </c>
      <c r="C635">
        <v>1.772322646757936</v>
      </c>
      <c r="D635">
        <v>447.62400000000002</v>
      </c>
      <c r="E635">
        <v>691.07196851373521</v>
      </c>
      <c r="F635">
        <v>207.00360000000001</v>
      </c>
      <c r="G635">
        <v>73.962000000000003</v>
      </c>
      <c r="H635">
        <v>22</v>
      </c>
      <c r="I635">
        <v>45</v>
      </c>
      <c r="J635">
        <v>4</v>
      </c>
      <c r="K635">
        <v>318</v>
      </c>
      <c r="L635">
        <v>58</v>
      </c>
      <c r="M635">
        <v>23</v>
      </c>
      <c r="N635">
        <v>1995</v>
      </c>
      <c r="O635">
        <v>0.27</v>
      </c>
      <c r="P635">
        <v>2.4700000000000002</v>
      </c>
      <c r="Q635">
        <v>1.4999999999999999E-2</v>
      </c>
      <c r="R635">
        <v>65</v>
      </c>
      <c r="S635">
        <v>700</v>
      </c>
      <c r="T635">
        <v>475</v>
      </c>
      <c r="U635">
        <v>275</v>
      </c>
      <c r="V635">
        <v>370</v>
      </c>
      <c r="W635">
        <v>155</v>
      </c>
    </row>
    <row r="636" spans="1:23">
      <c r="A636">
        <v>341.7963486531188</v>
      </c>
      <c r="B636">
        <v>142.744</v>
      </c>
      <c r="C636">
        <v>1.676129603045895</v>
      </c>
      <c r="D636">
        <v>818.53200000000004</v>
      </c>
      <c r="E636">
        <v>679.49614176516275</v>
      </c>
      <c r="F636">
        <v>649.63800000000003</v>
      </c>
      <c r="G636">
        <v>66.133320000000012</v>
      </c>
      <c r="H636">
        <v>40</v>
      </c>
      <c r="I636">
        <v>59</v>
      </c>
      <c r="J636">
        <v>11</v>
      </c>
      <c r="K636">
        <v>318</v>
      </c>
      <c r="L636">
        <v>61</v>
      </c>
      <c r="M636">
        <v>22</v>
      </c>
      <c r="N636">
        <v>1995</v>
      </c>
      <c r="O636">
        <v>0.27</v>
      </c>
      <c r="P636">
        <v>2.4700000000000002</v>
      </c>
      <c r="Q636">
        <v>1.4999999999999999E-2</v>
      </c>
      <c r="R636">
        <v>65</v>
      </c>
      <c r="S636">
        <v>700</v>
      </c>
      <c r="T636">
        <v>475</v>
      </c>
      <c r="U636">
        <v>275</v>
      </c>
      <c r="V636">
        <v>370</v>
      </c>
      <c r="W636">
        <v>155</v>
      </c>
    </row>
    <row r="637" spans="1:23">
      <c r="A637">
        <v>397.13880448394337</v>
      </c>
      <c r="B637">
        <v>228.375</v>
      </c>
      <c r="C637">
        <v>1.217283691904808</v>
      </c>
      <c r="D637">
        <v>489.10176000000001</v>
      </c>
      <c r="E637">
        <v>690.48871736520323</v>
      </c>
      <c r="F637">
        <v>162.99359999999999</v>
      </c>
      <c r="G637">
        <v>77.072700000000012</v>
      </c>
      <c r="H637">
        <v>8</v>
      </c>
      <c r="I637">
        <v>65</v>
      </c>
      <c r="J637">
        <v>4</v>
      </c>
      <c r="K637">
        <v>94</v>
      </c>
      <c r="L637">
        <v>42</v>
      </c>
      <c r="M637">
        <v>3</v>
      </c>
      <c r="N637">
        <v>1995</v>
      </c>
      <c r="O637">
        <v>0.27</v>
      </c>
      <c r="P637">
        <v>2.4700000000000002</v>
      </c>
      <c r="Q637">
        <v>1.4999999999999999E-2</v>
      </c>
      <c r="R637">
        <v>65</v>
      </c>
      <c r="S637">
        <v>700</v>
      </c>
      <c r="T637">
        <v>475</v>
      </c>
      <c r="U637">
        <v>275</v>
      </c>
      <c r="V637">
        <v>370</v>
      </c>
      <c r="W637">
        <v>155</v>
      </c>
    </row>
    <row r="638" spans="1:23">
      <c r="A638">
        <v>369.78360589384488</v>
      </c>
      <c r="B638">
        <v>217.119</v>
      </c>
      <c r="C638">
        <v>1.1921965563847079</v>
      </c>
      <c r="D638">
        <v>557.96400000000006</v>
      </c>
      <c r="E638">
        <v>686.83998364548665</v>
      </c>
      <c r="F638">
        <v>354.15600000000001</v>
      </c>
      <c r="G638">
        <v>71.692390000000003</v>
      </c>
      <c r="H638">
        <v>94</v>
      </c>
      <c r="I638">
        <v>55</v>
      </c>
      <c r="J638">
        <v>5</v>
      </c>
      <c r="K638">
        <v>40</v>
      </c>
      <c r="L638">
        <v>58</v>
      </c>
      <c r="M638">
        <v>6</v>
      </c>
      <c r="N638">
        <v>1995</v>
      </c>
      <c r="O638">
        <v>0.27</v>
      </c>
      <c r="P638">
        <v>2.4700000000000002</v>
      </c>
      <c r="Q638">
        <v>1.4999999999999999E-2</v>
      </c>
      <c r="R638">
        <v>65</v>
      </c>
      <c r="S638">
        <v>700</v>
      </c>
      <c r="T638">
        <v>475</v>
      </c>
      <c r="U638">
        <v>275</v>
      </c>
      <c r="V638">
        <v>370</v>
      </c>
      <c r="W638">
        <v>155</v>
      </c>
    </row>
  </sheetData>
  <sortState xmlns:xlrd2="http://schemas.microsoft.com/office/spreadsheetml/2017/richdata2" ref="A2:W638">
    <sortCondition descending="1" ref="C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E590D-D218-40C7-B40B-2886CA16B8D5}">
  <sheetPr codeName="Sheet8"/>
  <dimension ref="A1:W57"/>
  <sheetViews>
    <sheetView workbookViewId="0">
      <selection activeCell="A18" activeCellId="2" sqref="A2:XFD2 A6:XFD6 A18:XFD18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346.95433979671759</v>
      </c>
      <c r="B2">
        <v>11.144</v>
      </c>
      <c r="C2">
        <v>21.79361430883905</v>
      </c>
      <c r="D2">
        <v>539.49599999999998</v>
      </c>
      <c r="E2">
        <v>686.52614107883824</v>
      </c>
      <c r="F2">
        <v>560.58000000000004</v>
      </c>
      <c r="G2">
        <v>67.260559999999998</v>
      </c>
      <c r="H2">
        <v>163</v>
      </c>
      <c r="I2">
        <v>61</v>
      </c>
      <c r="J2">
        <v>8</v>
      </c>
      <c r="K2">
        <v>40</v>
      </c>
      <c r="L2">
        <v>57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65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356.4842740093776</v>
      </c>
      <c r="B3">
        <v>14.410666666666669</v>
      </c>
      <c r="C3">
        <v>17.316269786724948</v>
      </c>
      <c r="D3">
        <v>574.12800000000004</v>
      </c>
      <c r="E3">
        <v>667.07082282451188</v>
      </c>
      <c r="F3">
        <v>506.41199999999998</v>
      </c>
      <c r="G3">
        <v>68.740560000000002</v>
      </c>
      <c r="H3">
        <v>164</v>
      </c>
      <c r="I3">
        <v>63</v>
      </c>
      <c r="J3">
        <v>4</v>
      </c>
      <c r="K3">
        <v>40</v>
      </c>
      <c r="L3">
        <v>57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65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344.94916853677069</v>
      </c>
      <c r="B4">
        <v>14</v>
      </c>
      <c r="C4">
        <v>17.247458426838531</v>
      </c>
      <c r="D4">
        <v>523.56096000000002</v>
      </c>
      <c r="E4">
        <v>608.46473029045649</v>
      </c>
      <c r="F4">
        <v>196.33536000000001</v>
      </c>
      <c r="G4">
        <v>65.445120000000003</v>
      </c>
      <c r="H4">
        <v>8</v>
      </c>
      <c r="I4">
        <v>104</v>
      </c>
      <c r="J4">
        <v>3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65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338.39403762531617</v>
      </c>
      <c r="B5">
        <v>14</v>
      </c>
      <c r="C5">
        <v>16.919701881265809</v>
      </c>
      <c r="D5">
        <v>525.69600000000003</v>
      </c>
      <c r="E5">
        <v>692.71369294605802</v>
      </c>
      <c r="F5">
        <v>197.136</v>
      </c>
      <c r="G5">
        <v>65.712000000000003</v>
      </c>
      <c r="H5">
        <v>6</v>
      </c>
      <c r="I5">
        <v>111</v>
      </c>
      <c r="J5">
        <v>4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65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343.04314388702733</v>
      </c>
      <c r="B6">
        <v>16.744</v>
      </c>
      <c r="C6">
        <v>14.34126855714997</v>
      </c>
      <c r="D6">
        <v>628.40700000000004</v>
      </c>
      <c r="E6">
        <v>688.75020746887958</v>
      </c>
      <c r="F6">
        <v>471.84660000000002</v>
      </c>
      <c r="G6">
        <v>66.542760000000015</v>
      </c>
      <c r="H6">
        <v>52</v>
      </c>
      <c r="I6">
        <v>58</v>
      </c>
      <c r="J6">
        <v>9</v>
      </c>
      <c r="K6">
        <v>40</v>
      </c>
      <c r="L6">
        <v>57</v>
      </c>
      <c r="M6">
        <v>6</v>
      </c>
      <c r="N6">
        <v>1995</v>
      </c>
      <c r="O6">
        <v>0.27</v>
      </c>
      <c r="P6">
        <v>2.4700000000000002</v>
      </c>
      <c r="Q6">
        <v>1.4999999999999999E-2</v>
      </c>
      <c r="R6">
        <v>65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338.58926727419851</v>
      </c>
      <c r="B7">
        <v>16.744</v>
      </c>
      <c r="C7">
        <v>14.155069702098601</v>
      </c>
      <c r="D7">
        <v>752.96064000000001</v>
      </c>
      <c r="E7">
        <v>685.54356846473024</v>
      </c>
      <c r="F7">
        <v>467.49023999999997</v>
      </c>
      <c r="G7">
        <v>65.621279999999999</v>
      </c>
      <c r="H7">
        <v>8</v>
      </c>
      <c r="I7">
        <v>52</v>
      </c>
      <c r="J7">
        <v>4</v>
      </c>
      <c r="K7">
        <v>40</v>
      </c>
      <c r="L7">
        <v>68</v>
      </c>
      <c r="M7">
        <v>5</v>
      </c>
      <c r="N7">
        <v>1995</v>
      </c>
      <c r="O7">
        <v>0.27</v>
      </c>
      <c r="P7">
        <v>2.4700000000000002</v>
      </c>
      <c r="Q7">
        <v>1.4999999999999999E-2</v>
      </c>
      <c r="R7">
        <v>65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342.52911147294952</v>
      </c>
      <c r="B8">
        <v>18.899999999999999</v>
      </c>
      <c r="C8">
        <v>12.686263387887021</v>
      </c>
      <c r="D8">
        <v>412.92</v>
      </c>
      <c r="E8">
        <v>682.10788381742736</v>
      </c>
      <c r="F8">
        <v>284.16000000000003</v>
      </c>
      <c r="G8">
        <v>66.322500000000005</v>
      </c>
      <c r="H8">
        <v>22</v>
      </c>
      <c r="I8">
        <v>53</v>
      </c>
      <c r="J8">
        <v>3</v>
      </c>
      <c r="K8">
        <v>163</v>
      </c>
      <c r="L8">
        <v>60</v>
      </c>
      <c r="M8">
        <v>4</v>
      </c>
      <c r="N8">
        <v>1995</v>
      </c>
      <c r="O8">
        <v>0.27</v>
      </c>
      <c r="P8">
        <v>2.4700000000000002</v>
      </c>
      <c r="Q8">
        <v>1.4999999999999999E-2</v>
      </c>
      <c r="R8">
        <v>65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386.75121109745243</v>
      </c>
      <c r="B9">
        <v>22.4</v>
      </c>
      <c r="C9">
        <v>12.08597534679539</v>
      </c>
      <c r="D9">
        <v>469.33920000000001</v>
      </c>
      <c r="E9">
        <v>690.62240663900423</v>
      </c>
      <c r="F9">
        <v>262.02719999999999</v>
      </c>
      <c r="G9">
        <v>75.059520000000006</v>
      </c>
      <c r="H9">
        <v>8</v>
      </c>
      <c r="I9">
        <v>63</v>
      </c>
      <c r="J9">
        <v>4</v>
      </c>
      <c r="K9">
        <v>163</v>
      </c>
      <c r="L9">
        <v>48</v>
      </c>
      <c r="M9">
        <v>5</v>
      </c>
      <c r="N9">
        <v>1995</v>
      </c>
      <c r="O9">
        <v>0.27</v>
      </c>
      <c r="P9">
        <v>2.4700000000000002</v>
      </c>
      <c r="Q9">
        <v>1.4999999999999999E-2</v>
      </c>
      <c r="R9">
        <v>65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367.7025291456186</v>
      </c>
      <c r="B10">
        <v>22.4</v>
      </c>
      <c r="C10">
        <v>11.490704035800579</v>
      </c>
      <c r="D10">
        <v>439.56</v>
      </c>
      <c r="E10">
        <v>688.30705394190875</v>
      </c>
      <c r="F10">
        <v>250.86</v>
      </c>
      <c r="G10">
        <v>71.317499999999995</v>
      </c>
      <c r="H10">
        <v>9</v>
      </c>
      <c r="I10">
        <v>59</v>
      </c>
      <c r="J10">
        <v>3</v>
      </c>
      <c r="K10">
        <v>163</v>
      </c>
      <c r="L10">
        <v>48</v>
      </c>
      <c r="M10">
        <v>5</v>
      </c>
      <c r="N10">
        <v>1995</v>
      </c>
      <c r="O10">
        <v>0.27</v>
      </c>
      <c r="P10">
        <v>2.4700000000000002</v>
      </c>
      <c r="Q10">
        <v>1.4999999999999999E-2</v>
      </c>
      <c r="R10">
        <v>65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366.52571594930629</v>
      </c>
      <c r="B11">
        <v>22.4</v>
      </c>
      <c r="C11">
        <v>11.45392862341582</v>
      </c>
      <c r="D11">
        <v>1094.6376</v>
      </c>
      <c r="E11">
        <v>679.36929460580916</v>
      </c>
      <c r="F11">
        <v>304.70832000000001</v>
      </c>
      <c r="G11">
        <v>70.915679999999995</v>
      </c>
      <c r="H11">
        <v>163</v>
      </c>
      <c r="I11">
        <v>56</v>
      </c>
      <c r="J11">
        <v>9</v>
      </c>
      <c r="K11">
        <v>161</v>
      </c>
      <c r="L11">
        <v>57</v>
      </c>
      <c r="M11">
        <v>24</v>
      </c>
      <c r="N11">
        <v>1995</v>
      </c>
      <c r="O11">
        <v>0.27</v>
      </c>
      <c r="P11">
        <v>2.4700000000000002</v>
      </c>
      <c r="Q11">
        <v>1.4999999999999999E-2</v>
      </c>
      <c r="R11">
        <v>65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358.20990469346538</v>
      </c>
      <c r="B12">
        <v>22.4</v>
      </c>
      <c r="C12">
        <v>11.194059521670789</v>
      </c>
      <c r="D12">
        <v>415.36200000000002</v>
      </c>
      <c r="E12">
        <v>692.71369294605802</v>
      </c>
      <c r="F12">
        <v>253.857</v>
      </c>
      <c r="G12">
        <v>69.560000000000016</v>
      </c>
      <c r="H12">
        <v>52</v>
      </c>
      <c r="I12">
        <v>54</v>
      </c>
      <c r="J12">
        <v>10</v>
      </c>
      <c r="K12">
        <v>96</v>
      </c>
      <c r="L12">
        <v>58</v>
      </c>
      <c r="M12">
        <v>20</v>
      </c>
      <c r="N12">
        <v>1995</v>
      </c>
      <c r="O12">
        <v>0.27</v>
      </c>
      <c r="P12">
        <v>2.4700000000000002</v>
      </c>
      <c r="Q12">
        <v>1.4999999999999999E-2</v>
      </c>
      <c r="R12">
        <v>65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375.67908128459112</v>
      </c>
      <c r="B13">
        <v>23.744</v>
      </c>
      <c r="C13">
        <v>11.075444613342899</v>
      </c>
      <c r="D13">
        <v>710.44319999999993</v>
      </c>
      <c r="E13">
        <v>685.65311203319504</v>
      </c>
      <c r="F13">
        <v>439.9624</v>
      </c>
      <c r="G13">
        <v>72.811759999999992</v>
      </c>
      <c r="H13">
        <v>39</v>
      </c>
      <c r="I13">
        <v>62</v>
      </c>
      <c r="J13">
        <v>7</v>
      </c>
      <c r="K13">
        <v>40</v>
      </c>
      <c r="L13">
        <v>57</v>
      </c>
      <c r="M13">
        <v>6</v>
      </c>
      <c r="N13">
        <v>1995</v>
      </c>
      <c r="O13">
        <v>0.27</v>
      </c>
      <c r="P13">
        <v>2.4700000000000002</v>
      </c>
      <c r="Q13">
        <v>1.4999999999999999E-2</v>
      </c>
      <c r="R13">
        <v>65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400.09879892229571</v>
      </c>
      <c r="B14">
        <v>25.666666666666661</v>
      </c>
      <c r="C14">
        <v>10.91178542515352</v>
      </c>
      <c r="D14">
        <v>370.74</v>
      </c>
      <c r="E14">
        <v>692.98196157235407</v>
      </c>
      <c r="F14">
        <v>259.74</v>
      </c>
      <c r="G14">
        <v>77.7</v>
      </c>
      <c r="H14">
        <v>164</v>
      </c>
      <c r="I14">
        <v>60</v>
      </c>
      <c r="J14">
        <v>5</v>
      </c>
      <c r="K14">
        <v>6</v>
      </c>
      <c r="L14">
        <v>50</v>
      </c>
      <c r="M14">
        <v>3</v>
      </c>
      <c r="N14">
        <v>1995</v>
      </c>
      <c r="O14">
        <v>0.27</v>
      </c>
      <c r="P14">
        <v>2.4700000000000002</v>
      </c>
      <c r="Q14">
        <v>1.4999999999999999E-2</v>
      </c>
      <c r="R14">
        <v>65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344.29262267986257</v>
      </c>
      <c r="B15">
        <v>22.166666666666661</v>
      </c>
      <c r="C15">
        <v>10.87239861094303</v>
      </c>
      <c r="D15">
        <v>380.73599999999999</v>
      </c>
      <c r="E15">
        <v>687.15328557361568</v>
      </c>
      <c r="F15">
        <v>246.6</v>
      </c>
      <c r="G15">
        <v>66.756</v>
      </c>
      <c r="H15">
        <v>164</v>
      </c>
      <c r="I15">
        <v>60</v>
      </c>
      <c r="J15">
        <v>4</v>
      </c>
      <c r="K15">
        <v>147</v>
      </c>
      <c r="L15">
        <v>46</v>
      </c>
      <c r="M15">
        <v>3</v>
      </c>
      <c r="N15">
        <v>1995</v>
      </c>
      <c r="O15">
        <v>0.27</v>
      </c>
      <c r="P15">
        <v>2.4700000000000002</v>
      </c>
      <c r="Q15">
        <v>1.4999999999999999E-2</v>
      </c>
      <c r="R15">
        <v>65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346.90832156562692</v>
      </c>
      <c r="B16">
        <v>22.4</v>
      </c>
      <c r="C16">
        <v>10.840885048925839</v>
      </c>
      <c r="D16">
        <v>405.24880000000007</v>
      </c>
      <c r="E16">
        <v>692.54937759336099</v>
      </c>
      <c r="F16">
        <v>247.71174999999999</v>
      </c>
      <c r="G16">
        <v>67.362350000000006</v>
      </c>
      <c r="H16">
        <v>53</v>
      </c>
      <c r="I16">
        <v>54</v>
      </c>
      <c r="J16">
        <v>10</v>
      </c>
      <c r="K16">
        <v>96</v>
      </c>
      <c r="L16">
        <v>59</v>
      </c>
      <c r="M16">
        <v>19</v>
      </c>
      <c r="N16">
        <v>1995</v>
      </c>
      <c r="O16">
        <v>0.27</v>
      </c>
      <c r="P16">
        <v>2.4700000000000002</v>
      </c>
      <c r="Q16">
        <v>1.4999999999999999E-2</v>
      </c>
      <c r="R16">
        <v>65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346.81495500269318</v>
      </c>
      <c r="B17">
        <v>22.400000000000009</v>
      </c>
      <c r="C17">
        <v>10.83796734383416</v>
      </c>
      <c r="D17">
        <v>470.529</v>
      </c>
      <c r="E17">
        <v>691.91701244813271</v>
      </c>
      <c r="F17">
        <v>291.90780000000001</v>
      </c>
      <c r="G17">
        <v>67.332599999999999</v>
      </c>
      <c r="H17">
        <v>163</v>
      </c>
      <c r="I17">
        <v>54</v>
      </c>
      <c r="J17">
        <v>9</v>
      </c>
      <c r="K17">
        <v>143</v>
      </c>
      <c r="L17">
        <v>56</v>
      </c>
      <c r="M17">
        <v>9</v>
      </c>
      <c r="N17">
        <v>1995</v>
      </c>
      <c r="O17">
        <v>0.27</v>
      </c>
      <c r="P17">
        <v>2.4700000000000002</v>
      </c>
      <c r="Q17">
        <v>1.4999999999999999E-2</v>
      </c>
      <c r="R17">
        <v>65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345.20903712607702</v>
      </c>
      <c r="B18">
        <v>22.4</v>
      </c>
      <c r="C18">
        <v>10.78778241018991</v>
      </c>
      <c r="D18">
        <v>461.46064000000001</v>
      </c>
      <c r="E18">
        <v>688.21576763485473</v>
      </c>
      <c r="F18">
        <v>243.31023999999999</v>
      </c>
      <c r="G18">
        <v>66.953119999999998</v>
      </c>
      <c r="H18">
        <v>8</v>
      </c>
      <c r="I18">
        <v>53</v>
      </c>
      <c r="J18">
        <v>4</v>
      </c>
      <c r="K18">
        <v>57</v>
      </c>
      <c r="L18">
        <v>55</v>
      </c>
      <c r="M18">
        <v>7</v>
      </c>
      <c r="N18">
        <v>1995</v>
      </c>
      <c r="O18">
        <v>0.27</v>
      </c>
      <c r="P18">
        <v>2.4700000000000002</v>
      </c>
      <c r="Q18">
        <v>1.4999999999999999E-2</v>
      </c>
      <c r="R18">
        <v>65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395.3961253121804</v>
      </c>
      <c r="B19">
        <v>25.666666666666661</v>
      </c>
      <c r="C19">
        <v>10.78353069033219</v>
      </c>
      <c r="D19">
        <v>507.8304</v>
      </c>
      <c r="E19">
        <v>690.6367680314313</v>
      </c>
      <c r="F19">
        <v>240.38640000000001</v>
      </c>
      <c r="G19">
        <v>76.7376</v>
      </c>
      <c r="H19">
        <v>8</v>
      </c>
      <c r="I19">
        <v>52</v>
      </c>
      <c r="J19">
        <v>5</v>
      </c>
      <c r="K19">
        <v>164</v>
      </c>
      <c r="L19">
        <v>60</v>
      </c>
      <c r="M19">
        <v>2</v>
      </c>
      <c r="N19">
        <v>1995</v>
      </c>
      <c r="O19">
        <v>0.27</v>
      </c>
      <c r="P19">
        <v>2.4700000000000002</v>
      </c>
      <c r="Q19">
        <v>1.4999999999999999E-2</v>
      </c>
      <c r="R19">
        <v>65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340.55542324866508</v>
      </c>
      <c r="B20">
        <v>22.4</v>
      </c>
      <c r="C20">
        <v>10.642356976520791</v>
      </c>
      <c r="D20">
        <v>419.50600000000009</v>
      </c>
      <c r="E20">
        <v>689.95850622406647</v>
      </c>
      <c r="F20">
        <v>241.90600000000001</v>
      </c>
      <c r="G20">
        <v>66.081999999999994</v>
      </c>
      <c r="H20">
        <v>7</v>
      </c>
      <c r="I20">
        <v>52</v>
      </c>
      <c r="J20">
        <v>5</v>
      </c>
      <c r="K20">
        <v>163</v>
      </c>
      <c r="L20">
        <v>59</v>
      </c>
      <c r="M20">
        <v>4</v>
      </c>
      <c r="N20">
        <v>1995</v>
      </c>
      <c r="O20">
        <v>0.27</v>
      </c>
      <c r="P20">
        <v>2.4700000000000002</v>
      </c>
      <c r="Q20">
        <v>1.4999999999999999E-2</v>
      </c>
      <c r="R20">
        <v>65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358.51875101758861</v>
      </c>
      <c r="B21">
        <v>23.744</v>
      </c>
      <c r="C21">
        <v>10.569538650282681</v>
      </c>
      <c r="D21">
        <v>548.65350000000001</v>
      </c>
      <c r="E21">
        <v>690.24398340248968</v>
      </c>
      <c r="F21">
        <v>433.48500000000001</v>
      </c>
      <c r="G21">
        <v>69.573059999999998</v>
      </c>
      <c r="H21">
        <v>55</v>
      </c>
      <c r="I21">
        <v>57</v>
      </c>
      <c r="J21">
        <v>9</v>
      </c>
      <c r="K21">
        <v>40</v>
      </c>
      <c r="L21">
        <v>57</v>
      </c>
      <c r="M21">
        <v>6</v>
      </c>
      <c r="N21">
        <v>1995</v>
      </c>
      <c r="O21">
        <v>0.27</v>
      </c>
      <c r="P21">
        <v>2.4700000000000002</v>
      </c>
      <c r="Q21">
        <v>1.4999999999999999E-2</v>
      </c>
      <c r="R21">
        <v>65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337.06577161209782</v>
      </c>
      <c r="B22">
        <v>22.4</v>
      </c>
      <c r="C22">
        <v>10.53330536287806</v>
      </c>
      <c r="D22">
        <v>455.22431999999998</v>
      </c>
      <c r="E22">
        <v>688.0199170124481</v>
      </c>
      <c r="F22">
        <v>241.26911999999999</v>
      </c>
      <c r="G22">
        <v>65.37024000000001</v>
      </c>
      <c r="H22">
        <v>8</v>
      </c>
      <c r="I22">
        <v>51</v>
      </c>
      <c r="J22">
        <v>4</v>
      </c>
      <c r="K22">
        <v>295</v>
      </c>
      <c r="L22">
        <v>56</v>
      </c>
      <c r="M22">
        <v>7</v>
      </c>
      <c r="N22">
        <v>1995</v>
      </c>
      <c r="O22">
        <v>0.27</v>
      </c>
      <c r="P22">
        <v>2.4700000000000002</v>
      </c>
      <c r="Q22">
        <v>1.4999999999999999E-2</v>
      </c>
      <c r="R22">
        <v>65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386.00474607982989</v>
      </c>
      <c r="B23">
        <v>25.666666666666661</v>
      </c>
      <c r="C23">
        <v>10.527402165813539</v>
      </c>
      <c r="D23">
        <v>1151.6472000000001</v>
      </c>
      <c r="E23">
        <v>678.75430483420587</v>
      </c>
      <c r="F23">
        <v>252.70704000000001</v>
      </c>
      <c r="G23">
        <v>74.671920000000014</v>
      </c>
      <c r="H23">
        <v>164</v>
      </c>
      <c r="I23">
        <v>54</v>
      </c>
      <c r="J23">
        <v>5</v>
      </c>
      <c r="K23">
        <v>161</v>
      </c>
      <c r="L23">
        <v>58</v>
      </c>
      <c r="M23">
        <v>24</v>
      </c>
      <c r="N23">
        <v>1995</v>
      </c>
      <c r="O23">
        <v>0.27</v>
      </c>
      <c r="P23">
        <v>2.4700000000000002</v>
      </c>
      <c r="Q23">
        <v>1.4999999999999999E-2</v>
      </c>
      <c r="R23">
        <v>65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356.70229668379397</v>
      </c>
      <c r="B24">
        <v>23.744</v>
      </c>
      <c r="C24">
        <v>10.515987520159021</v>
      </c>
      <c r="D24">
        <v>550.28880000000004</v>
      </c>
      <c r="E24">
        <v>685.14522821576759</v>
      </c>
      <c r="F24">
        <v>435.16919999999999</v>
      </c>
      <c r="G24">
        <v>69.124200000000016</v>
      </c>
      <c r="H24">
        <v>54</v>
      </c>
      <c r="I24">
        <v>53</v>
      </c>
      <c r="J24">
        <v>4</v>
      </c>
      <c r="K24">
        <v>40</v>
      </c>
      <c r="L24">
        <v>69</v>
      </c>
      <c r="M24">
        <v>5</v>
      </c>
      <c r="N24">
        <v>1995</v>
      </c>
      <c r="O24">
        <v>0.27</v>
      </c>
      <c r="P24">
        <v>2.4700000000000002</v>
      </c>
      <c r="Q24">
        <v>1.4999999999999999E-2</v>
      </c>
      <c r="R24">
        <v>65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336.39430105331451</v>
      </c>
      <c r="B25">
        <v>22.4</v>
      </c>
      <c r="C25">
        <v>10.51232190791608</v>
      </c>
      <c r="D25">
        <v>521.34480000000008</v>
      </c>
      <c r="E25">
        <v>683.98506224066398</v>
      </c>
      <c r="F25">
        <v>240.9255</v>
      </c>
      <c r="G25">
        <v>65.16810000000001</v>
      </c>
      <c r="H25">
        <v>9</v>
      </c>
      <c r="I25">
        <v>51</v>
      </c>
      <c r="J25">
        <v>3</v>
      </c>
      <c r="K25">
        <v>96</v>
      </c>
      <c r="L25">
        <v>62</v>
      </c>
      <c r="M25">
        <v>18</v>
      </c>
      <c r="N25">
        <v>1995</v>
      </c>
      <c r="O25">
        <v>0.27</v>
      </c>
      <c r="P25">
        <v>2.4700000000000002</v>
      </c>
      <c r="Q25">
        <v>1.4999999999999999E-2</v>
      </c>
      <c r="R25">
        <v>65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379.41557902085879</v>
      </c>
      <c r="B26">
        <v>25.666666666666661</v>
      </c>
      <c r="C26">
        <v>10.347697609659789</v>
      </c>
      <c r="D26">
        <v>636.03</v>
      </c>
      <c r="E26">
        <v>684.81022826013509</v>
      </c>
      <c r="F26">
        <v>251.08199999999999</v>
      </c>
      <c r="G26">
        <v>73.519000000000005</v>
      </c>
      <c r="H26">
        <v>164</v>
      </c>
      <c r="I26">
        <v>55</v>
      </c>
      <c r="J26">
        <v>5</v>
      </c>
      <c r="K26">
        <v>2</v>
      </c>
      <c r="L26">
        <v>51</v>
      </c>
      <c r="M26">
        <v>4</v>
      </c>
      <c r="N26">
        <v>1995</v>
      </c>
      <c r="O26">
        <v>0.27</v>
      </c>
      <c r="P26">
        <v>2.4700000000000002</v>
      </c>
      <c r="Q26">
        <v>1.4999999999999999E-2</v>
      </c>
      <c r="R26">
        <v>65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377.52364884406398</v>
      </c>
      <c r="B27">
        <v>25.666666666666661</v>
      </c>
      <c r="C27">
        <v>10.29609951392902</v>
      </c>
      <c r="D27">
        <v>481.51799999999997</v>
      </c>
      <c r="E27">
        <v>690.18935332096964</v>
      </c>
      <c r="F27">
        <v>231.768</v>
      </c>
      <c r="G27">
        <v>73.260000000000005</v>
      </c>
      <c r="H27">
        <v>9</v>
      </c>
      <c r="I27">
        <v>60</v>
      </c>
      <c r="J27">
        <v>3</v>
      </c>
      <c r="K27">
        <v>164</v>
      </c>
      <c r="L27">
        <v>42</v>
      </c>
      <c r="M27">
        <v>3</v>
      </c>
      <c r="N27">
        <v>1995</v>
      </c>
      <c r="O27">
        <v>0.27</v>
      </c>
      <c r="P27">
        <v>2.4700000000000002</v>
      </c>
      <c r="Q27">
        <v>1.4999999999999999E-2</v>
      </c>
      <c r="R27">
        <v>65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431.07029120099457</v>
      </c>
      <c r="B28">
        <v>29.4</v>
      </c>
      <c r="C28">
        <v>10.263578361928451</v>
      </c>
      <c r="D28">
        <v>419.80319999999989</v>
      </c>
      <c r="E28">
        <v>689.36431535269708</v>
      </c>
      <c r="F28">
        <v>228.73439999999999</v>
      </c>
      <c r="G28">
        <v>83.632100000000008</v>
      </c>
      <c r="H28">
        <v>39</v>
      </c>
      <c r="I28">
        <v>58</v>
      </c>
      <c r="J28">
        <v>9</v>
      </c>
      <c r="K28">
        <v>163</v>
      </c>
      <c r="L28">
        <v>49</v>
      </c>
      <c r="M28">
        <v>5</v>
      </c>
      <c r="N28">
        <v>1995</v>
      </c>
      <c r="O28">
        <v>0.27</v>
      </c>
      <c r="P28">
        <v>2.4700000000000002</v>
      </c>
      <c r="Q28">
        <v>1.4999999999999999E-2</v>
      </c>
      <c r="R28">
        <v>65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355.67614074333198</v>
      </c>
      <c r="B29">
        <v>24.73863636363636</v>
      </c>
      <c r="C29">
        <v>10.064148033894931</v>
      </c>
      <c r="D29">
        <v>1146.0672</v>
      </c>
      <c r="E29">
        <v>680.91792232152181</v>
      </c>
      <c r="F29">
        <v>247.12703999999999</v>
      </c>
      <c r="G29">
        <v>68.845679999999987</v>
      </c>
      <c r="H29">
        <v>95</v>
      </c>
      <c r="I29">
        <v>55</v>
      </c>
      <c r="J29">
        <v>5</v>
      </c>
      <c r="K29">
        <v>161</v>
      </c>
      <c r="L29">
        <v>57</v>
      </c>
      <c r="M29">
        <v>24</v>
      </c>
      <c r="N29">
        <v>1995</v>
      </c>
      <c r="O29">
        <v>0.27</v>
      </c>
      <c r="P29">
        <v>2.4700000000000002</v>
      </c>
      <c r="Q29">
        <v>1.4999999999999999E-2</v>
      </c>
      <c r="R29">
        <v>65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340.49644343836258</v>
      </c>
      <c r="B30">
        <v>23.744</v>
      </c>
      <c r="C30">
        <v>10.03822062023475</v>
      </c>
      <c r="D30">
        <v>625.928</v>
      </c>
      <c r="E30">
        <v>688.65062240663906</v>
      </c>
      <c r="F30">
        <v>426.43279999999999</v>
      </c>
      <c r="G30">
        <v>66.046960000000013</v>
      </c>
      <c r="H30">
        <v>33</v>
      </c>
      <c r="I30">
        <v>56</v>
      </c>
      <c r="J30">
        <v>4</v>
      </c>
      <c r="K30">
        <v>40</v>
      </c>
      <c r="L30">
        <v>57</v>
      </c>
      <c r="M30">
        <v>6</v>
      </c>
      <c r="N30">
        <v>1995</v>
      </c>
      <c r="O30">
        <v>0.27</v>
      </c>
      <c r="P30">
        <v>2.4700000000000002</v>
      </c>
      <c r="Q30">
        <v>1.4999999999999999E-2</v>
      </c>
      <c r="R30">
        <v>65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340.49644343836258</v>
      </c>
      <c r="B31">
        <v>23.744</v>
      </c>
      <c r="C31">
        <v>10.03822062023475</v>
      </c>
      <c r="D31">
        <v>625.928</v>
      </c>
      <c r="E31">
        <v>688.65062240663906</v>
      </c>
      <c r="F31">
        <v>426.43279999999999</v>
      </c>
      <c r="G31">
        <v>66.046960000000013</v>
      </c>
      <c r="H31">
        <v>332</v>
      </c>
      <c r="I31">
        <v>56</v>
      </c>
      <c r="J31">
        <v>4</v>
      </c>
      <c r="K31">
        <v>40</v>
      </c>
      <c r="L31">
        <v>57</v>
      </c>
      <c r="M31">
        <v>6</v>
      </c>
      <c r="N31">
        <v>1995</v>
      </c>
      <c r="O31">
        <v>0.27</v>
      </c>
      <c r="P31">
        <v>2.4700000000000002</v>
      </c>
      <c r="Q31">
        <v>1.4999999999999999E-2</v>
      </c>
      <c r="R31">
        <v>65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363.56547683985679</v>
      </c>
      <c r="B32">
        <v>25.666666666666671</v>
      </c>
      <c r="C32">
        <v>9.9154220956324561</v>
      </c>
      <c r="D32">
        <v>505.49400000000003</v>
      </c>
      <c r="E32">
        <v>686.36030030599863</v>
      </c>
      <c r="F32">
        <v>236.96279999999999</v>
      </c>
      <c r="G32">
        <v>70.47760000000001</v>
      </c>
      <c r="H32">
        <v>164</v>
      </c>
      <c r="I32">
        <v>52</v>
      </c>
      <c r="J32">
        <v>5</v>
      </c>
      <c r="K32">
        <v>143</v>
      </c>
      <c r="L32">
        <v>56</v>
      </c>
      <c r="M32">
        <v>9</v>
      </c>
      <c r="N32">
        <v>1995</v>
      </c>
      <c r="O32">
        <v>0.27</v>
      </c>
      <c r="P32">
        <v>2.4700000000000002</v>
      </c>
      <c r="Q32">
        <v>1.4999999999999999E-2</v>
      </c>
      <c r="R32">
        <v>65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343.63434428351121</v>
      </c>
      <c r="B33">
        <v>24.5</v>
      </c>
      <c r="C33">
        <v>9.8181241223860347</v>
      </c>
      <c r="D33">
        <v>456.95</v>
      </c>
      <c r="E33">
        <v>689.65975103734445</v>
      </c>
      <c r="F33">
        <v>239.53800000000001</v>
      </c>
      <c r="G33">
        <v>66.674000000000007</v>
      </c>
      <c r="H33">
        <v>22</v>
      </c>
      <c r="I33">
        <v>53</v>
      </c>
      <c r="J33">
        <v>3</v>
      </c>
      <c r="K33">
        <v>52</v>
      </c>
      <c r="L33">
        <v>53</v>
      </c>
      <c r="M33">
        <v>5</v>
      </c>
      <c r="N33">
        <v>1995</v>
      </c>
      <c r="O33">
        <v>0.27</v>
      </c>
      <c r="P33">
        <v>2.4700000000000002</v>
      </c>
      <c r="Q33">
        <v>1.4999999999999999E-2</v>
      </c>
      <c r="R33">
        <v>65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342.0008519315117</v>
      </c>
      <c r="B34">
        <v>24.5</v>
      </c>
      <c r="C34">
        <v>9.7714529123289076</v>
      </c>
      <c r="D34">
        <v>524.19647999999995</v>
      </c>
      <c r="E34">
        <v>689.65975103734445</v>
      </c>
      <c r="F34">
        <v>239.86367999999999</v>
      </c>
      <c r="G34">
        <v>66.357060000000004</v>
      </c>
      <c r="H34">
        <v>22</v>
      </c>
      <c r="I34">
        <v>53</v>
      </c>
      <c r="J34">
        <v>3</v>
      </c>
      <c r="K34">
        <v>8</v>
      </c>
      <c r="L34">
        <v>53</v>
      </c>
      <c r="M34">
        <v>2</v>
      </c>
      <c r="N34">
        <v>1995</v>
      </c>
      <c r="O34">
        <v>0.27</v>
      </c>
      <c r="P34">
        <v>2.4700000000000002</v>
      </c>
      <c r="Q34">
        <v>1.4999999999999999E-2</v>
      </c>
      <c r="R34">
        <v>65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337.98601895886833</v>
      </c>
      <c r="B35">
        <v>24.5</v>
      </c>
      <c r="C35">
        <v>9.6567433988248101</v>
      </c>
      <c r="D35">
        <v>455.63249999999999</v>
      </c>
      <c r="E35">
        <v>688.92946058091297</v>
      </c>
      <c r="F35">
        <v>238.7475</v>
      </c>
      <c r="G35">
        <v>65.564999999999998</v>
      </c>
      <c r="H35">
        <v>22</v>
      </c>
      <c r="I35">
        <v>52</v>
      </c>
      <c r="J35">
        <v>3</v>
      </c>
      <c r="K35">
        <v>53</v>
      </c>
      <c r="L35">
        <v>54</v>
      </c>
      <c r="M35">
        <v>5</v>
      </c>
      <c r="N35">
        <v>1995</v>
      </c>
      <c r="O35">
        <v>0.27</v>
      </c>
      <c r="P35">
        <v>2.4700000000000002</v>
      </c>
      <c r="Q35">
        <v>1.4999999999999999E-2</v>
      </c>
      <c r="R35">
        <v>65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382.64828728598502</v>
      </c>
      <c r="B36">
        <v>28</v>
      </c>
      <c r="C36">
        <v>9.5662071821496237</v>
      </c>
      <c r="D36">
        <v>371.4205</v>
      </c>
      <c r="E36">
        <v>691.65145228215761</v>
      </c>
      <c r="F36">
        <v>222.85230000000001</v>
      </c>
      <c r="G36">
        <v>74.284100000000009</v>
      </c>
      <c r="H36">
        <v>52</v>
      </c>
      <c r="I36">
        <v>56</v>
      </c>
      <c r="J36">
        <v>11</v>
      </c>
      <c r="K36">
        <v>53</v>
      </c>
      <c r="L36">
        <v>53</v>
      </c>
      <c r="M36">
        <v>5</v>
      </c>
      <c r="N36">
        <v>1995</v>
      </c>
      <c r="O36">
        <v>0.27</v>
      </c>
      <c r="P36">
        <v>2.4700000000000002</v>
      </c>
      <c r="Q36">
        <v>1.4999999999999999E-2</v>
      </c>
      <c r="R36">
        <v>65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401.05753184493358</v>
      </c>
      <c r="B37">
        <v>29.4</v>
      </c>
      <c r="C37">
        <v>9.5489888534508012</v>
      </c>
      <c r="D37">
        <v>514.03822500000001</v>
      </c>
      <c r="E37">
        <v>690.01825726141078</v>
      </c>
      <c r="F37">
        <v>316.60493000000002</v>
      </c>
      <c r="G37">
        <v>77.823209999999989</v>
      </c>
      <c r="H37">
        <v>163</v>
      </c>
      <c r="I37">
        <v>53</v>
      </c>
      <c r="J37">
        <v>11</v>
      </c>
      <c r="K37">
        <v>142</v>
      </c>
      <c r="L37">
        <v>58</v>
      </c>
      <c r="M37">
        <v>17</v>
      </c>
      <c r="N37">
        <v>1995</v>
      </c>
      <c r="O37">
        <v>0.27</v>
      </c>
      <c r="P37">
        <v>2.4700000000000002</v>
      </c>
      <c r="Q37">
        <v>1.4999999999999999E-2</v>
      </c>
      <c r="R37">
        <v>65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377.22502340067769</v>
      </c>
      <c r="B38">
        <v>28</v>
      </c>
      <c r="C38">
        <v>9.4306255850169425</v>
      </c>
      <c r="D38">
        <v>515.49670000000003</v>
      </c>
      <c r="E38">
        <v>674.77178423236523</v>
      </c>
      <c r="F38">
        <v>218.68170000000001</v>
      </c>
      <c r="G38">
        <v>72.893899999999988</v>
      </c>
      <c r="H38">
        <v>8</v>
      </c>
      <c r="I38">
        <v>60</v>
      </c>
      <c r="J38">
        <v>4</v>
      </c>
      <c r="K38">
        <v>52</v>
      </c>
      <c r="L38">
        <v>53</v>
      </c>
      <c r="M38">
        <v>5</v>
      </c>
      <c r="N38">
        <v>1995</v>
      </c>
      <c r="O38">
        <v>0.27</v>
      </c>
      <c r="P38">
        <v>2.4700000000000002</v>
      </c>
      <c r="Q38">
        <v>1.4999999999999999E-2</v>
      </c>
      <c r="R38">
        <v>65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376.65180937194799</v>
      </c>
      <c r="B39">
        <v>28</v>
      </c>
      <c r="C39">
        <v>9.4162952342986994</v>
      </c>
      <c r="D39">
        <v>516.17669999999998</v>
      </c>
      <c r="E39">
        <v>687.13692946058097</v>
      </c>
      <c r="F39">
        <v>219.08969999999999</v>
      </c>
      <c r="G39">
        <v>73.029900000000012</v>
      </c>
      <c r="H39">
        <v>8</v>
      </c>
      <c r="I39">
        <v>48</v>
      </c>
      <c r="J39">
        <v>5</v>
      </c>
      <c r="K39">
        <v>53</v>
      </c>
      <c r="L39">
        <v>55</v>
      </c>
      <c r="M39">
        <v>5</v>
      </c>
      <c r="N39">
        <v>1995</v>
      </c>
      <c r="O39">
        <v>0.27</v>
      </c>
      <c r="P39">
        <v>2.4700000000000002</v>
      </c>
      <c r="Q39">
        <v>1.4999999999999999E-2</v>
      </c>
      <c r="R39">
        <v>65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343.87706081423721</v>
      </c>
      <c r="B40">
        <v>25.666666666666671</v>
      </c>
      <c r="C40">
        <v>9.3784652949337417</v>
      </c>
      <c r="D40">
        <v>620.04600000000005</v>
      </c>
      <c r="E40">
        <v>685.85661678631084</v>
      </c>
      <c r="F40">
        <v>226.04040000000001</v>
      </c>
      <c r="G40">
        <v>66.651800000000009</v>
      </c>
      <c r="H40">
        <v>164</v>
      </c>
      <c r="I40">
        <v>47</v>
      </c>
      <c r="J40">
        <v>5</v>
      </c>
      <c r="K40">
        <v>162</v>
      </c>
      <c r="L40">
        <v>58</v>
      </c>
      <c r="M40">
        <v>15</v>
      </c>
      <c r="N40">
        <v>1995</v>
      </c>
      <c r="O40">
        <v>0.27</v>
      </c>
      <c r="P40">
        <v>2.4700000000000002</v>
      </c>
      <c r="Q40">
        <v>1.4999999999999999E-2</v>
      </c>
      <c r="R40">
        <v>65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389.86397856577958</v>
      </c>
      <c r="B41">
        <v>29.400000000000009</v>
      </c>
      <c r="C41">
        <v>9.2824756801376083</v>
      </c>
      <c r="D41">
        <v>493.94400000000002</v>
      </c>
      <c r="E41">
        <v>683.93029045643152</v>
      </c>
      <c r="F41">
        <v>218.779</v>
      </c>
      <c r="G41">
        <v>75.525399999999991</v>
      </c>
      <c r="H41">
        <v>39</v>
      </c>
      <c r="I41">
        <v>56</v>
      </c>
      <c r="J41">
        <v>8</v>
      </c>
      <c r="K41">
        <v>96</v>
      </c>
      <c r="L41">
        <v>57</v>
      </c>
      <c r="M41">
        <v>20</v>
      </c>
      <c r="N41">
        <v>1995</v>
      </c>
      <c r="O41">
        <v>0.27</v>
      </c>
      <c r="P41">
        <v>2.4700000000000002</v>
      </c>
      <c r="Q41">
        <v>1.4999999999999999E-2</v>
      </c>
      <c r="R41">
        <v>65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385.33175630066722</v>
      </c>
      <c r="B42">
        <v>29.400000000000009</v>
      </c>
      <c r="C42">
        <v>9.1745656262063608</v>
      </c>
      <c r="D42">
        <v>420.77199999999999</v>
      </c>
      <c r="E42">
        <v>691.91369294605806</v>
      </c>
      <c r="F42">
        <v>215.20400000000001</v>
      </c>
      <c r="G42">
        <v>74.810399999999987</v>
      </c>
      <c r="H42">
        <v>39</v>
      </c>
      <c r="I42">
        <v>56</v>
      </c>
      <c r="J42">
        <v>8</v>
      </c>
      <c r="K42">
        <v>57</v>
      </c>
      <c r="L42">
        <v>55</v>
      </c>
      <c r="M42">
        <v>7</v>
      </c>
      <c r="N42">
        <v>1995</v>
      </c>
      <c r="O42">
        <v>0.27</v>
      </c>
      <c r="P42">
        <v>2.4700000000000002</v>
      </c>
      <c r="Q42">
        <v>1.4999999999999999E-2</v>
      </c>
      <c r="R42">
        <v>65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365.54914603398788</v>
      </c>
      <c r="B43">
        <v>28</v>
      </c>
      <c r="C43">
        <v>9.1387286508496981</v>
      </c>
      <c r="D43">
        <v>553.4899200000001</v>
      </c>
      <c r="E43">
        <v>686.47302904564322</v>
      </c>
      <c r="F43">
        <v>207.55871999999999</v>
      </c>
      <c r="G43">
        <v>70.864320000000006</v>
      </c>
      <c r="H43">
        <v>8</v>
      </c>
      <c r="I43">
        <v>58</v>
      </c>
      <c r="J43">
        <v>4</v>
      </c>
      <c r="K43">
        <v>6</v>
      </c>
      <c r="L43">
        <v>50</v>
      </c>
      <c r="M43">
        <v>3</v>
      </c>
      <c r="N43">
        <v>1995</v>
      </c>
      <c r="O43">
        <v>0.27</v>
      </c>
      <c r="P43">
        <v>2.4700000000000002</v>
      </c>
      <c r="Q43">
        <v>1.4999999999999999E-2</v>
      </c>
      <c r="R43">
        <v>65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365.29626867252148</v>
      </c>
      <c r="B44">
        <v>28</v>
      </c>
      <c r="C44">
        <v>9.1324067168130387</v>
      </c>
      <c r="D44">
        <v>483.59</v>
      </c>
      <c r="E44">
        <v>687.56846473029043</v>
      </c>
      <c r="F44">
        <v>206.238</v>
      </c>
      <c r="G44">
        <v>70.836500000000001</v>
      </c>
      <c r="H44">
        <v>9</v>
      </c>
      <c r="I44">
        <v>58</v>
      </c>
      <c r="J44">
        <v>3</v>
      </c>
      <c r="K44">
        <v>52</v>
      </c>
      <c r="L44">
        <v>53</v>
      </c>
      <c r="M44">
        <v>5</v>
      </c>
      <c r="N44">
        <v>1995</v>
      </c>
      <c r="O44">
        <v>0.27</v>
      </c>
      <c r="P44">
        <v>2.4700000000000002</v>
      </c>
      <c r="Q44">
        <v>1.4999999999999999E-2</v>
      </c>
      <c r="R44">
        <v>65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363.66184292600559</v>
      </c>
      <c r="B45">
        <v>28</v>
      </c>
      <c r="C45">
        <v>9.0915460731501412</v>
      </c>
      <c r="D45">
        <v>550.83647999999994</v>
      </c>
      <c r="E45">
        <v>687.56846473029043</v>
      </c>
      <c r="F45">
        <v>206.56368000000001</v>
      </c>
      <c r="G45">
        <v>70.519559999999998</v>
      </c>
      <c r="H45">
        <v>9</v>
      </c>
      <c r="I45">
        <v>58</v>
      </c>
      <c r="J45">
        <v>3</v>
      </c>
      <c r="K45">
        <v>8</v>
      </c>
      <c r="L45">
        <v>53</v>
      </c>
      <c r="M45">
        <v>2</v>
      </c>
      <c r="N45">
        <v>1995</v>
      </c>
      <c r="O45">
        <v>0.27</v>
      </c>
      <c r="P45">
        <v>2.4700000000000002</v>
      </c>
      <c r="Q45">
        <v>1.4999999999999999E-2</v>
      </c>
      <c r="R45">
        <v>65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423.39416470124161</v>
      </c>
      <c r="B46">
        <v>32.666666666666671</v>
      </c>
      <c r="C46">
        <v>9.0727321007408896</v>
      </c>
      <c r="D46">
        <v>556.77599999999995</v>
      </c>
      <c r="E46">
        <v>687.25797470238001</v>
      </c>
      <c r="F46">
        <v>254.32320000000001</v>
      </c>
      <c r="G46">
        <v>82.095600000000005</v>
      </c>
      <c r="H46">
        <v>164</v>
      </c>
      <c r="I46">
        <v>53</v>
      </c>
      <c r="J46">
        <v>6</v>
      </c>
      <c r="K46">
        <v>142</v>
      </c>
      <c r="L46">
        <v>60</v>
      </c>
      <c r="M46">
        <v>16</v>
      </c>
      <c r="N46">
        <v>1995</v>
      </c>
      <c r="O46">
        <v>0.27</v>
      </c>
      <c r="P46">
        <v>2.4700000000000002</v>
      </c>
      <c r="Q46">
        <v>1.4999999999999999E-2</v>
      </c>
      <c r="R46">
        <v>65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380.41416980633119</v>
      </c>
      <c r="B47">
        <v>29.400000000000009</v>
      </c>
      <c r="C47">
        <v>9.0574802334840747</v>
      </c>
      <c r="D47">
        <v>989.78700000000015</v>
      </c>
      <c r="E47">
        <v>683.10373443983406</v>
      </c>
      <c r="F47">
        <v>196.80670000000001</v>
      </c>
      <c r="G47">
        <v>73.678100000000001</v>
      </c>
      <c r="H47">
        <v>142</v>
      </c>
      <c r="I47">
        <v>59</v>
      </c>
      <c r="J47">
        <v>40</v>
      </c>
      <c r="K47">
        <v>96</v>
      </c>
      <c r="L47">
        <v>54</v>
      </c>
      <c r="M47">
        <v>15</v>
      </c>
      <c r="N47">
        <v>1995</v>
      </c>
      <c r="O47">
        <v>0.27</v>
      </c>
      <c r="P47">
        <v>2.4700000000000002</v>
      </c>
      <c r="Q47">
        <v>1.4999999999999999E-2</v>
      </c>
      <c r="R47">
        <v>65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361.30223910531009</v>
      </c>
      <c r="B48">
        <v>28</v>
      </c>
      <c r="C48">
        <v>9.032555977632752</v>
      </c>
      <c r="D48">
        <v>484.33499999999998</v>
      </c>
      <c r="E48">
        <v>691.64315352697099</v>
      </c>
      <c r="F48">
        <v>206.685</v>
      </c>
      <c r="G48">
        <v>70.14</v>
      </c>
      <c r="H48">
        <v>9</v>
      </c>
      <c r="I48">
        <v>57</v>
      </c>
      <c r="J48">
        <v>3</v>
      </c>
      <c r="K48">
        <v>53</v>
      </c>
      <c r="L48">
        <v>55</v>
      </c>
      <c r="M48">
        <v>5</v>
      </c>
      <c r="N48">
        <v>1995</v>
      </c>
      <c r="O48">
        <v>0.27</v>
      </c>
      <c r="P48">
        <v>2.4700000000000002</v>
      </c>
      <c r="Q48">
        <v>1.4999999999999999E-2</v>
      </c>
      <c r="R48">
        <v>65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360.30813110909003</v>
      </c>
      <c r="B49">
        <v>28</v>
      </c>
      <c r="C49">
        <v>9.0077032777272503</v>
      </c>
      <c r="D49">
        <v>1177.4436000000001</v>
      </c>
      <c r="E49">
        <v>675.86721991701245</v>
      </c>
      <c r="F49">
        <v>208.93752000000001</v>
      </c>
      <c r="G49">
        <v>69.645840000000007</v>
      </c>
      <c r="H49">
        <v>52</v>
      </c>
      <c r="I49">
        <v>54</v>
      </c>
      <c r="J49">
        <v>10</v>
      </c>
      <c r="K49">
        <v>161</v>
      </c>
      <c r="L49">
        <v>58</v>
      </c>
      <c r="M49">
        <v>23</v>
      </c>
      <c r="N49">
        <v>1995</v>
      </c>
      <c r="O49">
        <v>0.27</v>
      </c>
      <c r="P49">
        <v>2.4700000000000002</v>
      </c>
      <c r="Q49">
        <v>1.4999999999999999E-2</v>
      </c>
      <c r="R49">
        <v>65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356.75692941419851</v>
      </c>
      <c r="B50">
        <v>28</v>
      </c>
      <c r="C50">
        <v>8.9189232353549635</v>
      </c>
      <c r="D50">
        <v>1319.76576</v>
      </c>
      <c r="E50">
        <v>676.84647302904568</v>
      </c>
      <c r="F50">
        <v>205.70831999999999</v>
      </c>
      <c r="G50">
        <v>68.977920000000012</v>
      </c>
      <c r="H50">
        <v>8</v>
      </c>
      <c r="I50">
        <v>53</v>
      </c>
      <c r="J50">
        <v>4</v>
      </c>
      <c r="K50">
        <v>161</v>
      </c>
      <c r="L50">
        <v>60</v>
      </c>
      <c r="M50">
        <v>23</v>
      </c>
      <c r="N50">
        <v>1995</v>
      </c>
      <c r="O50">
        <v>0.27</v>
      </c>
      <c r="P50">
        <v>2.4700000000000002</v>
      </c>
      <c r="Q50">
        <v>1.4999999999999999E-2</v>
      </c>
      <c r="R50">
        <v>65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358.41270994545778</v>
      </c>
      <c r="B51">
        <v>28.592307692307688</v>
      </c>
      <c r="C51">
        <v>8.7746991135422814</v>
      </c>
      <c r="D51">
        <v>845.54250000000002</v>
      </c>
      <c r="E51">
        <v>681.87219917012453</v>
      </c>
      <c r="F51">
        <v>278.03798</v>
      </c>
      <c r="G51">
        <v>69.393500000000003</v>
      </c>
      <c r="H51">
        <v>163</v>
      </c>
      <c r="I51">
        <v>55</v>
      </c>
      <c r="J51">
        <v>9</v>
      </c>
      <c r="K51">
        <v>293</v>
      </c>
      <c r="L51">
        <v>58</v>
      </c>
      <c r="M51">
        <v>22</v>
      </c>
      <c r="N51">
        <v>1995</v>
      </c>
      <c r="O51">
        <v>0.27</v>
      </c>
      <c r="P51">
        <v>2.4700000000000002</v>
      </c>
      <c r="Q51">
        <v>1.4999999999999999E-2</v>
      </c>
      <c r="R51">
        <v>65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350.63511279749559</v>
      </c>
      <c r="B52">
        <v>28</v>
      </c>
      <c r="C52">
        <v>8.7658778199373906</v>
      </c>
      <c r="D52">
        <v>793.04064000000005</v>
      </c>
      <c r="E52">
        <v>685.34439834024897</v>
      </c>
      <c r="F52">
        <v>197.49024</v>
      </c>
      <c r="G52">
        <v>67.952160000000006</v>
      </c>
      <c r="H52">
        <v>8</v>
      </c>
      <c r="I52">
        <v>54</v>
      </c>
      <c r="J52">
        <v>4</v>
      </c>
      <c r="K52">
        <v>2</v>
      </c>
      <c r="L52">
        <v>51</v>
      </c>
      <c r="M52">
        <v>4</v>
      </c>
      <c r="N52">
        <v>1995</v>
      </c>
      <c r="O52">
        <v>0.27</v>
      </c>
      <c r="P52">
        <v>2.4700000000000002</v>
      </c>
      <c r="Q52">
        <v>1.4999999999999999E-2</v>
      </c>
      <c r="R52">
        <v>65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350.37150070034869</v>
      </c>
      <c r="B53">
        <v>28</v>
      </c>
      <c r="C53">
        <v>8.7592875175087173</v>
      </c>
      <c r="D53">
        <v>523.91999999999996</v>
      </c>
      <c r="E53">
        <v>690.00000000000011</v>
      </c>
      <c r="F53">
        <v>196.47</v>
      </c>
      <c r="G53">
        <v>67.987499999999997</v>
      </c>
      <c r="H53">
        <v>9</v>
      </c>
      <c r="I53">
        <v>55</v>
      </c>
      <c r="J53">
        <v>3</v>
      </c>
      <c r="K53">
        <v>6</v>
      </c>
      <c r="L53">
        <v>50</v>
      </c>
      <c r="M53">
        <v>3</v>
      </c>
      <c r="N53">
        <v>1995</v>
      </c>
      <c r="O53">
        <v>0.27</v>
      </c>
      <c r="P53">
        <v>2.4700000000000002</v>
      </c>
      <c r="Q53">
        <v>1.4999999999999999E-2</v>
      </c>
      <c r="R53">
        <v>65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348.68136696404929</v>
      </c>
      <c r="B54">
        <v>28</v>
      </c>
      <c r="C54">
        <v>8.7170341741012347</v>
      </c>
      <c r="D54">
        <v>1166.2986000000001</v>
      </c>
      <c r="E54">
        <v>676.86307053941903</v>
      </c>
      <c r="F54">
        <v>202.25051999999999</v>
      </c>
      <c r="G54">
        <v>67.416839999999993</v>
      </c>
      <c r="H54">
        <v>53</v>
      </c>
      <c r="I54">
        <v>53</v>
      </c>
      <c r="J54">
        <v>10</v>
      </c>
      <c r="K54">
        <v>161</v>
      </c>
      <c r="L54">
        <v>58</v>
      </c>
      <c r="M54">
        <v>23</v>
      </c>
      <c r="N54">
        <v>1995</v>
      </c>
      <c r="O54">
        <v>0.27</v>
      </c>
      <c r="P54">
        <v>2.4700000000000002</v>
      </c>
      <c r="Q54">
        <v>1.4999999999999999E-2</v>
      </c>
      <c r="R54">
        <v>65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347.75280349155082</v>
      </c>
      <c r="B55">
        <v>28</v>
      </c>
      <c r="C55">
        <v>8.6938200872887688</v>
      </c>
      <c r="D55">
        <v>466.57499999999999</v>
      </c>
      <c r="E55">
        <v>691.12033195020751</v>
      </c>
      <c r="F55">
        <v>200.02500000000001</v>
      </c>
      <c r="G55">
        <v>67.5</v>
      </c>
      <c r="H55">
        <v>6</v>
      </c>
      <c r="I55">
        <v>50</v>
      </c>
      <c r="J55">
        <v>6</v>
      </c>
      <c r="K55">
        <v>53</v>
      </c>
      <c r="L55">
        <v>56</v>
      </c>
      <c r="M55">
        <v>5</v>
      </c>
      <c r="N55">
        <v>1995</v>
      </c>
      <c r="O55">
        <v>0.27</v>
      </c>
      <c r="P55">
        <v>2.4700000000000002</v>
      </c>
      <c r="Q55">
        <v>1.4999999999999999E-2</v>
      </c>
      <c r="R55">
        <v>65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427.398802241574</v>
      </c>
      <c r="B56">
        <v>35</v>
      </c>
      <c r="C56">
        <v>8.547976044831481</v>
      </c>
      <c r="D56">
        <v>465.96069999999997</v>
      </c>
      <c r="E56">
        <v>688.28713692946053</v>
      </c>
      <c r="F56">
        <v>185.38890000000001</v>
      </c>
      <c r="G56">
        <v>82.895399999999995</v>
      </c>
      <c r="H56">
        <v>39</v>
      </c>
      <c r="I56">
        <v>57</v>
      </c>
      <c r="J56">
        <v>9</v>
      </c>
      <c r="K56">
        <v>52</v>
      </c>
      <c r="L56">
        <v>54</v>
      </c>
      <c r="M56">
        <v>5</v>
      </c>
      <c r="N56">
        <v>1995</v>
      </c>
      <c r="O56">
        <v>0.27</v>
      </c>
      <c r="P56">
        <v>2.4700000000000002</v>
      </c>
      <c r="Q56">
        <v>1.4999999999999999E-2</v>
      </c>
      <c r="R56">
        <v>65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341.51132694398689</v>
      </c>
      <c r="B57">
        <v>28</v>
      </c>
      <c r="C57">
        <v>8.5377831735996743</v>
      </c>
      <c r="D57">
        <v>415.85664000000003</v>
      </c>
      <c r="E57">
        <v>690.98613757039914</v>
      </c>
      <c r="F57">
        <v>197.70624000000001</v>
      </c>
      <c r="G57">
        <v>66.286079999999998</v>
      </c>
      <c r="H57">
        <v>8</v>
      </c>
      <c r="I57">
        <v>52</v>
      </c>
      <c r="J57">
        <v>4</v>
      </c>
      <c r="K57">
        <v>93</v>
      </c>
      <c r="L57">
        <v>59</v>
      </c>
      <c r="M57">
        <v>3</v>
      </c>
      <c r="N57">
        <v>1995</v>
      </c>
      <c r="O57">
        <v>0.27</v>
      </c>
      <c r="P57">
        <v>2.4700000000000002</v>
      </c>
      <c r="Q57">
        <v>1.4999999999999999E-2</v>
      </c>
      <c r="R57">
        <v>65</v>
      </c>
      <c r="S57">
        <v>700</v>
      </c>
      <c r="T57">
        <v>475</v>
      </c>
      <c r="U57">
        <v>275</v>
      </c>
      <c r="V57">
        <v>370</v>
      </c>
      <c r="W57">
        <v>155</v>
      </c>
    </row>
  </sheetData>
  <sortState xmlns:xlrd2="http://schemas.microsoft.com/office/spreadsheetml/2017/richdata2" ref="A2:W57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17EDC-D0D4-4D50-AF20-8A9B090986F0}">
  <sheetPr codeName="Sheet9"/>
  <dimension ref="A1:W433"/>
  <sheetViews>
    <sheetView workbookViewId="0">
      <selection activeCell="A4" sqref="A4:XFD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383.44721772978693</v>
      </c>
      <c r="B2">
        <v>14</v>
      </c>
      <c r="C2">
        <v>19.17236088648934</v>
      </c>
      <c r="D2">
        <v>371.036</v>
      </c>
      <c r="E2">
        <v>680.23236514522819</v>
      </c>
      <c r="F2">
        <v>222.6216</v>
      </c>
      <c r="G2">
        <v>74.207200000000014</v>
      </c>
      <c r="H2">
        <v>52</v>
      </c>
      <c r="I2">
        <v>109</v>
      </c>
      <c r="J2">
        <v>8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70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366.69062316135478</v>
      </c>
      <c r="B3">
        <v>14</v>
      </c>
      <c r="C3">
        <v>18.33453115806774</v>
      </c>
      <c r="D3">
        <v>563.83488</v>
      </c>
      <c r="E3">
        <v>655.26970954356841</v>
      </c>
      <c r="F3">
        <v>211.43808000000001</v>
      </c>
      <c r="G3">
        <v>70.479360000000014</v>
      </c>
      <c r="H3">
        <v>8</v>
      </c>
      <c r="I3">
        <v>112</v>
      </c>
      <c r="J3">
        <v>3</v>
      </c>
      <c r="K3">
        <v>0</v>
      </c>
      <c r="L3">
        <v>0</v>
      </c>
      <c r="M3">
        <v>0</v>
      </c>
      <c r="N3">
        <v>1995</v>
      </c>
      <c r="O3">
        <v>0.27</v>
      </c>
      <c r="P3">
        <v>2.4700000000000002</v>
      </c>
      <c r="Q3">
        <v>1.4999999999999999E-2</v>
      </c>
      <c r="R3">
        <v>70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403.88925253096892</v>
      </c>
      <c r="B4">
        <v>21</v>
      </c>
      <c r="C4">
        <v>13.462975084365629</v>
      </c>
      <c r="D4">
        <v>1119.6569999999999</v>
      </c>
      <c r="E4">
        <v>673.18506224066391</v>
      </c>
      <c r="F4">
        <v>156.02493000000001</v>
      </c>
      <c r="G4">
        <v>78.012464999999992</v>
      </c>
      <c r="H4">
        <v>142</v>
      </c>
      <c r="I4">
        <v>111</v>
      </c>
      <c r="J4">
        <v>29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70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387.53168548020273</v>
      </c>
      <c r="B5">
        <v>22.4</v>
      </c>
      <c r="C5">
        <v>12.11036517125634</v>
      </c>
      <c r="D5">
        <v>474.88920000000002</v>
      </c>
      <c r="E5">
        <v>691.6182572614108</v>
      </c>
      <c r="F5">
        <v>271.27719999999988</v>
      </c>
      <c r="G5">
        <v>75.231440000000006</v>
      </c>
      <c r="H5">
        <v>8</v>
      </c>
      <c r="I5">
        <v>61</v>
      </c>
      <c r="J5">
        <v>4</v>
      </c>
      <c r="K5">
        <v>163</v>
      </c>
      <c r="L5">
        <v>52</v>
      </c>
      <c r="M5">
        <v>5</v>
      </c>
      <c r="N5">
        <v>1995</v>
      </c>
      <c r="O5">
        <v>0.27</v>
      </c>
      <c r="P5">
        <v>2.4700000000000002</v>
      </c>
      <c r="Q5">
        <v>1.4999999999999999E-2</v>
      </c>
      <c r="R5">
        <v>70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368.65469039318452</v>
      </c>
      <c r="B6">
        <v>22.4</v>
      </c>
      <c r="C6">
        <v>11.52045907478702</v>
      </c>
      <c r="D6">
        <v>445.11</v>
      </c>
      <c r="E6">
        <v>688.32365145228221</v>
      </c>
      <c r="F6">
        <v>260.11</v>
      </c>
      <c r="G6">
        <v>71.502499999999998</v>
      </c>
      <c r="H6">
        <v>9</v>
      </c>
      <c r="I6">
        <v>57</v>
      </c>
      <c r="J6">
        <v>3</v>
      </c>
      <c r="K6">
        <v>163</v>
      </c>
      <c r="L6">
        <v>52</v>
      </c>
      <c r="M6">
        <v>5</v>
      </c>
      <c r="N6">
        <v>1995</v>
      </c>
      <c r="O6">
        <v>0.27</v>
      </c>
      <c r="P6">
        <v>2.4700000000000002</v>
      </c>
      <c r="Q6">
        <v>1.4999999999999999E-2</v>
      </c>
      <c r="R6">
        <v>70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365.37574905718748</v>
      </c>
      <c r="B7">
        <v>22.4</v>
      </c>
      <c r="C7">
        <v>11.41799215803711</v>
      </c>
      <c r="D7">
        <v>1164.9449999999999</v>
      </c>
      <c r="E7">
        <v>680.08298755186718</v>
      </c>
      <c r="F7">
        <v>302.03100000000001</v>
      </c>
      <c r="G7">
        <v>70.706999999999994</v>
      </c>
      <c r="H7">
        <v>163</v>
      </c>
      <c r="I7">
        <v>54</v>
      </c>
      <c r="J7">
        <v>9</v>
      </c>
      <c r="K7">
        <v>161</v>
      </c>
      <c r="L7">
        <v>58</v>
      </c>
      <c r="M7">
        <v>25</v>
      </c>
      <c r="N7">
        <v>1995</v>
      </c>
      <c r="O7">
        <v>0.27</v>
      </c>
      <c r="P7">
        <v>2.4700000000000002</v>
      </c>
      <c r="Q7">
        <v>1.4999999999999999E-2</v>
      </c>
      <c r="R7">
        <v>70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371.01226445820902</v>
      </c>
      <c r="B8">
        <v>23.744</v>
      </c>
      <c r="C8">
        <v>10.9378615701123</v>
      </c>
      <c r="D8">
        <v>724.23839999999996</v>
      </c>
      <c r="E8">
        <v>685.8572614107884</v>
      </c>
      <c r="F8">
        <v>458.8168</v>
      </c>
      <c r="G8">
        <v>71.911280000000005</v>
      </c>
      <c r="H8">
        <v>39</v>
      </c>
      <c r="I8">
        <v>59</v>
      </c>
      <c r="J8">
        <v>7</v>
      </c>
      <c r="K8">
        <v>40</v>
      </c>
      <c r="L8">
        <v>61</v>
      </c>
      <c r="M8">
        <v>6</v>
      </c>
      <c r="N8">
        <v>1995</v>
      </c>
      <c r="O8">
        <v>0.27</v>
      </c>
      <c r="P8">
        <v>2.4700000000000002</v>
      </c>
      <c r="Q8">
        <v>1.4999999999999999E-2</v>
      </c>
      <c r="R8">
        <v>70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396.77411779127277</v>
      </c>
      <c r="B9">
        <v>25.666666666666661</v>
      </c>
      <c r="C9">
        <v>10.821112303398349</v>
      </c>
      <c r="D9">
        <v>490.65120000000002</v>
      </c>
      <c r="E9">
        <v>690.18213167021497</v>
      </c>
      <c r="F9">
        <v>238.9392</v>
      </c>
      <c r="G9">
        <v>76.995480000000015</v>
      </c>
      <c r="H9">
        <v>8</v>
      </c>
      <c r="I9">
        <v>62</v>
      </c>
      <c r="J9">
        <v>4</v>
      </c>
      <c r="K9">
        <v>164</v>
      </c>
      <c r="L9">
        <v>45</v>
      </c>
      <c r="M9">
        <v>3</v>
      </c>
      <c r="N9">
        <v>1995</v>
      </c>
      <c r="O9">
        <v>0.27</v>
      </c>
      <c r="P9">
        <v>2.4700000000000002</v>
      </c>
      <c r="Q9">
        <v>1.4999999999999999E-2</v>
      </c>
      <c r="R9">
        <v>70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379.87852763191262</v>
      </c>
      <c r="B10">
        <v>24.73863636363636</v>
      </c>
      <c r="C10">
        <v>10.74897441530814</v>
      </c>
      <c r="D10">
        <v>493.97760000000011</v>
      </c>
      <c r="E10">
        <v>687.87542174645182</v>
      </c>
      <c r="F10">
        <v>242.26560000000001</v>
      </c>
      <c r="G10">
        <v>73.670400000000001</v>
      </c>
      <c r="H10">
        <v>8</v>
      </c>
      <c r="I10">
        <v>60</v>
      </c>
      <c r="J10">
        <v>4</v>
      </c>
      <c r="K10">
        <v>95</v>
      </c>
      <c r="L10">
        <v>48</v>
      </c>
      <c r="M10">
        <v>3</v>
      </c>
      <c r="N10">
        <v>1995</v>
      </c>
      <c r="O10">
        <v>0.27</v>
      </c>
      <c r="P10">
        <v>2.4700000000000002</v>
      </c>
      <c r="Q10">
        <v>1.4999999999999999E-2</v>
      </c>
      <c r="R10">
        <v>70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385.997013206796</v>
      </c>
      <c r="B11">
        <v>25.666666666666671</v>
      </c>
      <c r="C11">
        <v>10.527191269276249</v>
      </c>
      <c r="D11">
        <v>375.13560000000001</v>
      </c>
      <c r="E11">
        <v>688.66914942196081</v>
      </c>
      <c r="F11">
        <v>255.1446</v>
      </c>
      <c r="G11">
        <v>74.873199999999997</v>
      </c>
      <c r="H11">
        <v>164</v>
      </c>
      <c r="I11">
        <v>55</v>
      </c>
      <c r="J11">
        <v>5</v>
      </c>
      <c r="K11">
        <v>7</v>
      </c>
      <c r="L11">
        <v>47</v>
      </c>
      <c r="M11">
        <v>3</v>
      </c>
      <c r="N11">
        <v>1995</v>
      </c>
      <c r="O11">
        <v>0.27</v>
      </c>
      <c r="P11">
        <v>2.4700000000000002</v>
      </c>
      <c r="Q11">
        <v>1.4999999999999999E-2</v>
      </c>
      <c r="R11">
        <v>70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383.21490406435407</v>
      </c>
      <c r="B12">
        <v>25.666666666666661</v>
      </c>
      <c r="C12">
        <v>10.45131556539148</v>
      </c>
      <c r="D12">
        <v>1213.1856</v>
      </c>
      <c r="E12">
        <v>677.19847457985759</v>
      </c>
      <c r="F12">
        <v>251.16192000000001</v>
      </c>
      <c r="G12">
        <v>74.100639999999999</v>
      </c>
      <c r="H12">
        <v>164</v>
      </c>
      <c r="I12">
        <v>52</v>
      </c>
      <c r="J12">
        <v>5</v>
      </c>
      <c r="K12">
        <v>161</v>
      </c>
      <c r="L12">
        <v>61</v>
      </c>
      <c r="M12">
        <v>24</v>
      </c>
      <c r="N12">
        <v>1995</v>
      </c>
      <c r="O12">
        <v>0.27</v>
      </c>
      <c r="P12">
        <v>2.4700000000000002</v>
      </c>
      <c r="Q12">
        <v>1.4999999999999999E-2</v>
      </c>
      <c r="R12">
        <v>70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363.30497156609368</v>
      </c>
      <c r="B13">
        <v>24.73863636363636</v>
      </c>
      <c r="C13">
        <v>10.280012057175639</v>
      </c>
      <c r="D13">
        <v>372</v>
      </c>
      <c r="E13">
        <v>690.77078221125851</v>
      </c>
      <c r="F13">
        <v>254.34</v>
      </c>
      <c r="G13">
        <v>70.512</v>
      </c>
      <c r="H13">
        <v>95</v>
      </c>
      <c r="I13">
        <v>58</v>
      </c>
      <c r="J13">
        <v>5</v>
      </c>
      <c r="K13">
        <v>6</v>
      </c>
      <c r="L13">
        <v>53</v>
      </c>
      <c r="M13">
        <v>3</v>
      </c>
      <c r="N13">
        <v>1995</v>
      </c>
      <c r="O13">
        <v>0.27</v>
      </c>
      <c r="P13">
        <v>2.4700000000000002</v>
      </c>
      <c r="Q13">
        <v>1.4999999999999999E-2</v>
      </c>
      <c r="R13">
        <v>70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376.71791111504388</v>
      </c>
      <c r="B14">
        <v>25.666666666666661</v>
      </c>
      <c r="C14">
        <v>10.274124848592111</v>
      </c>
      <c r="D14">
        <v>649.35</v>
      </c>
      <c r="E14">
        <v>685.04692912611881</v>
      </c>
      <c r="F14">
        <v>241.75800000000001</v>
      </c>
      <c r="G14">
        <v>73.001000000000005</v>
      </c>
      <c r="H14">
        <v>164</v>
      </c>
      <c r="I14">
        <v>53</v>
      </c>
      <c r="J14">
        <v>5</v>
      </c>
      <c r="K14">
        <v>2</v>
      </c>
      <c r="L14">
        <v>54</v>
      </c>
      <c r="M14">
        <v>4</v>
      </c>
      <c r="N14">
        <v>1995</v>
      </c>
      <c r="O14">
        <v>0.27</v>
      </c>
      <c r="P14">
        <v>2.4700000000000002</v>
      </c>
      <c r="Q14">
        <v>1.4999999999999999E-2</v>
      </c>
      <c r="R14">
        <v>70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429.78842144221647</v>
      </c>
      <c r="B15">
        <v>29.4</v>
      </c>
      <c r="C15">
        <v>10.23305765338611</v>
      </c>
      <c r="D15">
        <v>425.35320000000002</v>
      </c>
      <c r="E15">
        <v>689.20165975103748</v>
      </c>
      <c r="F15">
        <v>237.98439999999999</v>
      </c>
      <c r="G15">
        <v>83.379700000000014</v>
      </c>
      <c r="H15">
        <v>39</v>
      </c>
      <c r="I15">
        <v>56</v>
      </c>
      <c r="J15">
        <v>9</v>
      </c>
      <c r="K15">
        <v>163</v>
      </c>
      <c r="L15">
        <v>53</v>
      </c>
      <c r="M15">
        <v>5</v>
      </c>
      <c r="N15">
        <v>1995</v>
      </c>
      <c r="O15">
        <v>0.27</v>
      </c>
      <c r="P15">
        <v>2.4700000000000002</v>
      </c>
      <c r="Q15">
        <v>1.4999999999999999E-2</v>
      </c>
      <c r="R15">
        <v>70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384.38849184332901</v>
      </c>
      <c r="B16">
        <v>28</v>
      </c>
      <c r="C16">
        <v>9.6097122960832255</v>
      </c>
      <c r="D16">
        <v>521.87919999999997</v>
      </c>
      <c r="E16">
        <v>690.37344398340247</v>
      </c>
      <c r="F16">
        <v>222.5112</v>
      </c>
      <c r="G16">
        <v>74.595900000000015</v>
      </c>
      <c r="H16">
        <v>8</v>
      </c>
      <c r="I16">
        <v>48</v>
      </c>
      <c r="J16">
        <v>5</v>
      </c>
      <c r="K16">
        <v>52</v>
      </c>
      <c r="L16">
        <v>57</v>
      </c>
      <c r="M16">
        <v>5</v>
      </c>
      <c r="N16">
        <v>1995</v>
      </c>
      <c r="O16">
        <v>0.27</v>
      </c>
      <c r="P16">
        <v>2.4700000000000002</v>
      </c>
      <c r="Q16">
        <v>1.4999999999999999E-2</v>
      </c>
      <c r="R16">
        <v>70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382.64828728598502</v>
      </c>
      <c r="B17">
        <v>28</v>
      </c>
      <c r="C17">
        <v>9.5662071821496237</v>
      </c>
      <c r="D17">
        <v>371.4205</v>
      </c>
      <c r="E17">
        <v>691.65145228215761</v>
      </c>
      <c r="F17">
        <v>222.85230000000001</v>
      </c>
      <c r="G17">
        <v>74.284100000000009</v>
      </c>
      <c r="H17">
        <v>52</v>
      </c>
      <c r="I17">
        <v>56</v>
      </c>
      <c r="J17">
        <v>11</v>
      </c>
      <c r="K17">
        <v>53</v>
      </c>
      <c r="L17">
        <v>53</v>
      </c>
      <c r="M17">
        <v>5</v>
      </c>
      <c r="N17">
        <v>1995</v>
      </c>
      <c r="O17">
        <v>0.27</v>
      </c>
      <c r="P17">
        <v>2.4700000000000002</v>
      </c>
      <c r="Q17">
        <v>1.4999999999999999E-2</v>
      </c>
      <c r="R17">
        <v>70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376.12925942920168</v>
      </c>
      <c r="B18">
        <v>28</v>
      </c>
      <c r="C18">
        <v>9.4032314857300445</v>
      </c>
      <c r="D18">
        <v>497.16492000000011</v>
      </c>
      <c r="E18">
        <v>686.6721991701246</v>
      </c>
      <c r="F18">
        <v>213.72371999999999</v>
      </c>
      <c r="G18">
        <v>72.919320000000013</v>
      </c>
      <c r="H18">
        <v>8</v>
      </c>
      <c r="I18">
        <v>58</v>
      </c>
      <c r="J18">
        <v>4</v>
      </c>
      <c r="K18">
        <v>53</v>
      </c>
      <c r="L18">
        <v>49</v>
      </c>
      <c r="M18">
        <v>6</v>
      </c>
      <c r="N18">
        <v>1995</v>
      </c>
      <c r="O18">
        <v>0.27</v>
      </c>
      <c r="P18">
        <v>2.4700000000000002</v>
      </c>
      <c r="Q18">
        <v>1.4999999999999999E-2</v>
      </c>
      <c r="R18">
        <v>70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367.24367904409678</v>
      </c>
      <c r="B19">
        <v>28</v>
      </c>
      <c r="C19">
        <v>9.1810919761024206</v>
      </c>
      <c r="D19">
        <v>492.1</v>
      </c>
      <c r="E19">
        <v>690.97925311203323</v>
      </c>
      <c r="F19">
        <v>211.34399999999999</v>
      </c>
      <c r="G19">
        <v>71.280500000000004</v>
      </c>
      <c r="H19">
        <v>9</v>
      </c>
      <c r="I19">
        <v>57</v>
      </c>
      <c r="J19">
        <v>3</v>
      </c>
      <c r="K19">
        <v>52</v>
      </c>
      <c r="L19">
        <v>56</v>
      </c>
      <c r="M19">
        <v>5</v>
      </c>
      <c r="N19">
        <v>1995</v>
      </c>
      <c r="O19">
        <v>0.27</v>
      </c>
      <c r="P19">
        <v>2.4700000000000002</v>
      </c>
      <c r="Q19">
        <v>1.4999999999999999E-2</v>
      </c>
      <c r="R19">
        <v>70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384.64309279818582</v>
      </c>
      <c r="B20">
        <v>29.400000000000009</v>
      </c>
      <c r="C20">
        <v>9.158168876147279</v>
      </c>
      <c r="D20">
        <v>499.26559999999989</v>
      </c>
      <c r="E20">
        <v>685.96182572614111</v>
      </c>
      <c r="F20">
        <v>227.01060000000001</v>
      </c>
      <c r="G20">
        <v>74.555399999999992</v>
      </c>
      <c r="H20">
        <v>39</v>
      </c>
      <c r="I20">
        <v>52</v>
      </c>
      <c r="J20">
        <v>8</v>
      </c>
      <c r="K20">
        <v>96</v>
      </c>
      <c r="L20">
        <v>58</v>
      </c>
      <c r="M20">
        <v>22</v>
      </c>
      <c r="N20">
        <v>1995</v>
      </c>
      <c r="O20">
        <v>0.27</v>
      </c>
      <c r="P20">
        <v>2.4700000000000002</v>
      </c>
      <c r="Q20">
        <v>1.4999999999999999E-2</v>
      </c>
      <c r="R20">
        <v>70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365.74234202291791</v>
      </c>
      <c r="B21">
        <v>28</v>
      </c>
      <c r="C21">
        <v>9.1435585505729478</v>
      </c>
      <c r="D21">
        <v>567.69792000000007</v>
      </c>
      <c r="E21">
        <v>689.59336099585062</v>
      </c>
      <c r="F21">
        <v>212.88672</v>
      </c>
      <c r="G21">
        <v>70.962240000000008</v>
      </c>
      <c r="H21">
        <v>8</v>
      </c>
      <c r="I21">
        <v>56</v>
      </c>
      <c r="J21">
        <v>4</v>
      </c>
      <c r="K21">
        <v>6</v>
      </c>
      <c r="L21">
        <v>54</v>
      </c>
      <c r="M21">
        <v>3</v>
      </c>
      <c r="N21">
        <v>1995</v>
      </c>
      <c r="O21">
        <v>0.27</v>
      </c>
      <c r="P21">
        <v>2.4700000000000002</v>
      </c>
      <c r="Q21">
        <v>1.4999999999999999E-2</v>
      </c>
      <c r="R21">
        <v>70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363.8266424332358</v>
      </c>
      <c r="B22">
        <v>28</v>
      </c>
      <c r="C22">
        <v>9.0956660608308955</v>
      </c>
      <c r="D22">
        <v>564.26112000000001</v>
      </c>
      <c r="E22">
        <v>686.58921161825731</v>
      </c>
      <c r="F22">
        <v>211.59791999999999</v>
      </c>
      <c r="G22">
        <v>70.532640000000001</v>
      </c>
      <c r="H22">
        <v>9</v>
      </c>
      <c r="I22">
        <v>56</v>
      </c>
      <c r="J22">
        <v>3</v>
      </c>
      <c r="K22">
        <v>8</v>
      </c>
      <c r="L22">
        <v>57</v>
      </c>
      <c r="M22">
        <v>2</v>
      </c>
      <c r="N22">
        <v>1995</v>
      </c>
      <c r="O22">
        <v>0.27</v>
      </c>
      <c r="P22">
        <v>2.4700000000000002</v>
      </c>
      <c r="Q22">
        <v>1.4999999999999999E-2</v>
      </c>
      <c r="R22">
        <v>70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380.41416980633119</v>
      </c>
      <c r="B23">
        <v>29.400000000000009</v>
      </c>
      <c r="C23">
        <v>9.0574802334840747</v>
      </c>
      <c r="D23">
        <v>989.78700000000015</v>
      </c>
      <c r="E23">
        <v>683.10373443983406</v>
      </c>
      <c r="F23">
        <v>196.80670000000001</v>
      </c>
      <c r="G23">
        <v>73.678100000000001</v>
      </c>
      <c r="H23">
        <v>142</v>
      </c>
      <c r="I23">
        <v>59</v>
      </c>
      <c r="J23">
        <v>40</v>
      </c>
      <c r="K23">
        <v>96</v>
      </c>
      <c r="L23">
        <v>54</v>
      </c>
      <c r="M23">
        <v>15</v>
      </c>
      <c r="N23">
        <v>1995</v>
      </c>
      <c r="O23">
        <v>0.27</v>
      </c>
      <c r="P23">
        <v>2.4700000000000002</v>
      </c>
      <c r="Q23">
        <v>1.4999999999999999E-2</v>
      </c>
      <c r="R23">
        <v>70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422.53525954831701</v>
      </c>
      <c r="B24">
        <v>32.666666666666671</v>
      </c>
      <c r="C24">
        <v>9.0543269903210764</v>
      </c>
      <c r="D24">
        <v>583.31610000000012</v>
      </c>
      <c r="E24">
        <v>686.46649706936148</v>
      </c>
      <c r="F24">
        <v>254.39868000000001</v>
      </c>
      <c r="G24">
        <v>81.911339999999996</v>
      </c>
      <c r="H24">
        <v>164</v>
      </c>
      <c r="I24">
        <v>51</v>
      </c>
      <c r="J24">
        <v>6</v>
      </c>
      <c r="K24">
        <v>142</v>
      </c>
      <c r="L24">
        <v>58</v>
      </c>
      <c r="M24">
        <v>18</v>
      </c>
      <c r="N24">
        <v>1995</v>
      </c>
      <c r="O24">
        <v>0.27</v>
      </c>
      <c r="P24">
        <v>2.4700000000000002</v>
      </c>
      <c r="Q24">
        <v>1.4999999999999999E-2</v>
      </c>
      <c r="R24">
        <v>70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428.17195206295708</v>
      </c>
      <c r="B25">
        <v>35</v>
      </c>
      <c r="C25">
        <v>8.5634390412591426</v>
      </c>
      <c r="D25">
        <v>472.34320000000002</v>
      </c>
      <c r="E25">
        <v>691.60829875518675</v>
      </c>
      <c r="F25">
        <v>189.2184</v>
      </c>
      <c r="G25">
        <v>83.120700000000014</v>
      </c>
      <c r="H25">
        <v>39</v>
      </c>
      <c r="I25">
        <v>56</v>
      </c>
      <c r="J25">
        <v>9</v>
      </c>
      <c r="K25">
        <v>52</v>
      </c>
      <c r="L25">
        <v>57</v>
      </c>
      <c r="M25">
        <v>5</v>
      </c>
      <c r="N25">
        <v>1995</v>
      </c>
      <c r="O25">
        <v>0.27</v>
      </c>
      <c r="P25">
        <v>2.4700000000000002</v>
      </c>
      <c r="Q25">
        <v>1.4999999999999999E-2</v>
      </c>
      <c r="R25">
        <v>70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421.02649567710557</v>
      </c>
      <c r="B26">
        <v>35</v>
      </c>
      <c r="C26">
        <v>8.4205299135421132</v>
      </c>
      <c r="D26">
        <v>453.90660000000003</v>
      </c>
      <c r="E26">
        <v>691.94190871369301</v>
      </c>
      <c r="F26">
        <v>183.2022</v>
      </c>
      <c r="G26">
        <v>81.741</v>
      </c>
      <c r="H26">
        <v>39</v>
      </c>
      <c r="I26">
        <v>55</v>
      </c>
      <c r="J26">
        <v>9</v>
      </c>
      <c r="K26">
        <v>53</v>
      </c>
      <c r="L26">
        <v>58</v>
      </c>
      <c r="M26">
        <v>5</v>
      </c>
      <c r="N26">
        <v>1995</v>
      </c>
      <c r="O26">
        <v>0.27</v>
      </c>
      <c r="P26">
        <v>2.4700000000000002</v>
      </c>
      <c r="Q26">
        <v>1.4999999999999999E-2</v>
      </c>
      <c r="R26">
        <v>70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373.07363804118779</v>
      </c>
      <c r="B27">
        <v>31.858974358974361</v>
      </c>
      <c r="C27">
        <v>8.1971109203415917</v>
      </c>
      <c r="D27">
        <v>945.16499999999996</v>
      </c>
      <c r="E27">
        <v>680.52895137945143</v>
      </c>
      <c r="F27">
        <v>220.48743999999999</v>
      </c>
      <c r="G27">
        <v>72.205500000000001</v>
      </c>
      <c r="H27">
        <v>164</v>
      </c>
      <c r="I27">
        <v>50</v>
      </c>
      <c r="J27">
        <v>5</v>
      </c>
      <c r="K27">
        <v>293</v>
      </c>
      <c r="L27">
        <v>61</v>
      </c>
      <c r="M27">
        <v>23</v>
      </c>
      <c r="N27">
        <v>1995</v>
      </c>
      <c r="O27">
        <v>0.27</v>
      </c>
      <c r="P27">
        <v>2.4700000000000002</v>
      </c>
      <c r="Q27">
        <v>1.4999999999999999E-2</v>
      </c>
      <c r="R27">
        <v>70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587.07762082574561</v>
      </c>
      <c r="B28">
        <v>50.4</v>
      </c>
      <c r="C28">
        <v>8.1538558448020222</v>
      </c>
      <c r="D28">
        <v>629.40599999999995</v>
      </c>
      <c r="E28">
        <v>685.96182572614111</v>
      </c>
      <c r="F28">
        <v>194.3793</v>
      </c>
      <c r="G28">
        <v>113.7933</v>
      </c>
      <c r="H28">
        <v>111</v>
      </c>
      <c r="I28">
        <v>58</v>
      </c>
      <c r="J28">
        <v>39</v>
      </c>
      <c r="K28">
        <v>96</v>
      </c>
      <c r="L28">
        <v>55</v>
      </c>
      <c r="M28">
        <v>18</v>
      </c>
      <c r="N28">
        <v>1995</v>
      </c>
      <c r="O28">
        <v>0.27</v>
      </c>
      <c r="P28">
        <v>2.4700000000000002</v>
      </c>
      <c r="Q28">
        <v>1.4999999999999999E-2</v>
      </c>
      <c r="R28">
        <v>70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421.33336086778212</v>
      </c>
      <c r="B29">
        <v>36.400000000000013</v>
      </c>
      <c r="C29">
        <v>8.1025646320727311</v>
      </c>
      <c r="D29">
        <v>402.91800000000001</v>
      </c>
      <c r="E29">
        <v>691.75480379133433</v>
      </c>
      <c r="F29">
        <v>306.41079999999999</v>
      </c>
      <c r="G29">
        <v>81.796399999999991</v>
      </c>
      <c r="H29">
        <v>163</v>
      </c>
      <c r="I29">
        <v>52</v>
      </c>
      <c r="J29">
        <v>11</v>
      </c>
      <c r="K29">
        <v>323</v>
      </c>
      <c r="L29">
        <v>59</v>
      </c>
      <c r="M29">
        <v>34</v>
      </c>
      <c r="N29">
        <v>1995</v>
      </c>
      <c r="O29">
        <v>0.27</v>
      </c>
      <c r="P29">
        <v>2.4700000000000002</v>
      </c>
      <c r="Q29">
        <v>1.4999999999999999E-2</v>
      </c>
      <c r="R29">
        <v>70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393.63011305338762</v>
      </c>
      <c r="B30">
        <v>35</v>
      </c>
      <c r="C30">
        <v>7.8726022610677511</v>
      </c>
      <c r="D30">
        <v>632.26710000000014</v>
      </c>
      <c r="E30">
        <v>685.46390041493783</v>
      </c>
      <c r="F30">
        <v>202.25088</v>
      </c>
      <c r="G30">
        <v>76.286969999999997</v>
      </c>
      <c r="H30">
        <v>52</v>
      </c>
      <c r="I30">
        <v>54</v>
      </c>
      <c r="J30">
        <v>11</v>
      </c>
      <c r="K30">
        <v>142</v>
      </c>
      <c r="L30">
        <v>59</v>
      </c>
      <c r="M30">
        <v>18</v>
      </c>
      <c r="N30">
        <v>1995</v>
      </c>
      <c r="O30">
        <v>0.27</v>
      </c>
      <c r="P30">
        <v>2.4700000000000002</v>
      </c>
      <c r="Q30">
        <v>1.4999999999999999E-2</v>
      </c>
      <c r="R30">
        <v>70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391.67853930076382</v>
      </c>
      <c r="B31">
        <v>35</v>
      </c>
      <c r="C31">
        <v>7.8335707860152768</v>
      </c>
      <c r="D31">
        <v>1344.9792</v>
      </c>
      <c r="E31">
        <v>676.33029045643161</v>
      </c>
      <c r="F31">
        <v>177.6344</v>
      </c>
      <c r="G31">
        <v>75.719200000000001</v>
      </c>
      <c r="H31">
        <v>39</v>
      </c>
      <c r="I31">
        <v>53</v>
      </c>
      <c r="J31">
        <v>8</v>
      </c>
      <c r="K31">
        <v>161</v>
      </c>
      <c r="L31">
        <v>59</v>
      </c>
      <c r="M31">
        <v>25</v>
      </c>
      <c r="N31">
        <v>1995</v>
      </c>
      <c r="O31">
        <v>0.27</v>
      </c>
      <c r="P31">
        <v>2.4700000000000002</v>
      </c>
      <c r="Q31">
        <v>1.4999999999999999E-2</v>
      </c>
      <c r="R31">
        <v>70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441.47890426868253</v>
      </c>
      <c r="B32">
        <v>39.666666666666657</v>
      </c>
      <c r="C32">
        <v>7.7908041929767524</v>
      </c>
      <c r="D32">
        <v>446.14800000000002</v>
      </c>
      <c r="E32">
        <v>687.76207308669495</v>
      </c>
      <c r="F32">
        <v>251.964</v>
      </c>
      <c r="G32">
        <v>85.614000000000004</v>
      </c>
      <c r="H32">
        <v>164</v>
      </c>
      <c r="I32">
        <v>53</v>
      </c>
      <c r="J32">
        <v>6</v>
      </c>
      <c r="K32">
        <v>323</v>
      </c>
      <c r="L32">
        <v>60</v>
      </c>
      <c r="M32">
        <v>31</v>
      </c>
      <c r="N32">
        <v>1995</v>
      </c>
      <c r="O32">
        <v>0.27</v>
      </c>
      <c r="P32">
        <v>2.4700000000000002</v>
      </c>
      <c r="Q32">
        <v>1.4999999999999999E-2</v>
      </c>
      <c r="R32">
        <v>70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389.02609531217809</v>
      </c>
      <c r="B33">
        <v>35</v>
      </c>
      <c r="C33">
        <v>7.780521906243564</v>
      </c>
      <c r="D33">
        <v>775.71839999999986</v>
      </c>
      <c r="E33">
        <v>686.4199170124482</v>
      </c>
      <c r="F33">
        <v>173.91679999999999</v>
      </c>
      <c r="G33">
        <v>75.414400000000001</v>
      </c>
      <c r="H33">
        <v>39</v>
      </c>
      <c r="I33">
        <v>56</v>
      </c>
      <c r="J33">
        <v>8</v>
      </c>
      <c r="K33">
        <v>2</v>
      </c>
      <c r="L33">
        <v>52</v>
      </c>
      <c r="M33">
        <v>4</v>
      </c>
      <c r="N33">
        <v>1995</v>
      </c>
      <c r="O33">
        <v>0.27</v>
      </c>
      <c r="P33">
        <v>2.4700000000000002</v>
      </c>
      <c r="Q33">
        <v>1.4999999999999999E-2</v>
      </c>
      <c r="R33">
        <v>70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388.4467086374238</v>
      </c>
      <c r="B34">
        <v>35</v>
      </c>
      <c r="C34">
        <v>7.7689341727484749</v>
      </c>
      <c r="D34">
        <v>474.88920000000002</v>
      </c>
      <c r="E34">
        <v>682.98755186721985</v>
      </c>
      <c r="F34">
        <v>199.12719999999999</v>
      </c>
      <c r="G34">
        <v>75.231440000000006</v>
      </c>
      <c r="H34">
        <v>8</v>
      </c>
      <c r="I34">
        <v>61</v>
      </c>
      <c r="J34">
        <v>4</v>
      </c>
      <c r="K34">
        <v>55</v>
      </c>
      <c r="L34">
        <v>52</v>
      </c>
      <c r="M34">
        <v>5</v>
      </c>
      <c r="N34">
        <v>1995</v>
      </c>
      <c r="O34">
        <v>0.27</v>
      </c>
      <c r="P34">
        <v>2.4700000000000002</v>
      </c>
      <c r="Q34">
        <v>1.4999999999999999E-2</v>
      </c>
      <c r="R34">
        <v>70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554.75302747910359</v>
      </c>
      <c r="B35">
        <v>50.4</v>
      </c>
      <c r="C35">
        <v>7.7049031594319954</v>
      </c>
      <c r="D35">
        <v>467.42039999999997</v>
      </c>
      <c r="E35">
        <v>679.54190871369292</v>
      </c>
      <c r="F35">
        <v>199.30408</v>
      </c>
      <c r="G35">
        <v>107.33911999999999</v>
      </c>
      <c r="H35">
        <v>112</v>
      </c>
      <c r="I35">
        <v>59</v>
      </c>
      <c r="J35">
        <v>8</v>
      </c>
      <c r="K35">
        <v>163</v>
      </c>
      <c r="L35">
        <v>52</v>
      </c>
      <c r="M35">
        <v>5</v>
      </c>
      <c r="N35">
        <v>1995</v>
      </c>
      <c r="O35">
        <v>0.27</v>
      </c>
      <c r="P35">
        <v>2.4700000000000002</v>
      </c>
      <c r="Q35">
        <v>1.4999999999999999E-2</v>
      </c>
      <c r="R35">
        <v>70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382.27667724197289</v>
      </c>
      <c r="B36">
        <v>35</v>
      </c>
      <c r="C36">
        <v>7.6455335448394584</v>
      </c>
      <c r="D36">
        <v>1522.8534</v>
      </c>
      <c r="E36">
        <v>672.19917012448138</v>
      </c>
      <c r="F36">
        <v>164.25927999999999</v>
      </c>
      <c r="G36">
        <v>73.817959999999985</v>
      </c>
      <c r="H36">
        <v>142</v>
      </c>
      <c r="I36">
        <v>59</v>
      </c>
      <c r="J36">
        <v>40</v>
      </c>
      <c r="K36">
        <v>161</v>
      </c>
      <c r="L36">
        <v>52</v>
      </c>
      <c r="M36">
        <v>18</v>
      </c>
      <c r="N36">
        <v>1995</v>
      </c>
      <c r="O36">
        <v>0.27</v>
      </c>
      <c r="P36">
        <v>2.4700000000000002</v>
      </c>
      <c r="Q36">
        <v>1.4999999999999999E-2</v>
      </c>
      <c r="R36">
        <v>70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447.15973941142778</v>
      </c>
      <c r="B37">
        <v>41.06666666666667</v>
      </c>
      <c r="C37">
        <v>7.6220410126947904</v>
      </c>
      <c r="D37">
        <v>381.45600000000002</v>
      </c>
      <c r="E37">
        <v>687.20246033501644</v>
      </c>
      <c r="F37">
        <v>254.01599999999999</v>
      </c>
      <c r="G37">
        <v>86.702399999999997</v>
      </c>
      <c r="H37">
        <v>164</v>
      </c>
      <c r="I37">
        <v>54</v>
      </c>
      <c r="J37">
        <v>6</v>
      </c>
      <c r="K37">
        <v>126</v>
      </c>
      <c r="L37">
        <v>59</v>
      </c>
      <c r="M37">
        <v>30</v>
      </c>
      <c r="N37">
        <v>1995</v>
      </c>
      <c r="O37">
        <v>0.27</v>
      </c>
      <c r="P37">
        <v>2.4700000000000002</v>
      </c>
      <c r="Q37">
        <v>1.4999999999999999E-2</v>
      </c>
      <c r="R37">
        <v>70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380.48116025739159</v>
      </c>
      <c r="B38">
        <v>35</v>
      </c>
      <c r="C38">
        <v>7.609623205147833</v>
      </c>
      <c r="D38">
        <v>542.56319999999994</v>
      </c>
      <c r="E38">
        <v>687.37593360995857</v>
      </c>
      <c r="F38">
        <v>197.5044</v>
      </c>
      <c r="G38">
        <v>73.777199999999993</v>
      </c>
      <c r="H38">
        <v>9</v>
      </c>
      <c r="I38">
        <v>60</v>
      </c>
      <c r="J38">
        <v>3</v>
      </c>
      <c r="K38">
        <v>39</v>
      </c>
      <c r="L38">
        <v>51</v>
      </c>
      <c r="M38">
        <v>4</v>
      </c>
      <c r="N38">
        <v>1995</v>
      </c>
      <c r="O38">
        <v>0.27</v>
      </c>
      <c r="P38">
        <v>2.4700000000000002</v>
      </c>
      <c r="Q38">
        <v>1.4999999999999999E-2</v>
      </c>
      <c r="R38">
        <v>70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374.95832048480452</v>
      </c>
      <c r="B39">
        <v>35</v>
      </c>
      <c r="C39">
        <v>7.4991664096960884</v>
      </c>
      <c r="D39">
        <v>445.11</v>
      </c>
      <c r="E39">
        <v>691.96680497925308</v>
      </c>
      <c r="F39">
        <v>187.96</v>
      </c>
      <c r="G39">
        <v>72.797499999999999</v>
      </c>
      <c r="H39">
        <v>9</v>
      </c>
      <c r="I39">
        <v>58</v>
      </c>
      <c r="J39">
        <v>3</v>
      </c>
      <c r="K39">
        <v>55</v>
      </c>
      <c r="L39">
        <v>53</v>
      </c>
      <c r="M39">
        <v>5</v>
      </c>
      <c r="N39">
        <v>1995</v>
      </c>
      <c r="O39">
        <v>0.27</v>
      </c>
      <c r="P39">
        <v>2.4700000000000002</v>
      </c>
      <c r="Q39">
        <v>1.4999999999999999E-2</v>
      </c>
      <c r="R39">
        <v>70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374.5966072336372</v>
      </c>
      <c r="B40">
        <v>35</v>
      </c>
      <c r="C40">
        <v>7.4919321446727443</v>
      </c>
      <c r="D40">
        <v>1174.2023999999999</v>
      </c>
      <c r="E40">
        <v>679.43568464730288</v>
      </c>
      <c r="F40">
        <v>170.81567999999999</v>
      </c>
      <c r="G40">
        <v>72.478560000000002</v>
      </c>
      <c r="H40">
        <v>55</v>
      </c>
      <c r="I40">
        <v>56</v>
      </c>
      <c r="J40">
        <v>9</v>
      </c>
      <c r="K40">
        <v>161</v>
      </c>
      <c r="L40">
        <v>56</v>
      </c>
      <c r="M40">
        <v>26</v>
      </c>
      <c r="N40">
        <v>1995</v>
      </c>
      <c r="O40">
        <v>0.27</v>
      </c>
      <c r="P40">
        <v>2.4700000000000002</v>
      </c>
      <c r="Q40">
        <v>1.4999999999999999E-2</v>
      </c>
      <c r="R40">
        <v>70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374.46189471891603</v>
      </c>
      <c r="B41">
        <v>35</v>
      </c>
      <c r="C41">
        <v>7.48923789437832</v>
      </c>
      <c r="D41">
        <v>1163.4048</v>
      </c>
      <c r="E41">
        <v>675.98340248962654</v>
      </c>
      <c r="F41">
        <v>170.3424</v>
      </c>
      <c r="G41">
        <v>72.384</v>
      </c>
      <c r="H41">
        <v>54</v>
      </c>
      <c r="I41">
        <v>53</v>
      </c>
      <c r="J41">
        <v>4</v>
      </c>
      <c r="K41">
        <v>161</v>
      </c>
      <c r="L41">
        <v>60</v>
      </c>
      <c r="M41">
        <v>24</v>
      </c>
      <c r="N41">
        <v>1995</v>
      </c>
      <c r="O41">
        <v>0.27</v>
      </c>
      <c r="P41">
        <v>2.4700000000000002</v>
      </c>
      <c r="Q41">
        <v>1.4999999999999999E-2</v>
      </c>
      <c r="R41">
        <v>70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374.10700480205787</v>
      </c>
      <c r="B42">
        <v>35</v>
      </c>
      <c r="C42">
        <v>7.4821400960411584</v>
      </c>
      <c r="D42">
        <v>444.49919999999997</v>
      </c>
      <c r="E42">
        <v>688.97925311203312</v>
      </c>
      <c r="F42">
        <v>187.55279999999999</v>
      </c>
      <c r="G42">
        <v>72.572999999999993</v>
      </c>
      <c r="H42">
        <v>9</v>
      </c>
      <c r="I42">
        <v>58</v>
      </c>
      <c r="J42">
        <v>3</v>
      </c>
      <c r="K42">
        <v>54</v>
      </c>
      <c r="L42">
        <v>55</v>
      </c>
      <c r="M42">
        <v>2</v>
      </c>
      <c r="N42">
        <v>1995</v>
      </c>
      <c r="O42">
        <v>0.27</v>
      </c>
      <c r="P42">
        <v>2.4700000000000002</v>
      </c>
      <c r="Q42">
        <v>1.4999999999999999E-2</v>
      </c>
      <c r="R42">
        <v>70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373.47083861575419</v>
      </c>
      <c r="B43">
        <v>35</v>
      </c>
      <c r="C43">
        <v>7.4694167723150846</v>
      </c>
      <c r="D43">
        <v>752.84362499999997</v>
      </c>
      <c r="E43">
        <v>686.77842323651453</v>
      </c>
      <c r="F43">
        <v>190.51114999999999</v>
      </c>
      <c r="G43">
        <v>72.40603999999999</v>
      </c>
      <c r="H43">
        <v>9</v>
      </c>
      <c r="I43">
        <v>56</v>
      </c>
      <c r="J43">
        <v>3</v>
      </c>
      <c r="K43">
        <v>142</v>
      </c>
      <c r="L43">
        <v>56</v>
      </c>
      <c r="M43">
        <v>19</v>
      </c>
      <c r="N43">
        <v>1995</v>
      </c>
      <c r="O43">
        <v>0.27</v>
      </c>
      <c r="P43">
        <v>2.4700000000000002</v>
      </c>
      <c r="Q43">
        <v>1.4999999999999999E-2</v>
      </c>
      <c r="R43">
        <v>70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371.40444978053438</v>
      </c>
      <c r="B44">
        <v>35</v>
      </c>
      <c r="C44">
        <v>7.4280889956106879</v>
      </c>
      <c r="D44">
        <v>447.63432000000012</v>
      </c>
      <c r="E44">
        <v>673.29460580912871</v>
      </c>
      <c r="F44">
        <v>188.78832</v>
      </c>
      <c r="G44">
        <v>71.740080000000006</v>
      </c>
      <c r="H44">
        <v>8</v>
      </c>
      <c r="I44">
        <v>57</v>
      </c>
      <c r="J44">
        <v>4</v>
      </c>
      <c r="K44">
        <v>36</v>
      </c>
      <c r="L44">
        <v>56</v>
      </c>
      <c r="M44">
        <v>3</v>
      </c>
      <c r="N44">
        <v>1995</v>
      </c>
      <c r="O44">
        <v>0.27</v>
      </c>
      <c r="P44">
        <v>2.4700000000000002</v>
      </c>
      <c r="Q44">
        <v>1.4999999999999999E-2</v>
      </c>
      <c r="R44">
        <v>70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369.51126712489588</v>
      </c>
      <c r="B45">
        <v>35</v>
      </c>
      <c r="C45">
        <v>7.3902253424979172</v>
      </c>
      <c r="D45">
        <v>619.94880000000001</v>
      </c>
      <c r="E45">
        <v>688.33195020746894</v>
      </c>
      <c r="F45">
        <v>165.5472</v>
      </c>
      <c r="G45">
        <v>71.668800000000005</v>
      </c>
      <c r="H45">
        <v>2</v>
      </c>
      <c r="I45">
        <v>54</v>
      </c>
      <c r="J45">
        <v>4</v>
      </c>
      <c r="K45">
        <v>54</v>
      </c>
      <c r="L45">
        <v>54</v>
      </c>
      <c r="M45">
        <v>4</v>
      </c>
      <c r="N45">
        <v>1995</v>
      </c>
      <c r="O45">
        <v>0.27</v>
      </c>
      <c r="P45">
        <v>2.4700000000000002</v>
      </c>
      <c r="Q45">
        <v>1.4999999999999999E-2</v>
      </c>
      <c r="R45">
        <v>70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590.78069001751476</v>
      </c>
      <c r="B46">
        <v>56</v>
      </c>
      <c r="C46">
        <v>7.384758625218935</v>
      </c>
      <c r="D46">
        <v>1288.7460000000001</v>
      </c>
      <c r="E46">
        <v>674.73360995850624</v>
      </c>
      <c r="F46">
        <v>155.18520000000001</v>
      </c>
      <c r="G46">
        <v>114.1596</v>
      </c>
      <c r="H46">
        <v>111</v>
      </c>
      <c r="I46">
        <v>58</v>
      </c>
      <c r="J46">
        <v>39</v>
      </c>
      <c r="K46">
        <v>161</v>
      </c>
      <c r="L46">
        <v>55</v>
      </c>
      <c r="M46">
        <v>21</v>
      </c>
      <c r="N46">
        <v>1995</v>
      </c>
      <c r="O46">
        <v>0.27</v>
      </c>
      <c r="P46">
        <v>2.4700000000000002</v>
      </c>
      <c r="Q46">
        <v>1.4999999999999999E-2</v>
      </c>
      <c r="R46">
        <v>70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470.69509131646271</v>
      </c>
      <c r="B47">
        <v>44.744000000000007</v>
      </c>
      <c r="C47">
        <v>7.3638155712838333</v>
      </c>
      <c r="D47">
        <v>761.39819999999997</v>
      </c>
      <c r="E47">
        <v>682.5958506224066</v>
      </c>
      <c r="F47">
        <v>436.68684000000002</v>
      </c>
      <c r="G47">
        <v>91.150920000000013</v>
      </c>
      <c r="H47">
        <v>40</v>
      </c>
      <c r="I47">
        <v>63</v>
      </c>
      <c r="J47">
        <v>6</v>
      </c>
      <c r="K47">
        <v>112</v>
      </c>
      <c r="L47">
        <v>54</v>
      </c>
      <c r="M47">
        <v>7</v>
      </c>
      <c r="N47">
        <v>1995</v>
      </c>
      <c r="O47">
        <v>0.27</v>
      </c>
      <c r="P47">
        <v>2.4700000000000002</v>
      </c>
      <c r="Q47">
        <v>1.4999999999999999E-2</v>
      </c>
      <c r="R47">
        <v>70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366.37054672783933</v>
      </c>
      <c r="B48">
        <v>35</v>
      </c>
      <c r="C48">
        <v>7.3274109345567853</v>
      </c>
      <c r="D48">
        <v>645.91919999999993</v>
      </c>
      <c r="E48">
        <v>686.45477178423243</v>
      </c>
      <c r="F48">
        <v>166.46639999999999</v>
      </c>
      <c r="G48">
        <v>71.023200000000003</v>
      </c>
      <c r="H48">
        <v>39</v>
      </c>
      <c r="I48">
        <v>57</v>
      </c>
      <c r="J48">
        <v>7</v>
      </c>
      <c r="K48">
        <v>143</v>
      </c>
      <c r="L48">
        <v>55</v>
      </c>
      <c r="M48">
        <v>10</v>
      </c>
      <c r="N48">
        <v>1995</v>
      </c>
      <c r="O48">
        <v>0.27</v>
      </c>
      <c r="P48">
        <v>2.4700000000000002</v>
      </c>
      <c r="Q48">
        <v>1.4999999999999999E-2</v>
      </c>
      <c r="R48">
        <v>70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366.20951402178002</v>
      </c>
      <c r="B49">
        <v>35</v>
      </c>
      <c r="C49">
        <v>7.3241902804356007</v>
      </c>
      <c r="D49">
        <v>427.12799999999999</v>
      </c>
      <c r="E49">
        <v>688.92946058091297</v>
      </c>
      <c r="F49">
        <v>166.05600000000001</v>
      </c>
      <c r="G49">
        <v>71.040000000000006</v>
      </c>
      <c r="H49">
        <v>33</v>
      </c>
      <c r="I49">
        <v>48</v>
      </c>
      <c r="J49">
        <v>5</v>
      </c>
      <c r="K49">
        <v>6</v>
      </c>
      <c r="L49">
        <v>54</v>
      </c>
      <c r="M49">
        <v>3</v>
      </c>
      <c r="N49">
        <v>1995</v>
      </c>
      <c r="O49">
        <v>0.27</v>
      </c>
      <c r="P49">
        <v>2.4700000000000002</v>
      </c>
      <c r="Q49">
        <v>1.4999999999999999E-2</v>
      </c>
      <c r="R49">
        <v>70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366.20951402178002</v>
      </c>
      <c r="B50">
        <v>35</v>
      </c>
      <c r="C50">
        <v>7.3241902804356007</v>
      </c>
      <c r="D50">
        <v>427.12799999999999</v>
      </c>
      <c r="E50">
        <v>688.92946058091297</v>
      </c>
      <c r="F50">
        <v>166.05600000000001</v>
      </c>
      <c r="G50">
        <v>71.040000000000006</v>
      </c>
      <c r="H50">
        <v>332</v>
      </c>
      <c r="I50">
        <v>48</v>
      </c>
      <c r="J50">
        <v>5</v>
      </c>
      <c r="K50">
        <v>6</v>
      </c>
      <c r="L50">
        <v>54</v>
      </c>
      <c r="M50">
        <v>3</v>
      </c>
      <c r="N50">
        <v>1995</v>
      </c>
      <c r="O50">
        <v>0.27</v>
      </c>
      <c r="P50">
        <v>2.4700000000000002</v>
      </c>
      <c r="Q50">
        <v>1.4999999999999999E-2</v>
      </c>
      <c r="R50">
        <v>70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365.29666137569433</v>
      </c>
      <c r="B51">
        <v>35</v>
      </c>
      <c r="C51">
        <v>7.3059332275138864</v>
      </c>
      <c r="D51">
        <v>520.97280000000001</v>
      </c>
      <c r="E51">
        <v>687.99336099585071</v>
      </c>
      <c r="F51">
        <v>189.64160000000001</v>
      </c>
      <c r="G51">
        <v>70.844800000000006</v>
      </c>
      <c r="H51">
        <v>6</v>
      </c>
      <c r="I51">
        <v>54</v>
      </c>
      <c r="J51">
        <v>6</v>
      </c>
      <c r="K51">
        <v>39</v>
      </c>
      <c r="L51">
        <v>49</v>
      </c>
      <c r="M51">
        <v>4</v>
      </c>
      <c r="N51">
        <v>1995</v>
      </c>
      <c r="O51">
        <v>0.27</v>
      </c>
      <c r="P51">
        <v>2.4700000000000002</v>
      </c>
      <c r="Q51">
        <v>1.4999999999999999E-2</v>
      </c>
      <c r="R51">
        <v>70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403.87883055769998</v>
      </c>
      <c r="B52">
        <v>38.73863636363636</v>
      </c>
      <c r="C52">
        <v>7.298015829379386</v>
      </c>
      <c r="D52">
        <v>435.84480000000002</v>
      </c>
      <c r="E52">
        <v>686.71584837868375</v>
      </c>
      <c r="F52">
        <v>241.66079999999999</v>
      </c>
      <c r="G52">
        <v>78.3</v>
      </c>
      <c r="H52">
        <v>95</v>
      </c>
      <c r="I52">
        <v>53</v>
      </c>
      <c r="J52">
        <v>6</v>
      </c>
      <c r="K52">
        <v>323</v>
      </c>
      <c r="L52">
        <v>60</v>
      </c>
      <c r="M52">
        <v>31</v>
      </c>
      <c r="N52">
        <v>1995</v>
      </c>
      <c r="O52">
        <v>0.27</v>
      </c>
      <c r="P52">
        <v>2.4700000000000002</v>
      </c>
      <c r="Q52">
        <v>1.4999999999999999E-2</v>
      </c>
      <c r="R52">
        <v>70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466.24550608750621</v>
      </c>
      <c r="B53">
        <v>44.744000000000007</v>
      </c>
      <c r="C53">
        <v>7.2942037873514733</v>
      </c>
      <c r="D53">
        <v>503.71199999999999</v>
      </c>
      <c r="E53">
        <v>684.23568464730283</v>
      </c>
      <c r="F53">
        <v>430.05599999999998</v>
      </c>
      <c r="G53">
        <v>90.329760000000007</v>
      </c>
      <c r="H53">
        <v>135</v>
      </c>
      <c r="I53">
        <v>59</v>
      </c>
      <c r="J53">
        <v>4</v>
      </c>
      <c r="K53">
        <v>40</v>
      </c>
      <c r="L53">
        <v>62</v>
      </c>
      <c r="M53">
        <v>6</v>
      </c>
      <c r="N53">
        <v>1995</v>
      </c>
      <c r="O53">
        <v>0.27</v>
      </c>
      <c r="P53">
        <v>2.4700000000000002</v>
      </c>
      <c r="Q53">
        <v>1.4999999999999999E-2</v>
      </c>
      <c r="R53">
        <v>70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437.4417259503137</v>
      </c>
      <c r="B54">
        <v>42</v>
      </c>
      <c r="C54">
        <v>7.2906954325052276</v>
      </c>
      <c r="D54">
        <v>443.92200000000003</v>
      </c>
      <c r="E54">
        <v>690.82157676348561</v>
      </c>
      <c r="F54">
        <v>169.804</v>
      </c>
      <c r="G54">
        <v>84.902000000000001</v>
      </c>
      <c r="H54">
        <v>39</v>
      </c>
      <c r="I54">
        <v>54</v>
      </c>
      <c r="J54">
        <v>10</v>
      </c>
      <c r="K54">
        <v>55</v>
      </c>
      <c r="L54">
        <v>59</v>
      </c>
      <c r="M54">
        <v>4</v>
      </c>
      <c r="N54">
        <v>1995</v>
      </c>
      <c r="O54">
        <v>0.27</v>
      </c>
      <c r="P54">
        <v>2.4700000000000002</v>
      </c>
      <c r="Q54">
        <v>1.4999999999999999E-2</v>
      </c>
      <c r="R54">
        <v>70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434.14283293682951</v>
      </c>
      <c r="B55">
        <v>42</v>
      </c>
      <c r="C55">
        <v>7.2357138822804927</v>
      </c>
      <c r="D55">
        <v>733.08682499999998</v>
      </c>
      <c r="E55">
        <v>687.82406639004159</v>
      </c>
      <c r="F55">
        <v>168.38554999999999</v>
      </c>
      <c r="G55">
        <v>84.192775000000012</v>
      </c>
      <c r="H55">
        <v>39</v>
      </c>
      <c r="I55">
        <v>56</v>
      </c>
      <c r="J55">
        <v>9</v>
      </c>
      <c r="K55">
        <v>142</v>
      </c>
      <c r="L55">
        <v>55</v>
      </c>
      <c r="M55">
        <v>19</v>
      </c>
      <c r="N55">
        <v>1995</v>
      </c>
      <c r="O55">
        <v>0.27</v>
      </c>
      <c r="P55">
        <v>2.4700000000000002</v>
      </c>
      <c r="Q55">
        <v>1.4999999999999999E-2</v>
      </c>
      <c r="R55">
        <v>70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412.727734341592</v>
      </c>
      <c r="B56">
        <v>40.138636363636373</v>
      </c>
      <c r="C56">
        <v>7.1977884704835713</v>
      </c>
      <c r="D56">
        <v>370.95839999999998</v>
      </c>
      <c r="E56">
        <v>692.52078986496429</v>
      </c>
      <c r="F56">
        <v>243.51840000000001</v>
      </c>
      <c r="G56">
        <v>80.142479999999992</v>
      </c>
      <c r="H56">
        <v>95</v>
      </c>
      <c r="I56">
        <v>54</v>
      </c>
      <c r="J56">
        <v>6</v>
      </c>
      <c r="K56">
        <v>126</v>
      </c>
      <c r="L56">
        <v>59</v>
      </c>
      <c r="M56">
        <v>31</v>
      </c>
      <c r="N56">
        <v>1995</v>
      </c>
      <c r="O56">
        <v>0.27</v>
      </c>
      <c r="P56">
        <v>2.4700000000000002</v>
      </c>
      <c r="Q56">
        <v>1.4999999999999999E-2</v>
      </c>
      <c r="R56">
        <v>70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413.94500349589367</v>
      </c>
      <c r="B57">
        <v>42</v>
      </c>
      <c r="C57">
        <v>6.8990833915982286</v>
      </c>
      <c r="D57">
        <v>506.29599999999999</v>
      </c>
      <c r="E57">
        <v>690.2389577102158</v>
      </c>
      <c r="F57">
        <v>199.12559999999999</v>
      </c>
      <c r="G57">
        <v>80.328800000000001</v>
      </c>
      <c r="H57">
        <v>52</v>
      </c>
      <c r="I57">
        <v>56</v>
      </c>
      <c r="J57">
        <v>11</v>
      </c>
      <c r="K57">
        <v>323</v>
      </c>
      <c r="L57">
        <v>57</v>
      </c>
      <c r="M57">
        <v>34</v>
      </c>
      <c r="N57">
        <v>1995</v>
      </c>
      <c r="O57">
        <v>0.27</v>
      </c>
      <c r="P57">
        <v>2.4700000000000002</v>
      </c>
      <c r="Q57">
        <v>1.4999999999999999E-2</v>
      </c>
      <c r="R57">
        <v>70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413.73264653110988</v>
      </c>
      <c r="B58">
        <v>42</v>
      </c>
      <c r="C58">
        <v>6.8955441088518334</v>
      </c>
      <c r="D58">
        <v>554.89499999999998</v>
      </c>
      <c r="E58">
        <v>689.42738589211615</v>
      </c>
      <c r="F58">
        <v>160.53960000000001</v>
      </c>
      <c r="G58">
        <v>80.269800000000004</v>
      </c>
      <c r="H58">
        <v>54</v>
      </c>
      <c r="I58">
        <v>49</v>
      </c>
      <c r="J58">
        <v>5</v>
      </c>
      <c r="K58">
        <v>142</v>
      </c>
      <c r="L58">
        <v>60</v>
      </c>
      <c r="M58">
        <v>18</v>
      </c>
      <c r="N58">
        <v>1995</v>
      </c>
      <c r="O58">
        <v>0.27</v>
      </c>
      <c r="P58">
        <v>2.4700000000000002</v>
      </c>
      <c r="Q58">
        <v>1.4999999999999999E-2</v>
      </c>
      <c r="R58">
        <v>70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412.76312082918759</v>
      </c>
      <c r="B59">
        <v>42</v>
      </c>
      <c r="C59">
        <v>6.8793853471531277</v>
      </c>
      <c r="D59">
        <v>541.3026000000001</v>
      </c>
      <c r="E59">
        <v>690.32365145228209</v>
      </c>
      <c r="F59">
        <v>158.45768000000001</v>
      </c>
      <c r="G59">
        <v>80.101300000000009</v>
      </c>
      <c r="H59">
        <v>55</v>
      </c>
      <c r="I59">
        <v>53</v>
      </c>
      <c r="J59">
        <v>11</v>
      </c>
      <c r="K59">
        <v>142</v>
      </c>
      <c r="L59">
        <v>60</v>
      </c>
      <c r="M59">
        <v>18</v>
      </c>
      <c r="N59">
        <v>1995</v>
      </c>
      <c r="O59">
        <v>0.27</v>
      </c>
      <c r="P59">
        <v>2.4700000000000002</v>
      </c>
      <c r="Q59">
        <v>1.4999999999999999E-2</v>
      </c>
      <c r="R59">
        <v>70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492.59947710094463</v>
      </c>
      <c r="B60">
        <v>50.400000000000013</v>
      </c>
      <c r="C60">
        <v>6.8416594041797847</v>
      </c>
      <c r="D60">
        <v>556.85040000000004</v>
      </c>
      <c r="E60">
        <v>688.46473029045637</v>
      </c>
      <c r="F60">
        <v>201.04032000000001</v>
      </c>
      <c r="G60">
        <v>95.54592000000001</v>
      </c>
      <c r="H60">
        <v>112</v>
      </c>
      <c r="I60">
        <v>56</v>
      </c>
      <c r="J60">
        <v>7</v>
      </c>
      <c r="K60">
        <v>96</v>
      </c>
      <c r="L60">
        <v>54</v>
      </c>
      <c r="M60">
        <v>24</v>
      </c>
      <c r="N60">
        <v>1995</v>
      </c>
      <c r="O60">
        <v>0.27</v>
      </c>
      <c r="P60">
        <v>2.4700000000000002</v>
      </c>
      <c r="Q60">
        <v>1.4999999999999999E-2</v>
      </c>
      <c r="R60">
        <v>70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409.75250750978768</v>
      </c>
      <c r="B61">
        <v>42</v>
      </c>
      <c r="C61">
        <v>6.8292084584964634</v>
      </c>
      <c r="D61">
        <v>486.04050000000012</v>
      </c>
      <c r="E61">
        <v>688.81945108141042</v>
      </c>
      <c r="F61">
        <v>197.23230000000001</v>
      </c>
      <c r="G61">
        <v>79.484400000000008</v>
      </c>
      <c r="H61">
        <v>8</v>
      </c>
      <c r="I61">
        <v>50</v>
      </c>
      <c r="J61">
        <v>5</v>
      </c>
      <c r="K61">
        <v>84</v>
      </c>
      <c r="L61">
        <v>62</v>
      </c>
      <c r="M61">
        <v>30</v>
      </c>
      <c r="N61">
        <v>1995</v>
      </c>
      <c r="O61">
        <v>0.27</v>
      </c>
      <c r="P61">
        <v>2.4700000000000002</v>
      </c>
      <c r="Q61">
        <v>1.4999999999999999E-2</v>
      </c>
      <c r="R61">
        <v>70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408.41011135462338</v>
      </c>
      <c r="B62">
        <v>42</v>
      </c>
      <c r="C62">
        <v>6.8068351892437233</v>
      </c>
      <c r="D62">
        <v>650.1</v>
      </c>
      <c r="E62">
        <v>688.81945108141042</v>
      </c>
      <c r="F62">
        <v>196.84800000000001</v>
      </c>
      <c r="G62">
        <v>79.224000000000018</v>
      </c>
      <c r="H62">
        <v>8</v>
      </c>
      <c r="I62">
        <v>50</v>
      </c>
      <c r="J62">
        <v>5</v>
      </c>
      <c r="K62">
        <v>323</v>
      </c>
      <c r="L62">
        <v>62</v>
      </c>
      <c r="M62">
        <v>30</v>
      </c>
      <c r="N62">
        <v>1995</v>
      </c>
      <c r="O62">
        <v>0.27</v>
      </c>
      <c r="P62">
        <v>2.4700000000000002</v>
      </c>
      <c r="Q62">
        <v>1.4999999999999999E-2</v>
      </c>
      <c r="R62">
        <v>70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419.07942766724659</v>
      </c>
      <c r="B63">
        <v>43.4</v>
      </c>
      <c r="C63">
        <v>6.759345607536237</v>
      </c>
      <c r="D63">
        <v>439.76130000000012</v>
      </c>
      <c r="E63">
        <v>689.08111651547222</v>
      </c>
      <c r="F63">
        <v>199.98990000000001</v>
      </c>
      <c r="G63">
        <v>81.299460000000025</v>
      </c>
      <c r="H63">
        <v>52</v>
      </c>
      <c r="I63">
        <v>57</v>
      </c>
      <c r="J63">
        <v>11</v>
      </c>
      <c r="K63">
        <v>126</v>
      </c>
      <c r="L63">
        <v>56</v>
      </c>
      <c r="M63">
        <v>33</v>
      </c>
      <c r="N63">
        <v>1995</v>
      </c>
      <c r="O63">
        <v>0.27</v>
      </c>
      <c r="P63">
        <v>2.4700000000000002</v>
      </c>
      <c r="Q63">
        <v>1.4999999999999999E-2</v>
      </c>
      <c r="R63">
        <v>70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371.1815998769984</v>
      </c>
      <c r="B64">
        <v>38.5</v>
      </c>
      <c r="C64">
        <v>6.7487563613999706</v>
      </c>
      <c r="D64">
        <v>420.59100000000001</v>
      </c>
      <c r="E64">
        <v>690.69784590280233</v>
      </c>
      <c r="F64">
        <v>217.0566</v>
      </c>
      <c r="G64">
        <v>72.039299999999997</v>
      </c>
      <c r="H64">
        <v>22</v>
      </c>
      <c r="I64">
        <v>53</v>
      </c>
      <c r="J64">
        <v>3</v>
      </c>
      <c r="K64">
        <v>84</v>
      </c>
      <c r="L64">
        <v>60</v>
      </c>
      <c r="M64">
        <v>32</v>
      </c>
      <c r="N64">
        <v>1995</v>
      </c>
      <c r="O64">
        <v>0.27</v>
      </c>
      <c r="P64">
        <v>2.4700000000000002</v>
      </c>
      <c r="Q64">
        <v>1.4999999999999999E-2</v>
      </c>
      <c r="R64">
        <v>70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400.79309983507159</v>
      </c>
      <c r="B65">
        <v>42</v>
      </c>
      <c r="C65">
        <v>6.679884997251194</v>
      </c>
      <c r="D65">
        <v>411.89679999999998</v>
      </c>
      <c r="E65">
        <v>691.37925311203321</v>
      </c>
      <c r="F65">
        <v>155.60159999999999</v>
      </c>
      <c r="G65">
        <v>77.800800000000024</v>
      </c>
      <c r="H65">
        <v>33</v>
      </c>
      <c r="I65">
        <v>56</v>
      </c>
      <c r="J65">
        <v>5</v>
      </c>
      <c r="K65">
        <v>39</v>
      </c>
      <c r="L65">
        <v>49</v>
      </c>
      <c r="M65">
        <v>4</v>
      </c>
      <c r="N65">
        <v>1995</v>
      </c>
      <c r="O65">
        <v>0.27</v>
      </c>
      <c r="P65">
        <v>2.4700000000000002</v>
      </c>
      <c r="Q65">
        <v>1.4999999999999999E-2</v>
      </c>
      <c r="R65">
        <v>70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400.79309983507159</v>
      </c>
      <c r="B66">
        <v>42</v>
      </c>
      <c r="C66">
        <v>6.679884997251194</v>
      </c>
      <c r="D66">
        <v>411.89679999999998</v>
      </c>
      <c r="E66">
        <v>691.37925311203321</v>
      </c>
      <c r="F66">
        <v>155.60159999999999</v>
      </c>
      <c r="G66">
        <v>77.800800000000024</v>
      </c>
      <c r="H66">
        <v>332</v>
      </c>
      <c r="I66">
        <v>56</v>
      </c>
      <c r="J66">
        <v>5</v>
      </c>
      <c r="K66">
        <v>39</v>
      </c>
      <c r="L66">
        <v>49</v>
      </c>
      <c r="M66">
        <v>4</v>
      </c>
      <c r="N66">
        <v>1995</v>
      </c>
      <c r="O66">
        <v>0.27</v>
      </c>
      <c r="P66">
        <v>2.4700000000000002</v>
      </c>
      <c r="Q66">
        <v>1.4999999999999999E-2</v>
      </c>
      <c r="R66">
        <v>70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413.63835425632192</v>
      </c>
      <c r="B67">
        <v>43.400000000000013</v>
      </c>
      <c r="C67">
        <v>6.6715863589729336</v>
      </c>
      <c r="D67">
        <v>593.48880000000008</v>
      </c>
      <c r="E67">
        <v>688.72352598957434</v>
      </c>
      <c r="F67">
        <v>198.67679999999999</v>
      </c>
      <c r="G67">
        <v>80.236080000000001</v>
      </c>
      <c r="H67">
        <v>8</v>
      </c>
      <c r="I67">
        <v>51</v>
      </c>
      <c r="J67">
        <v>5</v>
      </c>
      <c r="K67">
        <v>126</v>
      </c>
      <c r="L67">
        <v>61</v>
      </c>
      <c r="M67">
        <v>29</v>
      </c>
      <c r="N67">
        <v>1995</v>
      </c>
      <c r="O67">
        <v>0.27</v>
      </c>
      <c r="P67">
        <v>2.4700000000000002</v>
      </c>
      <c r="Q67">
        <v>1.4999999999999999E-2</v>
      </c>
      <c r="R67">
        <v>70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425.6836236232399</v>
      </c>
      <c r="B68">
        <v>44.744000000000007</v>
      </c>
      <c r="C68">
        <v>6.6596311580606988</v>
      </c>
      <c r="D68">
        <v>503.49599999999998</v>
      </c>
      <c r="E68">
        <v>685.94190871369301</v>
      </c>
      <c r="F68">
        <v>428.65199999999999</v>
      </c>
      <c r="G68">
        <v>82.509839999999997</v>
      </c>
      <c r="H68">
        <v>134</v>
      </c>
      <c r="I68">
        <v>64</v>
      </c>
      <c r="J68">
        <v>4</v>
      </c>
      <c r="K68">
        <v>40</v>
      </c>
      <c r="L68">
        <v>54</v>
      </c>
      <c r="M68">
        <v>7</v>
      </c>
      <c r="N68">
        <v>1995</v>
      </c>
      <c r="O68">
        <v>0.27</v>
      </c>
      <c r="P68">
        <v>2.4700000000000002</v>
      </c>
      <c r="Q68">
        <v>1.4999999999999999E-2</v>
      </c>
      <c r="R68">
        <v>70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399.35826799092598</v>
      </c>
      <c r="B69">
        <v>42</v>
      </c>
      <c r="C69">
        <v>6.655971133182101</v>
      </c>
      <c r="D69">
        <v>490.72649999999999</v>
      </c>
      <c r="E69">
        <v>689.10253754099506</v>
      </c>
      <c r="F69">
        <v>191.07990000000001</v>
      </c>
      <c r="G69">
        <v>77.474100000000007</v>
      </c>
      <c r="H69">
        <v>53</v>
      </c>
      <c r="I69">
        <v>55</v>
      </c>
      <c r="J69">
        <v>11</v>
      </c>
      <c r="K69">
        <v>323</v>
      </c>
      <c r="L69">
        <v>58</v>
      </c>
      <c r="M69">
        <v>33</v>
      </c>
      <c r="N69">
        <v>1995</v>
      </c>
      <c r="O69">
        <v>0.27</v>
      </c>
      <c r="P69">
        <v>2.4700000000000002</v>
      </c>
      <c r="Q69">
        <v>1.4999999999999999E-2</v>
      </c>
      <c r="R69">
        <v>70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365.99356962649392</v>
      </c>
      <c r="B70">
        <v>38.5</v>
      </c>
      <c r="C70">
        <v>6.6544285386635256</v>
      </c>
      <c r="D70">
        <v>587.34</v>
      </c>
      <c r="E70">
        <v>684.20534319759292</v>
      </c>
      <c r="F70">
        <v>216.666</v>
      </c>
      <c r="G70">
        <v>70.906499999999994</v>
      </c>
      <c r="H70">
        <v>22</v>
      </c>
      <c r="I70">
        <v>53</v>
      </c>
      <c r="J70">
        <v>3</v>
      </c>
      <c r="K70">
        <v>323</v>
      </c>
      <c r="L70">
        <v>60</v>
      </c>
      <c r="M70">
        <v>31</v>
      </c>
      <c r="N70">
        <v>1995</v>
      </c>
      <c r="O70">
        <v>0.27</v>
      </c>
      <c r="P70">
        <v>2.4700000000000002</v>
      </c>
      <c r="Q70">
        <v>1.4999999999999999E-2</v>
      </c>
      <c r="R70">
        <v>70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424.0651505283866</v>
      </c>
      <c r="B71">
        <v>44.744</v>
      </c>
      <c r="C71">
        <v>6.6343108655880272</v>
      </c>
      <c r="D71">
        <v>557.68799999999999</v>
      </c>
      <c r="E71">
        <v>689.00870270347752</v>
      </c>
      <c r="F71">
        <v>428.53199999999998</v>
      </c>
      <c r="G71">
        <v>82.265040000000013</v>
      </c>
      <c r="H71">
        <v>181</v>
      </c>
      <c r="I71">
        <v>66</v>
      </c>
      <c r="J71">
        <v>4</v>
      </c>
      <c r="K71">
        <v>40</v>
      </c>
      <c r="L71">
        <v>54</v>
      </c>
      <c r="M71">
        <v>7</v>
      </c>
      <c r="N71">
        <v>1995</v>
      </c>
      <c r="O71">
        <v>0.27</v>
      </c>
      <c r="P71">
        <v>2.4700000000000002</v>
      </c>
      <c r="Q71">
        <v>1.4999999999999999E-2</v>
      </c>
      <c r="R71">
        <v>70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422.11797409117071</v>
      </c>
      <c r="B72">
        <v>44.744</v>
      </c>
      <c r="C72">
        <v>6.6038481553687527</v>
      </c>
      <c r="D72">
        <v>556.20000000000005</v>
      </c>
      <c r="E72">
        <v>670.4863070539418</v>
      </c>
      <c r="F72">
        <v>427.78800000000001</v>
      </c>
      <c r="G72">
        <v>81.473040000000012</v>
      </c>
      <c r="H72">
        <v>137</v>
      </c>
      <c r="I72">
        <v>66</v>
      </c>
      <c r="J72">
        <v>4</v>
      </c>
      <c r="K72">
        <v>40</v>
      </c>
      <c r="L72">
        <v>54</v>
      </c>
      <c r="M72">
        <v>7</v>
      </c>
      <c r="N72">
        <v>1995</v>
      </c>
      <c r="O72">
        <v>0.27</v>
      </c>
      <c r="P72">
        <v>2.4700000000000002</v>
      </c>
      <c r="Q72">
        <v>1.4999999999999999E-2</v>
      </c>
      <c r="R72">
        <v>70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421.54790586759373</v>
      </c>
      <c r="B73">
        <v>44.744000000000007</v>
      </c>
      <c r="C73">
        <v>6.5949296912952704</v>
      </c>
      <c r="D73">
        <v>610.8048</v>
      </c>
      <c r="E73">
        <v>687.01742738589212</v>
      </c>
      <c r="F73">
        <v>428.1336</v>
      </c>
      <c r="G73">
        <v>81.732240000000004</v>
      </c>
      <c r="H73">
        <v>174</v>
      </c>
      <c r="I73">
        <v>51</v>
      </c>
      <c r="J73">
        <v>4</v>
      </c>
      <c r="K73">
        <v>40</v>
      </c>
      <c r="L73">
        <v>63</v>
      </c>
      <c r="M73">
        <v>6</v>
      </c>
      <c r="N73">
        <v>1995</v>
      </c>
      <c r="O73">
        <v>0.27</v>
      </c>
      <c r="P73">
        <v>2.4700000000000002</v>
      </c>
      <c r="Q73">
        <v>1.4999999999999999E-2</v>
      </c>
      <c r="R73">
        <v>70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420.38027850612002</v>
      </c>
      <c r="B74">
        <v>44.744</v>
      </c>
      <c r="C74">
        <v>6.5766626800081349</v>
      </c>
      <c r="D74">
        <v>503.52480000000003</v>
      </c>
      <c r="E74">
        <v>688.7767634854772</v>
      </c>
      <c r="F74">
        <v>428.68079999999998</v>
      </c>
      <c r="G74">
        <v>81.545040000000014</v>
      </c>
      <c r="H74">
        <v>130</v>
      </c>
      <c r="I74">
        <v>65</v>
      </c>
      <c r="J74">
        <v>4</v>
      </c>
      <c r="K74">
        <v>40</v>
      </c>
      <c r="L74">
        <v>54</v>
      </c>
      <c r="M74">
        <v>7</v>
      </c>
      <c r="N74">
        <v>1995</v>
      </c>
      <c r="O74">
        <v>0.27</v>
      </c>
      <c r="P74">
        <v>2.4700000000000002</v>
      </c>
      <c r="Q74">
        <v>1.4999999999999999E-2</v>
      </c>
      <c r="R74">
        <v>70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374.19452217002419</v>
      </c>
      <c r="B75">
        <v>39.900000000000013</v>
      </c>
      <c r="C75">
        <v>6.5648161784214771</v>
      </c>
      <c r="D75">
        <v>525.31200000000001</v>
      </c>
      <c r="E75">
        <v>689.96291666158879</v>
      </c>
      <c r="F75">
        <v>218.05199999999999</v>
      </c>
      <c r="G75">
        <v>72.609479999999991</v>
      </c>
      <c r="H75">
        <v>22</v>
      </c>
      <c r="I75">
        <v>54</v>
      </c>
      <c r="J75">
        <v>3</v>
      </c>
      <c r="K75">
        <v>126</v>
      </c>
      <c r="L75">
        <v>59</v>
      </c>
      <c r="M75">
        <v>31</v>
      </c>
      <c r="N75">
        <v>1995</v>
      </c>
      <c r="O75">
        <v>0.27</v>
      </c>
      <c r="P75">
        <v>2.4700000000000002</v>
      </c>
      <c r="Q75">
        <v>1.4999999999999999E-2</v>
      </c>
      <c r="R75">
        <v>70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404.2329350297457</v>
      </c>
      <c r="B76">
        <v>43.400000000000013</v>
      </c>
      <c r="C76">
        <v>6.5198860488668657</v>
      </c>
      <c r="D76">
        <v>424.82639999999998</v>
      </c>
      <c r="E76">
        <v>688.12726896035929</v>
      </c>
      <c r="F76">
        <v>191.85839999999999</v>
      </c>
      <c r="G76">
        <v>78.398880000000005</v>
      </c>
      <c r="H76">
        <v>53</v>
      </c>
      <c r="I76">
        <v>56</v>
      </c>
      <c r="J76">
        <v>11</v>
      </c>
      <c r="K76">
        <v>126</v>
      </c>
      <c r="L76">
        <v>57</v>
      </c>
      <c r="M76">
        <v>32</v>
      </c>
      <c r="N76">
        <v>1995</v>
      </c>
      <c r="O76">
        <v>0.27</v>
      </c>
      <c r="P76">
        <v>2.4700000000000002</v>
      </c>
      <c r="Q76">
        <v>1.4999999999999999E-2</v>
      </c>
      <c r="R76">
        <v>70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416.112046016119</v>
      </c>
      <c r="B77">
        <v>44.744</v>
      </c>
      <c r="C77">
        <v>6.509888079100735</v>
      </c>
      <c r="D77">
        <v>556.80799999999999</v>
      </c>
      <c r="E77">
        <v>667.3659751037344</v>
      </c>
      <c r="F77">
        <v>428.09199999999998</v>
      </c>
      <c r="G77">
        <v>80.245040000000003</v>
      </c>
      <c r="H77">
        <v>178</v>
      </c>
      <c r="I77">
        <v>58</v>
      </c>
      <c r="J77">
        <v>5</v>
      </c>
      <c r="K77">
        <v>40</v>
      </c>
      <c r="L77">
        <v>63</v>
      </c>
      <c r="M77">
        <v>6</v>
      </c>
      <c r="N77">
        <v>1995</v>
      </c>
      <c r="O77">
        <v>0.27</v>
      </c>
      <c r="P77">
        <v>2.4700000000000002</v>
      </c>
      <c r="Q77">
        <v>1.4999999999999999E-2</v>
      </c>
      <c r="R77">
        <v>70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455.68398730158481</v>
      </c>
      <c r="B78">
        <v>49</v>
      </c>
      <c r="C78">
        <v>6.5097712471654976</v>
      </c>
      <c r="D78">
        <v>430.75639999999999</v>
      </c>
      <c r="E78">
        <v>689.7531519939655</v>
      </c>
      <c r="F78">
        <v>162.58439999999999</v>
      </c>
      <c r="G78">
        <v>88.416799999999995</v>
      </c>
      <c r="H78">
        <v>39</v>
      </c>
      <c r="I78">
        <v>57</v>
      </c>
      <c r="J78">
        <v>9</v>
      </c>
      <c r="K78">
        <v>84</v>
      </c>
      <c r="L78">
        <v>56</v>
      </c>
      <c r="M78">
        <v>35</v>
      </c>
      <c r="N78">
        <v>1995</v>
      </c>
      <c r="O78">
        <v>0.27</v>
      </c>
      <c r="P78">
        <v>2.4700000000000002</v>
      </c>
      <c r="Q78">
        <v>1.4999999999999999E-2</v>
      </c>
      <c r="R78">
        <v>70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>
      <c r="A79">
        <v>390.56767341220058</v>
      </c>
      <c r="B79">
        <v>42</v>
      </c>
      <c r="C79">
        <v>6.5094612235366771</v>
      </c>
      <c r="D79">
        <v>626.58000000000004</v>
      </c>
      <c r="E79">
        <v>684.64443830101948</v>
      </c>
      <c r="F79">
        <v>184.6935</v>
      </c>
      <c r="G79">
        <v>75.676500000000004</v>
      </c>
      <c r="H79">
        <v>9</v>
      </c>
      <c r="I79">
        <v>57</v>
      </c>
      <c r="J79">
        <v>3</v>
      </c>
      <c r="K79">
        <v>323</v>
      </c>
      <c r="L79">
        <v>56</v>
      </c>
      <c r="M79">
        <v>35</v>
      </c>
      <c r="N79">
        <v>1995</v>
      </c>
      <c r="O79">
        <v>0.27</v>
      </c>
      <c r="P79">
        <v>2.4700000000000002</v>
      </c>
      <c r="Q79">
        <v>1.4999999999999999E-2</v>
      </c>
      <c r="R79">
        <v>70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>
      <c r="A80">
        <v>454.26977997768751</v>
      </c>
      <c r="B80">
        <v>49</v>
      </c>
      <c r="C80">
        <v>6.4895682853955359</v>
      </c>
      <c r="D80">
        <v>606.47039999999993</v>
      </c>
      <c r="E80">
        <v>689.7531519939655</v>
      </c>
      <c r="F80">
        <v>162.1728</v>
      </c>
      <c r="G80">
        <v>88.142399999999995</v>
      </c>
      <c r="H80">
        <v>39</v>
      </c>
      <c r="I80">
        <v>57</v>
      </c>
      <c r="J80">
        <v>9</v>
      </c>
      <c r="K80">
        <v>323</v>
      </c>
      <c r="L80">
        <v>56</v>
      </c>
      <c r="M80">
        <v>35</v>
      </c>
      <c r="N80">
        <v>1995</v>
      </c>
      <c r="O80">
        <v>0.27</v>
      </c>
      <c r="P80">
        <v>2.4700000000000002</v>
      </c>
      <c r="Q80">
        <v>1.4999999999999999E-2</v>
      </c>
      <c r="R80">
        <v>70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>
      <c r="A81">
        <v>414.66820495308002</v>
      </c>
      <c r="B81">
        <v>44.744</v>
      </c>
      <c r="C81">
        <v>6.4872998271758453</v>
      </c>
      <c r="D81">
        <v>552.6232</v>
      </c>
      <c r="E81">
        <v>685.21493775933618</v>
      </c>
      <c r="F81">
        <v>423.62360000000001</v>
      </c>
      <c r="G81">
        <v>80.35875999999999</v>
      </c>
      <c r="H81">
        <v>1</v>
      </c>
      <c r="I81">
        <v>59</v>
      </c>
      <c r="J81">
        <v>10</v>
      </c>
      <c r="K81">
        <v>40</v>
      </c>
      <c r="L81">
        <v>62</v>
      </c>
      <c r="M81">
        <v>6</v>
      </c>
      <c r="N81">
        <v>1995</v>
      </c>
      <c r="O81">
        <v>0.27</v>
      </c>
      <c r="P81">
        <v>2.4700000000000002</v>
      </c>
      <c r="Q81">
        <v>1.4999999999999999E-2</v>
      </c>
      <c r="R81">
        <v>70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>
      <c r="A82">
        <v>413.97586568648683</v>
      </c>
      <c r="B82">
        <v>44.744</v>
      </c>
      <c r="C82">
        <v>6.4764684869600568</v>
      </c>
      <c r="D82">
        <v>503.26074</v>
      </c>
      <c r="E82">
        <v>656.58423236514523</v>
      </c>
      <c r="F82">
        <v>428.41674</v>
      </c>
      <c r="G82">
        <v>79.596600000000009</v>
      </c>
      <c r="H82">
        <v>131</v>
      </c>
      <c r="I82">
        <v>58</v>
      </c>
      <c r="J82">
        <v>4</v>
      </c>
      <c r="K82">
        <v>40</v>
      </c>
      <c r="L82">
        <v>63</v>
      </c>
      <c r="M82">
        <v>6</v>
      </c>
      <c r="N82">
        <v>1995</v>
      </c>
      <c r="O82">
        <v>0.27</v>
      </c>
      <c r="P82">
        <v>2.4700000000000002</v>
      </c>
      <c r="Q82">
        <v>1.4999999999999999E-2</v>
      </c>
      <c r="R82">
        <v>70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>
      <c r="A83">
        <v>465.7010896345011</v>
      </c>
      <c r="B83">
        <v>50.400000000000013</v>
      </c>
      <c r="C83">
        <v>6.4680706893680693</v>
      </c>
      <c r="D83">
        <v>436.1422</v>
      </c>
      <c r="E83">
        <v>688.26224066390034</v>
      </c>
      <c r="F83">
        <v>186.27484000000001</v>
      </c>
      <c r="G83">
        <v>90.323640000000012</v>
      </c>
      <c r="H83">
        <v>112</v>
      </c>
      <c r="I83">
        <v>59</v>
      </c>
      <c r="J83">
        <v>6</v>
      </c>
      <c r="K83">
        <v>57</v>
      </c>
      <c r="L83">
        <v>53</v>
      </c>
      <c r="M83">
        <v>9</v>
      </c>
      <c r="N83">
        <v>1995</v>
      </c>
      <c r="O83">
        <v>0.27</v>
      </c>
      <c r="P83">
        <v>2.4700000000000002</v>
      </c>
      <c r="Q83">
        <v>1.4999999999999999E-2</v>
      </c>
      <c r="R83">
        <v>70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>
      <c r="A84">
        <v>409.6469535893699</v>
      </c>
      <c r="B84">
        <v>44.744</v>
      </c>
      <c r="C84">
        <v>6.4087445805596053</v>
      </c>
      <c r="D84">
        <v>490.54545000000002</v>
      </c>
      <c r="E84">
        <v>686.3502074688796</v>
      </c>
      <c r="F84">
        <v>418.07745</v>
      </c>
      <c r="G84">
        <v>79.410330000000002</v>
      </c>
      <c r="H84">
        <v>317</v>
      </c>
      <c r="I84">
        <v>57</v>
      </c>
      <c r="J84">
        <v>10</v>
      </c>
      <c r="K84">
        <v>40</v>
      </c>
      <c r="L84">
        <v>61</v>
      </c>
      <c r="M84">
        <v>6</v>
      </c>
      <c r="N84">
        <v>1995</v>
      </c>
      <c r="O84">
        <v>0.27</v>
      </c>
      <c r="P84">
        <v>2.4700000000000002</v>
      </c>
      <c r="Q84">
        <v>1.4999999999999999E-2</v>
      </c>
      <c r="R84">
        <v>70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>
      <c r="A85">
        <v>409.20246385968261</v>
      </c>
      <c r="B85">
        <v>44.744</v>
      </c>
      <c r="C85">
        <v>6.4017907362278246</v>
      </c>
      <c r="D85">
        <v>502.90848</v>
      </c>
      <c r="E85">
        <v>682.38340248962652</v>
      </c>
      <c r="F85">
        <v>428.06448</v>
      </c>
      <c r="G85">
        <v>79.238160000000008</v>
      </c>
      <c r="H85">
        <v>132</v>
      </c>
      <c r="I85">
        <v>58</v>
      </c>
      <c r="J85">
        <v>4</v>
      </c>
      <c r="K85">
        <v>40</v>
      </c>
      <c r="L85">
        <v>63</v>
      </c>
      <c r="M85">
        <v>6</v>
      </c>
      <c r="N85">
        <v>1995</v>
      </c>
      <c r="O85">
        <v>0.27</v>
      </c>
      <c r="P85">
        <v>2.4700000000000002</v>
      </c>
      <c r="Q85">
        <v>1.4999999999999999E-2</v>
      </c>
      <c r="R85">
        <v>70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>
      <c r="A86">
        <v>459.36563609824378</v>
      </c>
      <c r="B86">
        <v>50.400000000000013</v>
      </c>
      <c r="C86">
        <v>6.3800782791422774</v>
      </c>
      <c r="D86">
        <v>539.71680000000003</v>
      </c>
      <c r="E86">
        <v>688.0524403330536</v>
      </c>
      <c r="F86">
        <v>162.6448</v>
      </c>
      <c r="G86">
        <v>89.089760000000012</v>
      </c>
      <c r="H86">
        <v>39</v>
      </c>
      <c r="I86">
        <v>53</v>
      </c>
      <c r="J86">
        <v>10</v>
      </c>
      <c r="K86">
        <v>126</v>
      </c>
      <c r="L86">
        <v>58</v>
      </c>
      <c r="M86">
        <v>31</v>
      </c>
      <c r="N86">
        <v>1995</v>
      </c>
      <c r="O86">
        <v>0.27</v>
      </c>
      <c r="P86">
        <v>2.4700000000000002</v>
      </c>
      <c r="Q86">
        <v>1.4999999999999999E-2</v>
      </c>
      <c r="R86">
        <v>70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>
      <c r="A87">
        <v>406.80848068011738</v>
      </c>
      <c r="B87">
        <v>44.744</v>
      </c>
      <c r="C87">
        <v>6.3643379330431404</v>
      </c>
      <c r="D87">
        <v>556.20000000000005</v>
      </c>
      <c r="E87">
        <v>687.32215767634852</v>
      </c>
      <c r="F87">
        <v>427.78800000000001</v>
      </c>
      <c r="G87">
        <v>78.881040000000013</v>
      </c>
      <c r="H87">
        <v>117</v>
      </c>
      <c r="I87">
        <v>63</v>
      </c>
      <c r="J87">
        <v>4</v>
      </c>
      <c r="K87">
        <v>40</v>
      </c>
      <c r="L87">
        <v>54</v>
      </c>
      <c r="M87">
        <v>7</v>
      </c>
      <c r="N87">
        <v>1995</v>
      </c>
      <c r="O87">
        <v>0.27</v>
      </c>
      <c r="P87">
        <v>2.4700000000000002</v>
      </c>
      <c r="Q87">
        <v>1.4999999999999999E-2</v>
      </c>
      <c r="R87">
        <v>70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>
      <c r="A88">
        <v>379.51752561234753</v>
      </c>
      <c r="B88">
        <v>42</v>
      </c>
      <c r="C88">
        <v>6.325292093539125</v>
      </c>
      <c r="D88">
        <v>435.92849999999999</v>
      </c>
      <c r="E88">
        <v>691.39382782488326</v>
      </c>
      <c r="F88">
        <v>178.44030000000001</v>
      </c>
      <c r="G88">
        <v>73.671139999999994</v>
      </c>
      <c r="H88">
        <v>6</v>
      </c>
      <c r="I88">
        <v>52</v>
      </c>
      <c r="J88">
        <v>6</v>
      </c>
      <c r="K88">
        <v>84</v>
      </c>
      <c r="L88">
        <v>61</v>
      </c>
      <c r="M88">
        <v>31</v>
      </c>
      <c r="N88">
        <v>1995</v>
      </c>
      <c r="O88">
        <v>0.27</v>
      </c>
      <c r="P88">
        <v>2.4700000000000002</v>
      </c>
      <c r="Q88">
        <v>1.4999999999999999E-2</v>
      </c>
      <c r="R88">
        <v>70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>
      <c r="A89">
        <v>403.19169304481812</v>
      </c>
      <c r="B89">
        <v>44.744</v>
      </c>
      <c r="C89">
        <v>6.3077548974470918</v>
      </c>
      <c r="D89">
        <v>549.495</v>
      </c>
      <c r="E89">
        <v>689.60663900414932</v>
      </c>
      <c r="F89">
        <v>422.05950000000001</v>
      </c>
      <c r="G89">
        <v>78.22854000000001</v>
      </c>
      <c r="H89">
        <v>177</v>
      </c>
      <c r="I89">
        <v>57</v>
      </c>
      <c r="J89">
        <v>5</v>
      </c>
      <c r="K89">
        <v>40</v>
      </c>
      <c r="L89">
        <v>63</v>
      </c>
      <c r="M89">
        <v>6</v>
      </c>
      <c r="N89">
        <v>1995</v>
      </c>
      <c r="O89">
        <v>0.27</v>
      </c>
      <c r="P89">
        <v>2.4700000000000002</v>
      </c>
      <c r="Q89">
        <v>1.4999999999999999E-2</v>
      </c>
      <c r="R89">
        <v>70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>
      <c r="A90">
        <v>481.97391251229521</v>
      </c>
      <c r="B90">
        <v>53.666666666666657</v>
      </c>
      <c r="C90">
        <v>6.2866162501603728</v>
      </c>
      <c r="D90">
        <v>371.286</v>
      </c>
      <c r="E90">
        <v>688.07482940727175</v>
      </c>
      <c r="F90">
        <v>271.92599999999999</v>
      </c>
      <c r="G90">
        <v>93.474999999999994</v>
      </c>
      <c r="H90">
        <v>164</v>
      </c>
      <c r="I90">
        <v>53</v>
      </c>
      <c r="J90">
        <v>7</v>
      </c>
      <c r="K90">
        <v>111</v>
      </c>
      <c r="L90">
        <v>60</v>
      </c>
      <c r="M90">
        <v>10</v>
      </c>
      <c r="N90">
        <v>1995</v>
      </c>
      <c r="O90">
        <v>0.27</v>
      </c>
      <c r="P90">
        <v>2.4700000000000002</v>
      </c>
      <c r="Q90">
        <v>1.4999999999999999E-2</v>
      </c>
      <c r="R90">
        <v>70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>
      <c r="A91">
        <v>451.26862666432231</v>
      </c>
      <c r="B91">
        <v>50.400000000000013</v>
      </c>
      <c r="C91">
        <v>6.2676198147822539</v>
      </c>
      <c r="D91">
        <v>434.44619999999998</v>
      </c>
      <c r="E91">
        <v>661.69626556016601</v>
      </c>
      <c r="F91">
        <v>184.57884000000001</v>
      </c>
      <c r="G91">
        <v>86.889240000000015</v>
      </c>
      <c r="H91">
        <v>112</v>
      </c>
      <c r="I91">
        <v>59</v>
      </c>
      <c r="J91">
        <v>6</v>
      </c>
      <c r="K91">
        <v>295</v>
      </c>
      <c r="L91">
        <v>53</v>
      </c>
      <c r="M91">
        <v>8</v>
      </c>
      <c r="N91">
        <v>1995</v>
      </c>
      <c r="O91">
        <v>0.27</v>
      </c>
      <c r="P91">
        <v>2.4700000000000002</v>
      </c>
      <c r="Q91">
        <v>1.4999999999999999E-2</v>
      </c>
      <c r="R91">
        <v>70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>
      <c r="A92">
        <v>374.30299477711299</v>
      </c>
      <c r="B92">
        <v>42</v>
      </c>
      <c r="C92">
        <v>6.2383832462852187</v>
      </c>
      <c r="D92">
        <v>599.98800000000006</v>
      </c>
      <c r="E92">
        <v>684.7931167412537</v>
      </c>
      <c r="F92">
        <v>178.05600000000001</v>
      </c>
      <c r="G92">
        <v>72.528000000000006</v>
      </c>
      <c r="H92">
        <v>6</v>
      </c>
      <c r="I92">
        <v>52</v>
      </c>
      <c r="J92">
        <v>6</v>
      </c>
      <c r="K92">
        <v>323</v>
      </c>
      <c r="L92">
        <v>61</v>
      </c>
      <c r="M92">
        <v>30</v>
      </c>
      <c r="N92">
        <v>1995</v>
      </c>
      <c r="O92">
        <v>0.27</v>
      </c>
      <c r="P92">
        <v>2.4700000000000002</v>
      </c>
      <c r="Q92">
        <v>1.4999999999999999E-2</v>
      </c>
      <c r="R92">
        <v>70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>
      <c r="A93">
        <v>408.71994806443058</v>
      </c>
      <c r="B93">
        <v>46.2</v>
      </c>
      <c r="C93">
        <v>6.1927264858247071</v>
      </c>
      <c r="D93">
        <v>505.00799999999998</v>
      </c>
      <c r="E93">
        <v>690.25544284294915</v>
      </c>
      <c r="F93">
        <v>282.44159999999999</v>
      </c>
      <c r="G93">
        <v>79.315200000000019</v>
      </c>
      <c r="H93">
        <v>111</v>
      </c>
      <c r="I93">
        <v>57</v>
      </c>
      <c r="J93">
        <v>24</v>
      </c>
      <c r="K93">
        <v>277</v>
      </c>
      <c r="L93">
        <v>56</v>
      </c>
      <c r="M93">
        <v>15</v>
      </c>
      <c r="N93">
        <v>1995</v>
      </c>
      <c r="O93">
        <v>0.27</v>
      </c>
      <c r="P93">
        <v>2.4700000000000002</v>
      </c>
      <c r="Q93">
        <v>1.4999999999999999E-2</v>
      </c>
      <c r="R93">
        <v>70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>
      <c r="A94">
        <v>432.30256948043592</v>
      </c>
      <c r="B94">
        <v>49</v>
      </c>
      <c r="C94">
        <v>6.1757509925776573</v>
      </c>
      <c r="D94">
        <v>394.00200000000001</v>
      </c>
      <c r="E94">
        <v>692.73582980175479</v>
      </c>
      <c r="F94">
        <v>205.51320000000001</v>
      </c>
      <c r="G94">
        <v>83.948400000000007</v>
      </c>
      <c r="H94">
        <v>52</v>
      </c>
      <c r="I94">
        <v>57</v>
      </c>
      <c r="J94">
        <v>12</v>
      </c>
      <c r="K94">
        <v>127</v>
      </c>
      <c r="L94">
        <v>55</v>
      </c>
      <c r="M94">
        <v>26</v>
      </c>
      <c r="N94">
        <v>1995</v>
      </c>
      <c r="O94">
        <v>0.27</v>
      </c>
      <c r="P94">
        <v>2.4700000000000002</v>
      </c>
      <c r="Q94">
        <v>1.4999999999999999E-2</v>
      </c>
      <c r="R94">
        <v>70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>
      <c r="A95">
        <v>382.7048367279823</v>
      </c>
      <c r="B95">
        <v>43.400000000000013</v>
      </c>
      <c r="C95">
        <v>6.1726586569029394</v>
      </c>
      <c r="D95">
        <v>542.18399999999997</v>
      </c>
      <c r="E95">
        <v>690.90786123927137</v>
      </c>
      <c r="F95">
        <v>179.42400000000001</v>
      </c>
      <c r="G95">
        <v>74.28</v>
      </c>
      <c r="H95">
        <v>6</v>
      </c>
      <c r="I95">
        <v>53</v>
      </c>
      <c r="J95">
        <v>6</v>
      </c>
      <c r="K95">
        <v>126</v>
      </c>
      <c r="L95">
        <v>60</v>
      </c>
      <c r="M95">
        <v>30</v>
      </c>
      <c r="N95">
        <v>1995</v>
      </c>
      <c r="O95">
        <v>0.27</v>
      </c>
      <c r="P95">
        <v>2.4700000000000002</v>
      </c>
      <c r="Q95">
        <v>1.4999999999999999E-2</v>
      </c>
      <c r="R95">
        <v>70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>
      <c r="A96">
        <v>440.69971576157621</v>
      </c>
      <c r="B96">
        <v>50.400000000000013</v>
      </c>
      <c r="C96">
        <v>6.1208293855774478</v>
      </c>
      <c r="D96">
        <v>386.32159999999999</v>
      </c>
      <c r="E96">
        <v>689.18838174273856</v>
      </c>
      <c r="F96">
        <v>189.36259999999999</v>
      </c>
      <c r="G96">
        <v>85.496200000000016</v>
      </c>
      <c r="H96">
        <v>174</v>
      </c>
      <c r="I96">
        <v>53</v>
      </c>
      <c r="J96">
        <v>4</v>
      </c>
      <c r="K96">
        <v>96</v>
      </c>
      <c r="L96">
        <v>58</v>
      </c>
      <c r="M96">
        <v>22</v>
      </c>
      <c r="N96">
        <v>1995</v>
      </c>
      <c r="O96">
        <v>0.27</v>
      </c>
      <c r="P96">
        <v>2.4700000000000002</v>
      </c>
      <c r="Q96">
        <v>1.4999999999999999E-2</v>
      </c>
      <c r="R96">
        <v>70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>
      <c r="A97">
        <v>368.56369353642577</v>
      </c>
      <c r="B97">
        <v>42.23863636363636</v>
      </c>
      <c r="C97">
        <v>6.108023546366379</v>
      </c>
      <c r="D97">
        <v>500.54399999999998</v>
      </c>
      <c r="E97">
        <v>686.12933775979081</v>
      </c>
      <c r="F97">
        <v>205.92</v>
      </c>
      <c r="G97">
        <v>71.441999999999993</v>
      </c>
      <c r="H97">
        <v>95</v>
      </c>
      <c r="I97">
        <v>53</v>
      </c>
      <c r="J97">
        <v>5</v>
      </c>
      <c r="K97">
        <v>153</v>
      </c>
      <c r="L97">
        <v>60</v>
      </c>
      <c r="M97">
        <v>44</v>
      </c>
      <c r="N97">
        <v>1995</v>
      </c>
      <c r="O97">
        <v>0.27</v>
      </c>
      <c r="P97">
        <v>2.4700000000000002</v>
      </c>
      <c r="Q97">
        <v>1.4999999999999999E-2</v>
      </c>
      <c r="R97">
        <v>70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>
      <c r="A98">
        <v>388.99652203283642</v>
      </c>
      <c r="B98">
        <v>44.744</v>
      </c>
      <c r="C98">
        <v>6.0856777539555136</v>
      </c>
      <c r="D98">
        <v>542.64080000000001</v>
      </c>
      <c r="E98">
        <v>687.98672199170119</v>
      </c>
      <c r="F98">
        <v>418.63240000000002</v>
      </c>
      <c r="G98">
        <v>75.44095999999999</v>
      </c>
      <c r="H98">
        <v>65</v>
      </c>
      <c r="I98">
        <v>50</v>
      </c>
      <c r="J98">
        <v>4</v>
      </c>
      <c r="K98">
        <v>40</v>
      </c>
      <c r="L98">
        <v>62</v>
      </c>
      <c r="M98">
        <v>6</v>
      </c>
      <c r="N98">
        <v>1995</v>
      </c>
      <c r="O98">
        <v>0.27</v>
      </c>
      <c r="P98">
        <v>2.4700000000000002</v>
      </c>
      <c r="Q98">
        <v>1.4999999999999999E-2</v>
      </c>
      <c r="R98">
        <v>70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>
      <c r="A99">
        <v>387.93985872882098</v>
      </c>
      <c r="B99">
        <v>44.744</v>
      </c>
      <c r="C99">
        <v>6.0691467260453864</v>
      </c>
      <c r="D99">
        <v>548.928</v>
      </c>
      <c r="E99">
        <v>689.00870270347752</v>
      </c>
      <c r="F99">
        <v>424.15199999999999</v>
      </c>
      <c r="G99">
        <v>75.257040000000003</v>
      </c>
      <c r="H99">
        <v>183</v>
      </c>
      <c r="I99">
        <v>58</v>
      </c>
      <c r="J99">
        <v>3</v>
      </c>
      <c r="K99">
        <v>40</v>
      </c>
      <c r="L99">
        <v>63</v>
      </c>
      <c r="M99">
        <v>6</v>
      </c>
      <c r="N99">
        <v>1995</v>
      </c>
      <c r="O99">
        <v>0.27</v>
      </c>
      <c r="P99">
        <v>2.4700000000000002</v>
      </c>
      <c r="Q99">
        <v>1.4999999999999999E-2</v>
      </c>
      <c r="R99">
        <v>70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>
      <c r="A100">
        <v>423.89571439282389</v>
      </c>
      <c r="B100">
        <v>49</v>
      </c>
      <c r="C100">
        <v>6.0556530627546268</v>
      </c>
      <c r="D100">
        <v>555.03360000000009</v>
      </c>
      <c r="E100">
        <v>684.15688226453778</v>
      </c>
      <c r="F100">
        <v>200.49119999999999</v>
      </c>
      <c r="G100">
        <v>82.123200000000011</v>
      </c>
      <c r="H100">
        <v>8</v>
      </c>
      <c r="I100">
        <v>54</v>
      </c>
      <c r="J100">
        <v>5</v>
      </c>
      <c r="K100">
        <v>127</v>
      </c>
      <c r="L100">
        <v>59</v>
      </c>
      <c r="M100">
        <v>24</v>
      </c>
      <c r="N100">
        <v>1995</v>
      </c>
      <c r="O100">
        <v>0.27</v>
      </c>
      <c r="P100">
        <v>2.4700000000000002</v>
      </c>
      <c r="Q100">
        <v>1.4999999999999999E-2</v>
      </c>
      <c r="R100">
        <v>70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>
      <c r="A101">
        <v>419.10055606759357</v>
      </c>
      <c r="B101">
        <v>49</v>
      </c>
      <c r="C101">
        <v>5.9871508009656234</v>
      </c>
      <c r="D101">
        <v>515.03280000000007</v>
      </c>
      <c r="E101">
        <v>685.27314116671346</v>
      </c>
      <c r="F101">
        <v>195.10560000000001</v>
      </c>
      <c r="G101">
        <v>81.218999999999994</v>
      </c>
      <c r="H101">
        <v>8</v>
      </c>
      <c r="I101">
        <v>52</v>
      </c>
      <c r="J101">
        <v>5</v>
      </c>
      <c r="K101">
        <v>319</v>
      </c>
      <c r="L101">
        <v>61</v>
      </c>
      <c r="M101">
        <v>27</v>
      </c>
      <c r="N101">
        <v>1995</v>
      </c>
      <c r="O101">
        <v>0.27</v>
      </c>
      <c r="P101">
        <v>2.4700000000000002</v>
      </c>
      <c r="Q101">
        <v>1.4999999999999999E-2</v>
      </c>
      <c r="R101">
        <v>70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>
      <c r="A102">
        <v>382.55731192386668</v>
      </c>
      <c r="B102">
        <v>44.744</v>
      </c>
      <c r="C102">
        <v>5.9849391727763868</v>
      </c>
      <c r="D102">
        <v>542.31100000000004</v>
      </c>
      <c r="E102">
        <v>690.76446374465115</v>
      </c>
      <c r="F102">
        <v>418.46749999999997</v>
      </c>
      <c r="G102">
        <v>74.248460000000009</v>
      </c>
      <c r="H102">
        <v>47</v>
      </c>
      <c r="I102">
        <v>55</v>
      </c>
      <c r="J102">
        <v>5</v>
      </c>
      <c r="K102">
        <v>40</v>
      </c>
      <c r="L102">
        <v>62</v>
      </c>
      <c r="M102">
        <v>6</v>
      </c>
      <c r="N102">
        <v>1995</v>
      </c>
      <c r="O102">
        <v>0.27</v>
      </c>
      <c r="P102">
        <v>2.4700000000000002</v>
      </c>
      <c r="Q102">
        <v>1.4999999999999999E-2</v>
      </c>
      <c r="R102">
        <v>70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>
      <c r="A103">
        <v>378.76905045766188</v>
      </c>
      <c r="B103">
        <v>44.744</v>
      </c>
      <c r="C103">
        <v>5.9256735052825711</v>
      </c>
      <c r="D103">
        <v>489.51600000000002</v>
      </c>
      <c r="E103">
        <v>688.65885426940849</v>
      </c>
      <c r="F103">
        <v>415.86</v>
      </c>
      <c r="G103">
        <v>73.470960000000005</v>
      </c>
      <c r="H103">
        <v>118</v>
      </c>
      <c r="I103">
        <v>54</v>
      </c>
      <c r="J103">
        <v>5</v>
      </c>
      <c r="K103">
        <v>40</v>
      </c>
      <c r="L103">
        <v>62</v>
      </c>
      <c r="M103">
        <v>6</v>
      </c>
      <c r="N103">
        <v>1995</v>
      </c>
      <c r="O103">
        <v>0.27</v>
      </c>
      <c r="P103">
        <v>2.4700000000000002</v>
      </c>
      <c r="Q103">
        <v>1.4999999999999999E-2</v>
      </c>
      <c r="R103">
        <v>70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>
      <c r="A104">
        <v>378.67265822171328</v>
      </c>
      <c r="B104">
        <v>44.744</v>
      </c>
      <c r="C104">
        <v>5.9241654915787434</v>
      </c>
      <c r="D104">
        <v>581.21280000000002</v>
      </c>
      <c r="E104">
        <v>685.46390041493783</v>
      </c>
      <c r="F104">
        <v>414.7056</v>
      </c>
      <c r="G104">
        <v>73.388159999999999</v>
      </c>
      <c r="H104">
        <v>75</v>
      </c>
      <c r="I104">
        <v>51</v>
      </c>
      <c r="J104">
        <v>4</v>
      </c>
      <c r="K104">
        <v>40</v>
      </c>
      <c r="L104">
        <v>62</v>
      </c>
      <c r="M104">
        <v>6</v>
      </c>
      <c r="N104">
        <v>1995</v>
      </c>
      <c r="O104">
        <v>0.27</v>
      </c>
      <c r="P104">
        <v>2.4700000000000002</v>
      </c>
      <c r="Q104">
        <v>1.4999999999999999E-2</v>
      </c>
      <c r="R104">
        <v>70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>
      <c r="A105">
        <v>366.33990054965028</v>
      </c>
      <c r="B105">
        <v>43.400000000000013</v>
      </c>
      <c r="C105">
        <v>5.9087080733814563</v>
      </c>
      <c r="D105">
        <v>519.59440000000006</v>
      </c>
      <c r="E105">
        <v>685.52850524268638</v>
      </c>
      <c r="F105">
        <v>170.96639999999999</v>
      </c>
      <c r="G105">
        <v>70.999280000000013</v>
      </c>
      <c r="H105">
        <v>7</v>
      </c>
      <c r="I105">
        <v>52</v>
      </c>
      <c r="J105">
        <v>5</v>
      </c>
      <c r="K105">
        <v>126</v>
      </c>
      <c r="L105">
        <v>61</v>
      </c>
      <c r="M105">
        <v>29</v>
      </c>
      <c r="N105">
        <v>1995</v>
      </c>
      <c r="O105">
        <v>0.27</v>
      </c>
      <c r="P105">
        <v>2.4700000000000002</v>
      </c>
      <c r="Q105">
        <v>1.4999999999999999E-2</v>
      </c>
      <c r="R105">
        <v>70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>
      <c r="A106">
        <v>424.61128799305487</v>
      </c>
      <c r="B106">
        <v>50.400000000000013</v>
      </c>
      <c r="C106">
        <v>5.8973789999035411</v>
      </c>
      <c r="D106">
        <v>405.18700000000001</v>
      </c>
      <c r="E106">
        <v>690.91174057698743</v>
      </c>
      <c r="F106">
        <v>302.19380000000001</v>
      </c>
      <c r="G106">
        <v>82.413800000000009</v>
      </c>
      <c r="H106">
        <v>163</v>
      </c>
      <c r="I106">
        <v>54</v>
      </c>
      <c r="J106">
        <v>11</v>
      </c>
      <c r="K106">
        <v>148</v>
      </c>
      <c r="L106">
        <v>58</v>
      </c>
      <c r="M106">
        <v>32</v>
      </c>
      <c r="N106">
        <v>1995</v>
      </c>
      <c r="O106">
        <v>0.27</v>
      </c>
      <c r="P106">
        <v>2.4700000000000002</v>
      </c>
      <c r="Q106">
        <v>1.4999999999999999E-2</v>
      </c>
      <c r="R106">
        <v>70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>
      <c r="A107">
        <v>448.30628753298203</v>
      </c>
      <c r="B107">
        <v>53.666666666666657</v>
      </c>
      <c r="C107">
        <v>5.8474733156475924</v>
      </c>
      <c r="D107">
        <v>452.6395</v>
      </c>
      <c r="E107">
        <v>690.75942431708484</v>
      </c>
      <c r="F107">
        <v>242.85319999999999</v>
      </c>
      <c r="G107">
        <v>87.009199999999993</v>
      </c>
      <c r="H107">
        <v>164</v>
      </c>
      <c r="I107">
        <v>54</v>
      </c>
      <c r="J107">
        <v>6</v>
      </c>
      <c r="K107">
        <v>148</v>
      </c>
      <c r="L107">
        <v>59</v>
      </c>
      <c r="M107">
        <v>31</v>
      </c>
      <c r="N107">
        <v>1995</v>
      </c>
      <c r="O107">
        <v>0.27</v>
      </c>
      <c r="P107">
        <v>2.4700000000000002</v>
      </c>
      <c r="Q107">
        <v>1.4999999999999999E-2</v>
      </c>
      <c r="R107">
        <v>70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>
      <c r="A108">
        <v>373.48972503903451</v>
      </c>
      <c r="B108">
        <v>44.744000000000007</v>
      </c>
      <c r="C108">
        <v>5.8430808047408398</v>
      </c>
      <c r="D108">
        <v>542.05240000000003</v>
      </c>
      <c r="E108">
        <v>689.70622406638995</v>
      </c>
      <c r="F108">
        <v>420.71420000000001</v>
      </c>
      <c r="G108">
        <v>72.467640000000017</v>
      </c>
      <c r="H108">
        <v>86</v>
      </c>
      <c r="I108">
        <v>63</v>
      </c>
      <c r="J108">
        <v>2</v>
      </c>
      <c r="K108">
        <v>40</v>
      </c>
      <c r="L108">
        <v>54</v>
      </c>
      <c r="M108">
        <v>7</v>
      </c>
      <c r="N108">
        <v>1995</v>
      </c>
      <c r="O108">
        <v>0.27</v>
      </c>
      <c r="P108">
        <v>2.4700000000000002</v>
      </c>
      <c r="Q108">
        <v>1.4999999999999999E-2</v>
      </c>
      <c r="R108">
        <v>70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>
      <c r="A109">
        <v>373.38834543876692</v>
      </c>
      <c r="B109">
        <v>44.744000000000007</v>
      </c>
      <c r="C109">
        <v>5.8414947659381538</v>
      </c>
      <c r="D109">
        <v>530.46719999999993</v>
      </c>
      <c r="E109">
        <v>688.40770627949155</v>
      </c>
      <c r="F109">
        <v>410.1696</v>
      </c>
      <c r="G109">
        <v>72.422280000000001</v>
      </c>
      <c r="H109">
        <v>179</v>
      </c>
      <c r="I109">
        <v>53</v>
      </c>
      <c r="J109">
        <v>6</v>
      </c>
      <c r="K109">
        <v>40</v>
      </c>
      <c r="L109">
        <v>61</v>
      </c>
      <c r="M109">
        <v>6</v>
      </c>
      <c r="N109">
        <v>1995</v>
      </c>
      <c r="O109">
        <v>0.27</v>
      </c>
      <c r="P109">
        <v>2.4700000000000002</v>
      </c>
      <c r="Q109">
        <v>1.4999999999999999E-2</v>
      </c>
      <c r="R109">
        <v>70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>
      <c r="A110">
        <v>373.24638262195742</v>
      </c>
      <c r="B110">
        <v>44.744</v>
      </c>
      <c r="C110">
        <v>5.8392738207440154</v>
      </c>
      <c r="D110">
        <v>536.83600000000001</v>
      </c>
      <c r="E110">
        <v>689.85970967325784</v>
      </c>
      <c r="F110">
        <v>415.73</v>
      </c>
      <c r="G110">
        <v>72.423460000000006</v>
      </c>
      <c r="H110">
        <v>180</v>
      </c>
      <c r="I110">
        <v>53</v>
      </c>
      <c r="J110">
        <v>5</v>
      </c>
      <c r="K110">
        <v>40</v>
      </c>
      <c r="L110">
        <v>62</v>
      </c>
      <c r="M110">
        <v>6</v>
      </c>
      <c r="N110">
        <v>1995</v>
      </c>
      <c r="O110">
        <v>0.27</v>
      </c>
      <c r="P110">
        <v>2.4700000000000002</v>
      </c>
      <c r="Q110">
        <v>1.4999999999999999E-2</v>
      </c>
      <c r="R110">
        <v>70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>
      <c r="A111">
        <v>466.91501319161512</v>
      </c>
      <c r="B111">
        <v>56</v>
      </c>
      <c r="C111">
        <v>5.8364376648951906</v>
      </c>
      <c r="D111">
        <v>457.35840000000002</v>
      </c>
      <c r="E111">
        <v>687.84658912695022</v>
      </c>
      <c r="F111">
        <v>157.71456000000001</v>
      </c>
      <c r="G111">
        <v>90.548799999999986</v>
      </c>
      <c r="H111">
        <v>39</v>
      </c>
      <c r="I111">
        <v>55</v>
      </c>
      <c r="J111">
        <v>10</v>
      </c>
      <c r="K111">
        <v>319</v>
      </c>
      <c r="L111">
        <v>58</v>
      </c>
      <c r="M111">
        <v>28</v>
      </c>
      <c r="N111">
        <v>1995</v>
      </c>
      <c r="O111">
        <v>0.27</v>
      </c>
      <c r="P111">
        <v>2.4700000000000002</v>
      </c>
      <c r="Q111">
        <v>1.4999999999999999E-2</v>
      </c>
      <c r="R111">
        <v>70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>
      <c r="A112">
        <v>378.34604565493947</v>
      </c>
      <c r="B112">
        <v>45.5</v>
      </c>
      <c r="C112">
        <v>5.8207083946913771</v>
      </c>
      <c r="D112">
        <v>450.5256</v>
      </c>
      <c r="E112">
        <v>689.14230844968256</v>
      </c>
      <c r="F112">
        <v>217.50623999999999</v>
      </c>
      <c r="G112">
        <v>73.398600000000002</v>
      </c>
      <c r="H112">
        <v>22</v>
      </c>
      <c r="I112">
        <v>56</v>
      </c>
      <c r="J112">
        <v>3</v>
      </c>
      <c r="K112">
        <v>319</v>
      </c>
      <c r="L112">
        <v>57</v>
      </c>
      <c r="M112">
        <v>29</v>
      </c>
      <c r="N112">
        <v>1995</v>
      </c>
      <c r="O112">
        <v>0.27</v>
      </c>
      <c r="P112">
        <v>2.4700000000000002</v>
      </c>
      <c r="Q112">
        <v>1.4999999999999999E-2</v>
      </c>
      <c r="R112">
        <v>70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>
      <c r="A113">
        <v>371.86213348387622</v>
      </c>
      <c r="B113">
        <v>44.744</v>
      </c>
      <c r="C113">
        <v>5.8176178580080764</v>
      </c>
      <c r="D113">
        <v>489.15899999999999</v>
      </c>
      <c r="E113">
        <v>690.87961426282845</v>
      </c>
      <c r="F113">
        <v>415.50299999999999</v>
      </c>
      <c r="G113">
        <v>72.174960000000013</v>
      </c>
      <c r="H113">
        <v>123</v>
      </c>
      <c r="I113">
        <v>54</v>
      </c>
      <c r="J113">
        <v>5</v>
      </c>
      <c r="K113">
        <v>40</v>
      </c>
      <c r="L113">
        <v>62</v>
      </c>
      <c r="M113">
        <v>6</v>
      </c>
      <c r="N113">
        <v>1995</v>
      </c>
      <c r="O113">
        <v>0.27</v>
      </c>
      <c r="P113">
        <v>2.4700000000000002</v>
      </c>
      <c r="Q113">
        <v>1.4999999999999999E-2</v>
      </c>
      <c r="R113">
        <v>70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>
      <c r="A114">
        <v>371.61408562360953</v>
      </c>
      <c r="B114">
        <v>44.744</v>
      </c>
      <c r="C114">
        <v>5.8137372594432026</v>
      </c>
      <c r="D114">
        <v>598.91039999999998</v>
      </c>
      <c r="E114">
        <v>687.30788381742741</v>
      </c>
      <c r="F114">
        <v>421.04700000000003</v>
      </c>
      <c r="G114">
        <v>72.056489999999997</v>
      </c>
      <c r="H114">
        <v>175</v>
      </c>
      <c r="I114">
        <v>61</v>
      </c>
      <c r="J114">
        <v>5</v>
      </c>
      <c r="K114">
        <v>40</v>
      </c>
      <c r="L114">
        <v>54</v>
      </c>
      <c r="M114">
        <v>7</v>
      </c>
      <c r="N114">
        <v>1995</v>
      </c>
      <c r="O114">
        <v>0.27</v>
      </c>
      <c r="P114">
        <v>2.4700000000000002</v>
      </c>
      <c r="Q114">
        <v>1.4999999999999999E-2</v>
      </c>
      <c r="R114">
        <v>70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>
      <c r="A115">
        <v>406.93354001904811</v>
      </c>
      <c r="B115">
        <v>49</v>
      </c>
      <c r="C115">
        <v>5.8133362859864013</v>
      </c>
      <c r="D115">
        <v>528.91200000000003</v>
      </c>
      <c r="E115">
        <v>689.30307774903486</v>
      </c>
      <c r="F115">
        <v>190.64160000000001</v>
      </c>
      <c r="G115">
        <v>78.947999999999993</v>
      </c>
      <c r="H115">
        <v>9</v>
      </c>
      <c r="I115">
        <v>48</v>
      </c>
      <c r="J115">
        <v>4</v>
      </c>
      <c r="K115">
        <v>127</v>
      </c>
      <c r="L115">
        <v>62</v>
      </c>
      <c r="M115">
        <v>23</v>
      </c>
      <c r="N115">
        <v>1995</v>
      </c>
      <c r="O115">
        <v>0.27</v>
      </c>
      <c r="P115">
        <v>2.4700000000000002</v>
      </c>
      <c r="Q115">
        <v>1.4999999999999999E-2</v>
      </c>
      <c r="R115">
        <v>70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>
      <c r="A116">
        <v>417.84664201213297</v>
      </c>
      <c r="B116">
        <v>50.400000000000013</v>
      </c>
      <c r="C116">
        <v>5.8034255835018467</v>
      </c>
      <c r="D116">
        <v>1111.2855</v>
      </c>
      <c r="E116">
        <v>680.88729330884803</v>
      </c>
      <c r="F116">
        <v>155.1482</v>
      </c>
      <c r="G116">
        <v>80.878899999999987</v>
      </c>
      <c r="H116">
        <v>142</v>
      </c>
      <c r="I116">
        <v>65</v>
      </c>
      <c r="J116">
        <v>44</v>
      </c>
      <c r="K116">
        <v>126</v>
      </c>
      <c r="L116">
        <v>45</v>
      </c>
      <c r="M116">
        <v>17</v>
      </c>
      <c r="N116">
        <v>1995</v>
      </c>
      <c r="O116">
        <v>0.27</v>
      </c>
      <c r="P116">
        <v>2.4700000000000002</v>
      </c>
      <c r="Q116">
        <v>1.4999999999999999E-2</v>
      </c>
      <c r="R116">
        <v>70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>
      <c r="A117">
        <v>403.86825072384738</v>
      </c>
      <c r="B117">
        <v>49</v>
      </c>
      <c r="C117">
        <v>5.7695464389121067</v>
      </c>
      <c r="D117">
        <v>512.10149999999999</v>
      </c>
      <c r="E117">
        <v>678.41397177345652</v>
      </c>
      <c r="F117">
        <v>199.62029999999999</v>
      </c>
      <c r="G117">
        <v>78.1203</v>
      </c>
      <c r="H117">
        <v>112</v>
      </c>
      <c r="I117">
        <v>61</v>
      </c>
      <c r="J117">
        <v>5</v>
      </c>
      <c r="K117">
        <v>235</v>
      </c>
      <c r="L117">
        <v>50</v>
      </c>
      <c r="M117">
        <v>5</v>
      </c>
      <c r="N117">
        <v>1995</v>
      </c>
      <c r="O117">
        <v>0.27</v>
      </c>
      <c r="P117">
        <v>2.4700000000000002</v>
      </c>
      <c r="Q117">
        <v>1.4999999999999999E-2</v>
      </c>
      <c r="R117">
        <v>70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>
      <c r="A118">
        <v>373.82453396491343</v>
      </c>
      <c r="B118">
        <v>45.5</v>
      </c>
      <c r="C118">
        <v>5.7511466763832839</v>
      </c>
      <c r="D118">
        <v>559.18799999999999</v>
      </c>
      <c r="E118">
        <v>684.99054732144168</v>
      </c>
      <c r="F118">
        <v>168.06960000000001</v>
      </c>
      <c r="G118">
        <v>72.439200000000014</v>
      </c>
      <c r="H118">
        <v>52</v>
      </c>
      <c r="I118">
        <v>56</v>
      </c>
      <c r="J118">
        <v>9</v>
      </c>
      <c r="K118">
        <v>153</v>
      </c>
      <c r="L118">
        <v>57</v>
      </c>
      <c r="M118">
        <v>48</v>
      </c>
      <c r="N118">
        <v>1995</v>
      </c>
      <c r="O118">
        <v>0.27</v>
      </c>
      <c r="P118">
        <v>2.4700000000000002</v>
      </c>
      <c r="Q118">
        <v>1.4999999999999999E-2</v>
      </c>
      <c r="R118">
        <v>70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>
      <c r="A119">
        <v>365.43345783593202</v>
      </c>
      <c r="B119">
        <v>44.744</v>
      </c>
      <c r="C119">
        <v>5.7170440837911762</v>
      </c>
      <c r="D119">
        <v>607.39200000000005</v>
      </c>
      <c r="E119">
        <v>688.38742804799062</v>
      </c>
      <c r="F119">
        <v>409.15800000000002</v>
      </c>
      <c r="G119">
        <v>70.878960000000006</v>
      </c>
      <c r="H119">
        <v>129</v>
      </c>
      <c r="I119">
        <v>51</v>
      </c>
      <c r="J119">
        <v>5</v>
      </c>
      <c r="K119">
        <v>40</v>
      </c>
      <c r="L119">
        <v>62</v>
      </c>
      <c r="M119">
        <v>6</v>
      </c>
      <c r="N119">
        <v>1995</v>
      </c>
      <c r="O119">
        <v>0.27</v>
      </c>
      <c r="P119">
        <v>2.4700000000000002</v>
      </c>
      <c r="Q119">
        <v>1.4999999999999999E-2</v>
      </c>
      <c r="R119">
        <v>70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>
      <c r="A120">
        <v>364.235269706819</v>
      </c>
      <c r="B120">
        <v>44.744000000000007</v>
      </c>
      <c r="C120">
        <v>5.6982989628726362</v>
      </c>
      <c r="D120">
        <v>534.96719999999993</v>
      </c>
      <c r="E120">
        <v>684.76018672540454</v>
      </c>
      <c r="F120">
        <v>414.79559999999998</v>
      </c>
      <c r="G120">
        <v>70.576560000000015</v>
      </c>
      <c r="H120">
        <v>182</v>
      </c>
      <c r="I120">
        <v>59</v>
      </c>
      <c r="J120">
        <v>3</v>
      </c>
      <c r="K120">
        <v>40</v>
      </c>
      <c r="L120">
        <v>62</v>
      </c>
      <c r="M120">
        <v>6</v>
      </c>
      <c r="N120">
        <v>1995</v>
      </c>
      <c r="O120">
        <v>0.27</v>
      </c>
      <c r="P120">
        <v>2.4700000000000002</v>
      </c>
      <c r="Q120">
        <v>1.4999999999999999E-2</v>
      </c>
      <c r="R120">
        <v>70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>
      <c r="A121">
        <v>364.05762042991728</v>
      </c>
      <c r="B121">
        <v>44.744</v>
      </c>
      <c r="C121">
        <v>5.6955197188660396</v>
      </c>
      <c r="D121">
        <v>563.63040000000001</v>
      </c>
      <c r="E121">
        <v>687.2165975103735</v>
      </c>
      <c r="F121">
        <v>398.15280000000001</v>
      </c>
      <c r="G121">
        <v>70.589520000000007</v>
      </c>
      <c r="H121">
        <v>176</v>
      </c>
      <c r="I121">
        <v>54</v>
      </c>
      <c r="J121">
        <v>8</v>
      </c>
      <c r="K121">
        <v>40</v>
      </c>
      <c r="L121">
        <v>59</v>
      </c>
      <c r="M121">
        <v>6</v>
      </c>
      <c r="N121">
        <v>1995</v>
      </c>
      <c r="O121">
        <v>0.27</v>
      </c>
      <c r="P121">
        <v>2.4700000000000002</v>
      </c>
      <c r="Q121">
        <v>1.4999999999999999E-2</v>
      </c>
      <c r="R121">
        <v>70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>
      <c r="A122">
        <v>369.69203139856359</v>
      </c>
      <c r="B122">
        <v>45.5</v>
      </c>
      <c r="C122">
        <v>5.6875697138240584</v>
      </c>
      <c r="D122">
        <v>678.24432000000002</v>
      </c>
      <c r="E122">
        <v>682.20466713576207</v>
      </c>
      <c r="F122">
        <v>166.76352</v>
      </c>
      <c r="G122">
        <v>71.583839999999995</v>
      </c>
      <c r="H122">
        <v>8</v>
      </c>
      <c r="I122">
        <v>51</v>
      </c>
      <c r="J122">
        <v>4</v>
      </c>
      <c r="K122">
        <v>153</v>
      </c>
      <c r="L122">
        <v>62</v>
      </c>
      <c r="M122">
        <v>43</v>
      </c>
      <c r="N122">
        <v>1995</v>
      </c>
      <c r="O122">
        <v>0.27</v>
      </c>
      <c r="P122">
        <v>2.4700000000000002</v>
      </c>
      <c r="Q122">
        <v>1.4999999999999999E-2</v>
      </c>
      <c r="R122">
        <v>70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>
      <c r="A123">
        <v>363.42507467038968</v>
      </c>
      <c r="B123">
        <v>44.744</v>
      </c>
      <c r="C123">
        <v>5.685623821501717</v>
      </c>
      <c r="D123">
        <v>602.35199999999998</v>
      </c>
      <c r="E123">
        <v>687.52863070539433</v>
      </c>
      <c r="F123">
        <v>409.14</v>
      </c>
      <c r="G123">
        <v>70.472880000000004</v>
      </c>
      <c r="H123">
        <v>128</v>
      </c>
      <c r="I123">
        <v>52</v>
      </c>
      <c r="J123">
        <v>5</v>
      </c>
      <c r="K123">
        <v>40</v>
      </c>
      <c r="L123">
        <v>61</v>
      </c>
      <c r="M123">
        <v>6</v>
      </c>
      <c r="N123">
        <v>1995</v>
      </c>
      <c r="O123">
        <v>0.27</v>
      </c>
      <c r="P123">
        <v>2.4700000000000002</v>
      </c>
      <c r="Q123">
        <v>1.4999999999999999E-2</v>
      </c>
      <c r="R123">
        <v>70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>
      <c r="A124">
        <v>363.40179719554749</v>
      </c>
      <c r="B124">
        <v>44.744</v>
      </c>
      <c r="C124">
        <v>5.6852596557501176</v>
      </c>
      <c r="D124">
        <v>481.608</v>
      </c>
      <c r="E124">
        <v>687.76305867305871</v>
      </c>
      <c r="F124">
        <v>409.14</v>
      </c>
      <c r="G124">
        <v>70.472880000000004</v>
      </c>
      <c r="H124">
        <v>231</v>
      </c>
      <c r="I124">
        <v>50</v>
      </c>
      <c r="J124">
        <v>5</v>
      </c>
      <c r="K124">
        <v>40</v>
      </c>
      <c r="L124">
        <v>61</v>
      </c>
      <c r="M124">
        <v>6</v>
      </c>
      <c r="N124">
        <v>1995</v>
      </c>
      <c r="O124">
        <v>0.27</v>
      </c>
      <c r="P124">
        <v>2.4700000000000002</v>
      </c>
      <c r="Q124">
        <v>1.4999999999999999E-2</v>
      </c>
      <c r="R124">
        <v>70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>
      <c r="A125">
        <v>393.83574567938177</v>
      </c>
      <c r="B125">
        <v>49</v>
      </c>
      <c r="C125">
        <v>5.6262249382768834</v>
      </c>
      <c r="D125">
        <v>500.42399999999998</v>
      </c>
      <c r="E125">
        <v>689.16243636263334</v>
      </c>
      <c r="F125">
        <v>179.964</v>
      </c>
      <c r="G125">
        <v>76.403999999999996</v>
      </c>
      <c r="H125">
        <v>6</v>
      </c>
      <c r="I125">
        <v>56</v>
      </c>
      <c r="J125">
        <v>6</v>
      </c>
      <c r="K125">
        <v>127</v>
      </c>
      <c r="L125">
        <v>57</v>
      </c>
      <c r="M125">
        <v>26</v>
      </c>
      <c r="N125">
        <v>1995</v>
      </c>
      <c r="O125">
        <v>0.27</v>
      </c>
      <c r="P125">
        <v>2.4700000000000002</v>
      </c>
      <c r="Q125">
        <v>1.4999999999999999E-2</v>
      </c>
      <c r="R125">
        <v>70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>
      <c r="A126">
        <v>362.66041678589357</v>
      </c>
      <c r="B126">
        <v>45.5</v>
      </c>
      <c r="C126">
        <v>5.5793910274752863</v>
      </c>
      <c r="D126">
        <v>547.6635</v>
      </c>
      <c r="E126">
        <v>685.11894262390251</v>
      </c>
      <c r="F126">
        <v>161.76689999999999</v>
      </c>
      <c r="G126">
        <v>70.278300000000002</v>
      </c>
      <c r="H126">
        <v>53</v>
      </c>
      <c r="I126">
        <v>55</v>
      </c>
      <c r="J126">
        <v>9</v>
      </c>
      <c r="K126">
        <v>153</v>
      </c>
      <c r="L126">
        <v>58</v>
      </c>
      <c r="M126">
        <v>47</v>
      </c>
      <c r="N126">
        <v>1995</v>
      </c>
      <c r="O126">
        <v>0.27</v>
      </c>
      <c r="P126">
        <v>2.4700000000000002</v>
      </c>
      <c r="Q126">
        <v>1.4999999999999999E-2</v>
      </c>
      <c r="R126">
        <v>70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>
      <c r="A127">
        <v>442.92184823534438</v>
      </c>
      <c r="B127">
        <v>56</v>
      </c>
      <c r="C127">
        <v>5.5365231029418052</v>
      </c>
      <c r="D127">
        <v>611.87820000000011</v>
      </c>
      <c r="E127">
        <v>687.06224066390052</v>
      </c>
      <c r="F127">
        <v>207.53819999999999</v>
      </c>
      <c r="G127">
        <v>85.877400000000009</v>
      </c>
      <c r="H127">
        <v>8</v>
      </c>
      <c r="I127">
        <v>58</v>
      </c>
      <c r="J127">
        <v>5</v>
      </c>
      <c r="K127">
        <v>111</v>
      </c>
      <c r="L127">
        <v>55</v>
      </c>
      <c r="M127">
        <v>11</v>
      </c>
      <c r="N127">
        <v>1995</v>
      </c>
      <c r="O127">
        <v>0.27</v>
      </c>
      <c r="P127">
        <v>2.4700000000000002</v>
      </c>
      <c r="Q127">
        <v>1.4999999999999999E-2</v>
      </c>
      <c r="R127">
        <v>70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>
      <c r="A128">
        <v>387.21517014686759</v>
      </c>
      <c r="B128">
        <v>49</v>
      </c>
      <c r="C128">
        <v>5.5316452878123954</v>
      </c>
      <c r="D128">
        <v>468.28559999999999</v>
      </c>
      <c r="E128">
        <v>690.58517833856831</v>
      </c>
      <c r="F128">
        <v>177.54624000000001</v>
      </c>
      <c r="G128">
        <v>75.148799999999994</v>
      </c>
      <c r="H128">
        <v>6</v>
      </c>
      <c r="I128">
        <v>55</v>
      </c>
      <c r="J128">
        <v>6</v>
      </c>
      <c r="K128">
        <v>319</v>
      </c>
      <c r="L128">
        <v>58</v>
      </c>
      <c r="M128">
        <v>28</v>
      </c>
      <c r="N128">
        <v>1995</v>
      </c>
      <c r="O128">
        <v>0.27</v>
      </c>
      <c r="P128">
        <v>2.4700000000000002</v>
      </c>
      <c r="Q128">
        <v>1.4999999999999999E-2</v>
      </c>
      <c r="R128">
        <v>70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>
      <c r="A129">
        <v>441.30331716212117</v>
      </c>
      <c r="B129">
        <v>56</v>
      </c>
      <c r="C129">
        <v>5.5162914645265158</v>
      </c>
      <c r="D129">
        <v>428.46699999999998</v>
      </c>
      <c r="E129">
        <v>692.6141078838175</v>
      </c>
      <c r="F129">
        <v>214.02420000000001</v>
      </c>
      <c r="G129">
        <v>85.693399999999997</v>
      </c>
      <c r="H129">
        <v>52</v>
      </c>
      <c r="I129">
        <v>58</v>
      </c>
      <c r="J129">
        <v>13</v>
      </c>
      <c r="K129">
        <v>111</v>
      </c>
      <c r="L129">
        <v>52</v>
      </c>
      <c r="M129">
        <v>10</v>
      </c>
      <c r="N129">
        <v>1995</v>
      </c>
      <c r="O129">
        <v>0.27</v>
      </c>
      <c r="P129">
        <v>2.4700000000000002</v>
      </c>
      <c r="Q129">
        <v>1.4999999999999999E-2</v>
      </c>
      <c r="R129">
        <v>70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>
      <c r="A130">
        <v>495.08270490034568</v>
      </c>
      <c r="B130">
        <v>63</v>
      </c>
      <c r="C130">
        <v>5.5009189433371741</v>
      </c>
      <c r="D130">
        <v>552.37380000000007</v>
      </c>
      <c r="E130">
        <v>690.6539419087137</v>
      </c>
      <c r="F130">
        <v>168.03380000000001</v>
      </c>
      <c r="G130">
        <v>96.084999999999994</v>
      </c>
      <c r="H130">
        <v>39</v>
      </c>
      <c r="I130">
        <v>56</v>
      </c>
      <c r="J130">
        <v>11</v>
      </c>
      <c r="K130">
        <v>111</v>
      </c>
      <c r="L130">
        <v>53</v>
      </c>
      <c r="M130">
        <v>11</v>
      </c>
      <c r="N130">
        <v>1995</v>
      </c>
      <c r="O130">
        <v>0.27</v>
      </c>
      <c r="P130">
        <v>2.4700000000000002</v>
      </c>
      <c r="Q130">
        <v>1.4999999999999999E-2</v>
      </c>
      <c r="R130">
        <v>70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>
      <c r="A131">
        <v>438.2263519237269</v>
      </c>
      <c r="B131">
        <v>56</v>
      </c>
      <c r="C131">
        <v>5.4778293990465867</v>
      </c>
      <c r="D131">
        <v>530.37599999999998</v>
      </c>
      <c r="E131">
        <v>690.96774338386263</v>
      </c>
      <c r="F131">
        <v>199.23552000000001</v>
      </c>
      <c r="G131">
        <v>85.057680000000005</v>
      </c>
      <c r="H131">
        <v>8</v>
      </c>
      <c r="I131">
        <v>55</v>
      </c>
      <c r="J131">
        <v>5</v>
      </c>
      <c r="K131">
        <v>165</v>
      </c>
      <c r="L131">
        <v>58</v>
      </c>
      <c r="M131">
        <v>23</v>
      </c>
      <c r="N131">
        <v>1995</v>
      </c>
      <c r="O131">
        <v>0.27</v>
      </c>
      <c r="P131">
        <v>2.4700000000000002</v>
      </c>
      <c r="Q131">
        <v>1.4999999999999999E-2</v>
      </c>
      <c r="R131">
        <v>70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>
      <c r="A132">
        <v>410.02991577707121</v>
      </c>
      <c r="B132">
        <v>52.73863636363636</v>
      </c>
      <c r="C132">
        <v>5.4423276905553948</v>
      </c>
      <c r="D132">
        <v>442.14190000000002</v>
      </c>
      <c r="E132">
        <v>689.69345952024332</v>
      </c>
      <c r="F132">
        <v>232.35560000000001</v>
      </c>
      <c r="G132">
        <v>79.557199999999995</v>
      </c>
      <c r="H132">
        <v>95</v>
      </c>
      <c r="I132">
        <v>54</v>
      </c>
      <c r="J132">
        <v>6</v>
      </c>
      <c r="K132">
        <v>148</v>
      </c>
      <c r="L132">
        <v>59</v>
      </c>
      <c r="M132">
        <v>31</v>
      </c>
      <c r="N132">
        <v>1995</v>
      </c>
      <c r="O132">
        <v>0.27</v>
      </c>
      <c r="P132">
        <v>2.4700000000000002</v>
      </c>
      <c r="Q132">
        <v>1.4999999999999999E-2</v>
      </c>
      <c r="R132">
        <v>70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>
      <c r="A133">
        <v>487.81246194647628</v>
      </c>
      <c r="B133">
        <v>63</v>
      </c>
      <c r="C133">
        <v>5.4201384660719594</v>
      </c>
      <c r="D133">
        <v>470.40960000000001</v>
      </c>
      <c r="E133">
        <v>689.9280829285409</v>
      </c>
      <c r="F133">
        <v>160.04895999999999</v>
      </c>
      <c r="G133">
        <v>94.655239999999992</v>
      </c>
      <c r="H133">
        <v>39</v>
      </c>
      <c r="I133">
        <v>52</v>
      </c>
      <c r="J133">
        <v>11</v>
      </c>
      <c r="K133">
        <v>165</v>
      </c>
      <c r="L133">
        <v>59</v>
      </c>
      <c r="M133">
        <v>23</v>
      </c>
      <c r="N133">
        <v>1995</v>
      </c>
      <c r="O133">
        <v>0.27</v>
      </c>
      <c r="P133">
        <v>2.4700000000000002</v>
      </c>
      <c r="Q133">
        <v>1.4999999999999999E-2</v>
      </c>
      <c r="R133">
        <v>70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>
      <c r="A134">
        <v>377.70610055268389</v>
      </c>
      <c r="B134">
        <v>49</v>
      </c>
      <c r="C134">
        <v>5.3958014364669147</v>
      </c>
      <c r="D134">
        <v>483.84800000000013</v>
      </c>
      <c r="E134">
        <v>690.7187486570167</v>
      </c>
      <c r="F134">
        <v>173.74799999999999</v>
      </c>
      <c r="G134">
        <v>73.305999999999997</v>
      </c>
      <c r="H134">
        <v>7</v>
      </c>
      <c r="I134">
        <v>56</v>
      </c>
      <c r="J134">
        <v>5</v>
      </c>
      <c r="K134">
        <v>127</v>
      </c>
      <c r="L134">
        <v>57</v>
      </c>
      <c r="M134">
        <v>25</v>
      </c>
      <c r="N134">
        <v>1995</v>
      </c>
      <c r="O134">
        <v>0.27</v>
      </c>
      <c r="P134">
        <v>2.4700000000000002</v>
      </c>
      <c r="Q134">
        <v>1.4999999999999999E-2</v>
      </c>
      <c r="R134">
        <v>70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>
      <c r="A135">
        <v>431.29864573727389</v>
      </c>
      <c r="B135">
        <v>56</v>
      </c>
      <c r="C135">
        <v>5.3912330717159236</v>
      </c>
      <c r="D135">
        <v>505.11959999999999</v>
      </c>
      <c r="E135">
        <v>690.17635977265343</v>
      </c>
      <c r="F135">
        <v>195.9246</v>
      </c>
      <c r="G135">
        <v>83.694960000000009</v>
      </c>
      <c r="H135">
        <v>8</v>
      </c>
      <c r="I135">
        <v>54</v>
      </c>
      <c r="J135">
        <v>5</v>
      </c>
      <c r="K135">
        <v>333</v>
      </c>
      <c r="L135">
        <v>59</v>
      </c>
      <c r="M135">
        <v>26</v>
      </c>
      <c r="N135">
        <v>1995</v>
      </c>
      <c r="O135">
        <v>0.27</v>
      </c>
      <c r="P135">
        <v>2.4700000000000002</v>
      </c>
      <c r="Q135">
        <v>1.4999999999999999E-2</v>
      </c>
      <c r="R135">
        <v>70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>
      <c r="A136">
        <v>429.92879943131072</v>
      </c>
      <c r="B136">
        <v>56.000000000000007</v>
      </c>
      <c r="C136">
        <v>5.3741099928913831</v>
      </c>
      <c r="D136">
        <v>542.52599999999995</v>
      </c>
      <c r="E136">
        <v>690.50399319063331</v>
      </c>
      <c r="F136">
        <v>198.80459999999999</v>
      </c>
      <c r="G136">
        <v>83.436600000000013</v>
      </c>
      <c r="H136">
        <v>8</v>
      </c>
      <c r="I136">
        <v>55</v>
      </c>
      <c r="J136">
        <v>5</v>
      </c>
      <c r="K136">
        <v>125</v>
      </c>
      <c r="L136">
        <v>57</v>
      </c>
      <c r="M136">
        <v>25</v>
      </c>
      <c r="N136">
        <v>1995</v>
      </c>
      <c r="O136">
        <v>0.27</v>
      </c>
      <c r="P136">
        <v>2.4700000000000002</v>
      </c>
      <c r="Q136">
        <v>1.4999999999999999E-2</v>
      </c>
      <c r="R136">
        <v>70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>
      <c r="A137">
        <v>429.40012622528758</v>
      </c>
      <c r="B137">
        <v>56</v>
      </c>
      <c r="C137">
        <v>5.3675015778160953</v>
      </c>
      <c r="D137">
        <v>538.42200000000003</v>
      </c>
      <c r="E137">
        <v>690.50399319063331</v>
      </c>
      <c r="F137">
        <v>198.702</v>
      </c>
      <c r="G137">
        <v>83.334000000000003</v>
      </c>
      <c r="H137">
        <v>8</v>
      </c>
      <c r="I137">
        <v>55</v>
      </c>
      <c r="J137">
        <v>5</v>
      </c>
      <c r="K137">
        <v>124</v>
      </c>
      <c r="L137">
        <v>57</v>
      </c>
      <c r="M137">
        <v>25</v>
      </c>
      <c r="N137">
        <v>1995</v>
      </c>
      <c r="O137">
        <v>0.27</v>
      </c>
      <c r="P137">
        <v>2.4700000000000002</v>
      </c>
      <c r="Q137">
        <v>1.4999999999999999E-2</v>
      </c>
      <c r="R137">
        <v>70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>
      <c r="A138">
        <v>374.55026108852229</v>
      </c>
      <c r="B138">
        <v>49</v>
      </c>
      <c r="C138">
        <v>5.3507180155503189</v>
      </c>
      <c r="D138">
        <v>445.05180000000013</v>
      </c>
      <c r="E138">
        <v>691.87227434512124</v>
      </c>
      <c r="F138">
        <v>168.82991999999999</v>
      </c>
      <c r="G138">
        <v>72.716400000000007</v>
      </c>
      <c r="H138">
        <v>7</v>
      </c>
      <c r="I138">
        <v>54</v>
      </c>
      <c r="J138">
        <v>5</v>
      </c>
      <c r="K138">
        <v>319</v>
      </c>
      <c r="L138">
        <v>59</v>
      </c>
      <c r="M138">
        <v>28</v>
      </c>
      <c r="N138">
        <v>1995</v>
      </c>
      <c r="O138">
        <v>0.27</v>
      </c>
      <c r="P138">
        <v>2.4700000000000002</v>
      </c>
      <c r="Q138">
        <v>1.4999999999999999E-2</v>
      </c>
      <c r="R138">
        <v>70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>
      <c r="A139">
        <v>427.24661146597361</v>
      </c>
      <c r="B139">
        <v>56.000000000000007</v>
      </c>
      <c r="C139">
        <v>5.3405826433246686</v>
      </c>
      <c r="D139">
        <v>498.22166399999998</v>
      </c>
      <c r="E139">
        <v>685.61004958855801</v>
      </c>
      <c r="F139">
        <v>193.52443199999999</v>
      </c>
      <c r="G139">
        <v>82.805279999999996</v>
      </c>
      <c r="H139">
        <v>8</v>
      </c>
      <c r="I139">
        <v>53</v>
      </c>
      <c r="J139">
        <v>5</v>
      </c>
      <c r="K139">
        <v>85</v>
      </c>
      <c r="L139">
        <v>60</v>
      </c>
      <c r="M139">
        <v>26</v>
      </c>
      <c r="N139">
        <v>1995</v>
      </c>
      <c r="O139">
        <v>0.27</v>
      </c>
      <c r="P139">
        <v>2.4700000000000002</v>
      </c>
      <c r="Q139">
        <v>1.4999999999999999E-2</v>
      </c>
      <c r="R139">
        <v>70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>
      <c r="A140">
        <v>436.00991013123121</v>
      </c>
      <c r="B140">
        <v>57.235294117647072</v>
      </c>
      <c r="C140">
        <v>5.3324953037632579</v>
      </c>
      <c r="D140">
        <v>524.04325000000006</v>
      </c>
      <c r="E140">
        <v>689.50555121168372</v>
      </c>
      <c r="F140">
        <v>193.73889700000001</v>
      </c>
      <c r="G140">
        <v>84.593699999999998</v>
      </c>
      <c r="H140">
        <v>8</v>
      </c>
      <c r="I140">
        <v>53</v>
      </c>
      <c r="J140">
        <v>5</v>
      </c>
      <c r="K140">
        <v>77</v>
      </c>
      <c r="L140">
        <v>60</v>
      </c>
      <c r="M140">
        <v>38</v>
      </c>
      <c r="N140">
        <v>1995</v>
      </c>
      <c r="O140">
        <v>0.27</v>
      </c>
      <c r="P140">
        <v>2.4700000000000002</v>
      </c>
      <c r="Q140">
        <v>1.4999999999999999E-2</v>
      </c>
      <c r="R140">
        <v>70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>
      <c r="A141">
        <v>435.80425893717972</v>
      </c>
      <c r="B141">
        <v>57.235294117647072</v>
      </c>
      <c r="C141">
        <v>5.3299801452748587</v>
      </c>
      <c r="D141">
        <v>523.93410000000006</v>
      </c>
      <c r="E141">
        <v>689.50555121168372</v>
      </c>
      <c r="F141">
        <v>193.701786</v>
      </c>
      <c r="G141">
        <v>84.55380000000001</v>
      </c>
      <c r="H141">
        <v>8</v>
      </c>
      <c r="I141">
        <v>53</v>
      </c>
      <c r="J141">
        <v>5</v>
      </c>
      <c r="K141">
        <v>312</v>
      </c>
      <c r="L141">
        <v>60</v>
      </c>
      <c r="M141">
        <v>38</v>
      </c>
      <c r="N141">
        <v>1995</v>
      </c>
      <c r="O141">
        <v>0.27</v>
      </c>
      <c r="P141">
        <v>2.4700000000000002</v>
      </c>
      <c r="Q141">
        <v>1.4999999999999999E-2</v>
      </c>
      <c r="R141">
        <v>70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>
      <c r="A142">
        <v>425.89436929092147</v>
      </c>
      <c r="B142">
        <v>56.000000000000007</v>
      </c>
      <c r="C142">
        <v>5.323679616136519</v>
      </c>
      <c r="D142">
        <v>525.56160000000011</v>
      </c>
      <c r="E142">
        <v>685.61004958855801</v>
      </c>
      <c r="F142">
        <v>193.71600000000001</v>
      </c>
      <c r="G142">
        <v>82.543200000000013</v>
      </c>
      <c r="H142">
        <v>8</v>
      </c>
      <c r="I142">
        <v>53</v>
      </c>
      <c r="J142">
        <v>5</v>
      </c>
      <c r="K142">
        <v>41</v>
      </c>
      <c r="L142">
        <v>60</v>
      </c>
      <c r="M142">
        <v>26</v>
      </c>
      <c r="N142">
        <v>1995</v>
      </c>
      <c r="O142">
        <v>0.27</v>
      </c>
      <c r="P142">
        <v>2.4700000000000002</v>
      </c>
      <c r="Q142">
        <v>1.4999999999999999E-2</v>
      </c>
      <c r="R142">
        <v>70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>
      <c r="A143">
        <v>478.92337349628713</v>
      </c>
      <c r="B143">
        <v>63.000000000000007</v>
      </c>
      <c r="C143">
        <v>5.3213708166254117</v>
      </c>
      <c r="D143">
        <v>480.7944</v>
      </c>
      <c r="E143">
        <v>688.28998819136791</v>
      </c>
      <c r="F143">
        <v>158.99495999999999</v>
      </c>
      <c r="G143">
        <v>92.888831999999994</v>
      </c>
      <c r="H143">
        <v>39</v>
      </c>
      <c r="I143">
        <v>57</v>
      </c>
      <c r="J143">
        <v>10</v>
      </c>
      <c r="K143">
        <v>125</v>
      </c>
      <c r="L143">
        <v>56</v>
      </c>
      <c r="M143">
        <v>26</v>
      </c>
      <c r="N143">
        <v>1995</v>
      </c>
      <c r="O143">
        <v>0.27</v>
      </c>
      <c r="P143">
        <v>2.4700000000000002</v>
      </c>
      <c r="Q143">
        <v>1.4999999999999999E-2</v>
      </c>
      <c r="R143">
        <v>70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>
      <c r="A144">
        <v>425.33356129562873</v>
      </c>
      <c r="B144">
        <v>56.000000000000007</v>
      </c>
      <c r="C144">
        <v>5.3166695161953594</v>
      </c>
      <c r="D144">
        <v>471.64800000000008</v>
      </c>
      <c r="E144">
        <v>690.43305159814213</v>
      </c>
      <c r="F144">
        <v>193.71600000000001</v>
      </c>
      <c r="G144">
        <v>82.543200000000013</v>
      </c>
      <c r="H144">
        <v>8</v>
      </c>
      <c r="I144">
        <v>53</v>
      </c>
      <c r="J144">
        <v>5</v>
      </c>
      <c r="K144">
        <v>133</v>
      </c>
      <c r="L144">
        <v>60</v>
      </c>
      <c r="M144">
        <v>26</v>
      </c>
      <c r="N144">
        <v>1995</v>
      </c>
      <c r="O144">
        <v>0.27</v>
      </c>
      <c r="P144">
        <v>2.4700000000000002</v>
      </c>
      <c r="Q144">
        <v>1.4999999999999999E-2</v>
      </c>
      <c r="R144">
        <v>70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>
      <c r="A145">
        <v>478.38287262003149</v>
      </c>
      <c r="B145">
        <v>63</v>
      </c>
      <c r="C145">
        <v>5.3153652513336827</v>
      </c>
      <c r="D145">
        <v>478.08</v>
      </c>
      <c r="E145">
        <v>688.28998819136791</v>
      </c>
      <c r="F145">
        <v>159.36000000000001</v>
      </c>
      <c r="G145">
        <v>92.784000000000006</v>
      </c>
      <c r="H145">
        <v>39</v>
      </c>
      <c r="I145">
        <v>57</v>
      </c>
      <c r="J145">
        <v>10</v>
      </c>
      <c r="K145">
        <v>124</v>
      </c>
      <c r="L145">
        <v>56</v>
      </c>
      <c r="M145">
        <v>26</v>
      </c>
      <c r="N145">
        <v>1995</v>
      </c>
      <c r="O145">
        <v>0.27</v>
      </c>
      <c r="P145">
        <v>2.4700000000000002</v>
      </c>
      <c r="Q145">
        <v>1.4999999999999999E-2</v>
      </c>
      <c r="R145">
        <v>70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>
      <c r="A146">
        <v>382.66794515765082</v>
      </c>
      <c r="B146">
        <v>50.400000000000013</v>
      </c>
      <c r="C146">
        <v>5.3148325716340397</v>
      </c>
      <c r="D146">
        <v>384.48</v>
      </c>
      <c r="E146">
        <v>692.00083137718525</v>
      </c>
      <c r="F146">
        <v>176.85900000000001</v>
      </c>
      <c r="G146">
        <v>74.295000000000002</v>
      </c>
      <c r="H146">
        <v>129</v>
      </c>
      <c r="I146">
        <v>53</v>
      </c>
      <c r="J146">
        <v>5</v>
      </c>
      <c r="K146">
        <v>96</v>
      </c>
      <c r="L146">
        <v>60</v>
      </c>
      <c r="M146">
        <v>21</v>
      </c>
      <c r="N146">
        <v>1995</v>
      </c>
      <c r="O146">
        <v>0.27</v>
      </c>
      <c r="P146">
        <v>2.4700000000000002</v>
      </c>
      <c r="Q146">
        <v>1.4999999999999999E-2</v>
      </c>
      <c r="R146">
        <v>70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>
      <c r="A147">
        <v>424.21806191672482</v>
      </c>
      <c r="B147">
        <v>56</v>
      </c>
      <c r="C147">
        <v>5.302725773959061</v>
      </c>
      <c r="D147">
        <v>577.08000000000004</v>
      </c>
      <c r="E147">
        <v>688.2655601659751</v>
      </c>
      <c r="F147">
        <v>194.67</v>
      </c>
      <c r="G147">
        <v>82.278000000000006</v>
      </c>
      <c r="H147">
        <v>9</v>
      </c>
      <c r="I147">
        <v>51</v>
      </c>
      <c r="J147">
        <v>4</v>
      </c>
      <c r="K147">
        <v>111</v>
      </c>
      <c r="L147">
        <v>62</v>
      </c>
      <c r="M147">
        <v>10</v>
      </c>
      <c r="N147">
        <v>1995</v>
      </c>
      <c r="O147">
        <v>0.27</v>
      </c>
      <c r="P147">
        <v>2.4700000000000002</v>
      </c>
      <c r="Q147">
        <v>1.4999999999999999E-2</v>
      </c>
      <c r="R147">
        <v>70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>
      <c r="A148">
        <v>476.5686889696035</v>
      </c>
      <c r="B148">
        <v>63.000000000000007</v>
      </c>
      <c r="C148">
        <v>5.2952076552178156</v>
      </c>
      <c r="D148">
        <v>473.73311999999999</v>
      </c>
      <c r="E148">
        <v>691.09812325492351</v>
      </c>
      <c r="F148">
        <v>157.91104000000001</v>
      </c>
      <c r="G148">
        <v>92.503040000000013</v>
      </c>
      <c r="H148">
        <v>39</v>
      </c>
      <c r="I148">
        <v>56</v>
      </c>
      <c r="J148">
        <v>10</v>
      </c>
      <c r="K148">
        <v>41</v>
      </c>
      <c r="L148">
        <v>56</v>
      </c>
      <c r="M148">
        <v>28</v>
      </c>
      <c r="N148">
        <v>1995</v>
      </c>
      <c r="O148">
        <v>0.27</v>
      </c>
      <c r="P148">
        <v>2.4700000000000002</v>
      </c>
      <c r="Q148">
        <v>1.4999999999999999E-2</v>
      </c>
      <c r="R148">
        <v>70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>
      <c r="A149">
        <v>433.7970583159169</v>
      </c>
      <c r="B149">
        <v>57.358208955223887</v>
      </c>
      <c r="C149">
        <v>5.2940624603217543</v>
      </c>
      <c r="D149">
        <v>530.18280000000004</v>
      </c>
      <c r="E149">
        <v>690.54117659132703</v>
      </c>
      <c r="F149">
        <v>195.73450199999999</v>
      </c>
      <c r="G149">
        <v>84.188170500000012</v>
      </c>
      <c r="H149">
        <v>8</v>
      </c>
      <c r="I149">
        <v>54</v>
      </c>
      <c r="J149">
        <v>5</v>
      </c>
      <c r="K149">
        <v>316</v>
      </c>
      <c r="L149">
        <v>59</v>
      </c>
      <c r="M149">
        <v>31</v>
      </c>
      <c r="N149">
        <v>1995</v>
      </c>
      <c r="O149">
        <v>0.27</v>
      </c>
      <c r="P149">
        <v>2.4700000000000002</v>
      </c>
      <c r="Q149">
        <v>1.4999999999999999E-2</v>
      </c>
      <c r="R149">
        <v>70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>
      <c r="A150">
        <v>475.30709328330471</v>
      </c>
      <c r="B150">
        <v>63.000000000000007</v>
      </c>
      <c r="C150">
        <v>5.2811899253700512</v>
      </c>
      <c r="D150">
        <v>412.50047999999998</v>
      </c>
      <c r="E150">
        <v>692.86745788564554</v>
      </c>
      <c r="F150">
        <v>155.54048</v>
      </c>
      <c r="G150">
        <v>92.302720000000008</v>
      </c>
      <c r="H150">
        <v>39</v>
      </c>
      <c r="I150">
        <v>55</v>
      </c>
      <c r="J150">
        <v>10</v>
      </c>
      <c r="K150">
        <v>133</v>
      </c>
      <c r="L150">
        <v>58</v>
      </c>
      <c r="M150">
        <v>28</v>
      </c>
      <c r="N150">
        <v>1995</v>
      </c>
      <c r="O150">
        <v>0.27</v>
      </c>
      <c r="P150">
        <v>2.4700000000000002</v>
      </c>
      <c r="Q150">
        <v>1.4999999999999999E-2</v>
      </c>
      <c r="R150">
        <v>70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>
      <c r="A151">
        <v>422.39494716049222</v>
      </c>
      <c r="B151">
        <v>56.000000000000007</v>
      </c>
      <c r="C151">
        <v>5.2799368395061528</v>
      </c>
      <c r="D151">
        <v>409.9905</v>
      </c>
      <c r="E151">
        <v>691.55850622406638</v>
      </c>
      <c r="F151">
        <v>204.26310000000001</v>
      </c>
      <c r="G151">
        <v>81.998100000000008</v>
      </c>
      <c r="H151">
        <v>53</v>
      </c>
      <c r="I151">
        <v>57</v>
      </c>
      <c r="J151">
        <v>13</v>
      </c>
      <c r="K151">
        <v>111</v>
      </c>
      <c r="L151">
        <v>56</v>
      </c>
      <c r="M151">
        <v>9</v>
      </c>
      <c r="N151">
        <v>1995</v>
      </c>
      <c r="O151">
        <v>0.27</v>
      </c>
      <c r="P151">
        <v>2.4700000000000002</v>
      </c>
      <c r="Q151">
        <v>1.4999999999999999E-2</v>
      </c>
      <c r="R151">
        <v>70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>
      <c r="A152">
        <v>368.51826326781509</v>
      </c>
      <c r="B152">
        <v>49</v>
      </c>
      <c r="C152">
        <v>5.2645466181116447</v>
      </c>
      <c r="D152">
        <v>384.52319999999997</v>
      </c>
      <c r="E152">
        <v>688.23969791453533</v>
      </c>
      <c r="F152">
        <v>192.9744</v>
      </c>
      <c r="G152">
        <v>71.474399999999989</v>
      </c>
      <c r="H152">
        <v>174</v>
      </c>
      <c r="I152">
        <v>56</v>
      </c>
      <c r="J152">
        <v>3</v>
      </c>
      <c r="K152">
        <v>235</v>
      </c>
      <c r="L152">
        <v>50</v>
      </c>
      <c r="M152">
        <v>5</v>
      </c>
      <c r="N152">
        <v>1995</v>
      </c>
      <c r="O152">
        <v>0.27</v>
      </c>
      <c r="P152">
        <v>2.4700000000000002</v>
      </c>
      <c r="Q152">
        <v>1.4999999999999999E-2</v>
      </c>
      <c r="R152">
        <v>70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>
      <c r="A153">
        <v>482.85414542046988</v>
      </c>
      <c r="B153">
        <v>64.235294117647058</v>
      </c>
      <c r="C153">
        <v>5.2618720975307616</v>
      </c>
      <c r="D153">
        <v>473.25405000000001</v>
      </c>
      <c r="E153">
        <v>689.81044355172367</v>
      </c>
      <c r="F153">
        <v>158.29005699999999</v>
      </c>
      <c r="G153">
        <v>93.690117499999999</v>
      </c>
      <c r="H153">
        <v>39</v>
      </c>
      <c r="I153">
        <v>56</v>
      </c>
      <c r="J153">
        <v>10</v>
      </c>
      <c r="K153">
        <v>77</v>
      </c>
      <c r="L153">
        <v>57</v>
      </c>
      <c r="M153">
        <v>39</v>
      </c>
      <c r="N153">
        <v>1995</v>
      </c>
      <c r="O153">
        <v>0.27</v>
      </c>
      <c r="P153">
        <v>2.4700000000000002</v>
      </c>
      <c r="Q153">
        <v>1.4999999999999999E-2</v>
      </c>
      <c r="R153">
        <v>70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>
      <c r="A154">
        <v>482.65365219990991</v>
      </c>
      <c r="B154">
        <v>64.235294117647058</v>
      </c>
      <c r="C154">
        <v>5.2596872355118389</v>
      </c>
      <c r="D154">
        <v>473.1429</v>
      </c>
      <c r="E154">
        <v>689.81044355172367</v>
      </c>
      <c r="F154">
        <v>158.25226599999999</v>
      </c>
      <c r="G154">
        <v>93.651214999999993</v>
      </c>
      <c r="H154">
        <v>39</v>
      </c>
      <c r="I154">
        <v>56</v>
      </c>
      <c r="J154">
        <v>10</v>
      </c>
      <c r="K154">
        <v>312</v>
      </c>
      <c r="L154">
        <v>57</v>
      </c>
      <c r="M154">
        <v>39</v>
      </c>
      <c r="N154">
        <v>1995</v>
      </c>
      <c r="O154">
        <v>0.27</v>
      </c>
      <c r="P154">
        <v>2.4700000000000002</v>
      </c>
      <c r="Q154">
        <v>1.4999999999999999E-2</v>
      </c>
      <c r="R154">
        <v>70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>
      <c r="A155">
        <v>483.09864307140151</v>
      </c>
      <c r="B155">
        <v>64.358208955223887</v>
      </c>
      <c r="C155">
        <v>5.2544819944454382</v>
      </c>
      <c r="D155">
        <v>471.90143999999998</v>
      </c>
      <c r="E155">
        <v>690.07478116186428</v>
      </c>
      <c r="F155">
        <v>157.43290239999999</v>
      </c>
      <c r="G155">
        <v>93.744324500000005</v>
      </c>
      <c r="H155">
        <v>39</v>
      </c>
      <c r="I155">
        <v>56</v>
      </c>
      <c r="J155">
        <v>10</v>
      </c>
      <c r="K155">
        <v>316</v>
      </c>
      <c r="L155">
        <v>57</v>
      </c>
      <c r="M155">
        <v>33</v>
      </c>
      <c r="N155">
        <v>1995</v>
      </c>
      <c r="O155">
        <v>0.27</v>
      </c>
      <c r="P155">
        <v>2.4700000000000002</v>
      </c>
      <c r="Q155">
        <v>1.4999999999999999E-2</v>
      </c>
      <c r="R155">
        <v>70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>
      <c r="A156">
        <v>393.59357925356107</v>
      </c>
      <c r="B156">
        <v>52.5</v>
      </c>
      <c r="C156">
        <v>5.2479143900474812</v>
      </c>
      <c r="D156">
        <v>459.62400000000002</v>
      </c>
      <c r="E156">
        <v>690.16080393629636</v>
      </c>
      <c r="F156">
        <v>221.54352</v>
      </c>
      <c r="G156">
        <v>76.377839999999992</v>
      </c>
      <c r="H156">
        <v>22</v>
      </c>
      <c r="I156">
        <v>44</v>
      </c>
      <c r="J156">
        <v>4</v>
      </c>
      <c r="K156">
        <v>165</v>
      </c>
      <c r="L156">
        <v>61</v>
      </c>
      <c r="M156">
        <v>22</v>
      </c>
      <c r="N156">
        <v>1995</v>
      </c>
      <c r="O156">
        <v>0.27</v>
      </c>
      <c r="P156">
        <v>2.4700000000000002</v>
      </c>
      <c r="Q156">
        <v>1.4999999999999999E-2</v>
      </c>
      <c r="R156">
        <v>70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>
      <c r="A157">
        <v>366.28119491506948</v>
      </c>
      <c r="B157">
        <v>49</v>
      </c>
      <c r="C157">
        <v>5.2325884987867086</v>
      </c>
      <c r="D157">
        <v>430.68</v>
      </c>
      <c r="E157">
        <v>692.97925311203335</v>
      </c>
      <c r="F157">
        <v>168.72</v>
      </c>
      <c r="G157">
        <v>71.132499999999993</v>
      </c>
      <c r="H157">
        <v>9</v>
      </c>
      <c r="I157">
        <v>56</v>
      </c>
      <c r="J157">
        <v>3</v>
      </c>
      <c r="K157">
        <v>56</v>
      </c>
      <c r="L157">
        <v>53</v>
      </c>
      <c r="M157">
        <v>5</v>
      </c>
      <c r="N157">
        <v>1995</v>
      </c>
      <c r="O157">
        <v>0.27</v>
      </c>
      <c r="P157">
        <v>2.4700000000000002</v>
      </c>
      <c r="Q157">
        <v>1.4999999999999999E-2</v>
      </c>
      <c r="R157">
        <v>70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>
      <c r="A158">
        <v>418.28185206082401</v>
      </c>
      <c r="B158">
        <v>56.000000000000007</v>
      </c>
      <c r="C158">
        <v>5.2285231507602994</v>
      </c>
      <c r="D158">
        <v>508.67599999999999</v>
      </c>
      <c r="E158">
        <v>687.24313146195482</v>
      </c>
      <c r="F158">
        <v>185.44399999999999</v>
      </c>
      <c r="G158">
        <v>81.103999999999999</v>
      </c>
      <c r="H158">
        <v>52</v>
      </c>
      <c r="I158">
        <v>56</v>
      </c>
      <c r="J158">
        <v>11</v>
      </c>
      <c r="K158">
        <v>148</v>
      </c>
      <c r="L158">
        <v>57</v>
      </c>
      <c r="M158">
        <v>34</v>
      </c>
      <c r="N158">
        <v>1995</v>
      </c>
      <c r="O158">
        <v>0.27</v>
      </c>
      <c r="P158">
        <v>2.4700000000000002</v>
      </c>
      <c r="Q158">
        <v>1.4999999999999999E-2</v>
      </c>
      <c r="R158">
        <v>70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>
      <c r="A159">
        <v>417.97578378181481</v>
      </c>
      <c r="B159">
        <v>56.000000000000007</v>
      </c>
      <c r="C159">
        <v>5.2246972972726864</v>
      </c>
      <c r="D159">
        <v>485.68432000000013</v>
      </c>
      <c r="E159">
        <v>691.07883817427387</v>
      </c>
      <c r="F159">
        <v>188.30456000000001</v>
      </c>
      <c r="G159">
        <v>81.129600000000011</v>
      </c>
      <c r="H159">
        <v>8</v>
      </c>
      <c r="I159">
        <v>53</v>
      </c>
      <c r="J159">
        <v>5</v>
      </c>
      <c r="K159">
        <v>331</v>
      </c>
      <c r="L159">
        <v>60</v>
      </c>
      <c r="M159">
        <v>10</v>
      </c>
      <c r="N159">
        <v>1995</v>
      </c>
      <c r="O159">
        <v>0.27</v>
      </c>
      <c r="P159">
        <v>2.4700000000000002</v>
      </c>
      <c r="Q159">
        <v>1.4999999999999999E-2</v>
      </c>
      <c r="R159">
        <v>70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>
      <c r="A160">
        <v>417.22279493365818</v>
      </c>
      <c r="B160">
        <v>56</v>
      </c>
      <c r="C160">
        <v>5.2152849366707281</v>
      </c>
      <c r="D160">
        <v>484.96499999999997</v>
      </c>
      <c r="E160">
        <v>690.34854771784239</v>
      </c>
      <c r="F160">
        <v>187.94489999999999</v>
      </c>
      <c r="G160">
        <v>80.967300000000009</v>
      </c>
      <c r="H160">
        <v>8</v>
      </c>
      <c r="I160">
        <v>54</v>
      </c>
      <c r="J160">
        <v>5</v>
      </c>
      <c r="K160">
        <v>1</v>
      </c>
      <c r="L160">
        <v>51</v>
      </c>
      <c r="M160">
        <v>5</v>
      </c>
      <c r="N160">
        <v>1995</v>
      </c>
      <c r="O160">
        <v>0.27</v>
      </c>
      <c r="P160">
        <v>2.4700000000000002</v>
      </c>
      <c r="Q160">
        <v>1.4999999999999999E-2</v>
      </c>
      <c r="R160">
        <v>70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>
      <c r="A161">
        <v>415.65126167058361</v>
      </c>
      <c r="B161">
        <v>56</v>
      </c>
      <c r="C161">
        <v>5.1956407708822967</v>
      </c>
      <c r="D161">
        <v>502.08</v>
      </c>
      <c r="E161">
        <v>690.04321536033012</v>
      </c>
      <c r="F161">
        <v>188.6148</v>
      </c>
      <c r="G161">
        <v>80.655600000000007</v>
      </c>
      <c r="H161">
        <v>9</v>
      </c>
      <c r="I161">
        <v>49</v>
      </c>
      <c r="J161">
        <v>4</v>
      </c>
      <c r="K161">
        <v>165</v>
      </c>
      <c r="L161">
        <v>64</v>
      </c>
      <c r="M161">
        <v>20</v>
      </c>
      <c r="N161">
        <v>1995</v>
      </c>
      <c r="O161">
        <v>0.27</v>
      </c>
      <c r="P161">
        <v>2.4700000000000002</v>
      </c>
      <c r="Q161">
        <v>1.4999999999999999E-2</v>
      </c>
      <c r="R161">
        <v>70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>
      <c r="A162">
        <v>388.55634329651821</v>
      </c>
      <c r="B162">
        <v>52.500000000000007</v>
      </c>
      <c r="C162">
        <v>5.1807512439535746</v>
      </c>
      <c r="D162">
        <v>521.35739999999998</v>
      </c>
      <c r="E162">
        <v>688.21244813278008</v>
      </c>
      <c r="F162">
        <v>224.15147999999999</v>
      </c>
      <c r="G162">
        <v>75.36023999999999</v>
      </c>
      <c r="H162">
        <v>22</v>
      </c>
      <c r="I162">
        <v>60</v>
      </c>
      <c r="J162">
        <v>3</v>
      </c>
      <c r="K162">
        <v>112</v>
      </c>
      <c r="L162">
        <v>48</v>
      </c>
      <c r="M162">
        <v>3</v>
      </c>
      <c r="N162">
        <v>1995</v>
      </c>
      <c r="O162">
        <v>0.27</v>
      </c>
      <c r="P162">
        <v>2.4700000000000002</v>
      </c>
      <c r="Q162">
        <v>1.4999999999999999E-2</v>
      </c>
      <c r="R162">
        <v>70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>
      <c r="A163">
        <v>413.73243402046307</v>
      </c>
      <c r="B163">
        <v>56.000000000000007</v>
      </c>
      <c r="C163">
        <v>5.1716554252557883</v>
      </c>
      <c r="D163">
        <v>478.27307999999999</v>
      </c>
      <c r="E163">
        <v>690.12448132780082</v>
      </c>
      <c r="F163">
        <v>185.43798000000001</v>
      </c>
      <c r="G163">
        <v>80.285040000000009</v>
      </c>
      <c r="H163">
        <v>8</v>
      </c>
      <c r="I163">
        <v>66</v>
      </c>
      <c r="J163">
        <v>4</v>
      </c>
      <c r="K163">
        <v>177</v>
      </c>
      <c r="L163">
        <v>44</v>
      </c>
      <c r="M163">
        <v>3</v>
      </c>
      <c r="N163">
        <v>1995</v>
      </c>
      <c r="O163">
        <v>0.27</v>
      </c>
      <c r="P163">
        <v>2.4700000000000002</v>
      </c>
      <c r="Q163">
        <v>1.4999999999999999E-2</v>
      </c>
      <c r="R163">
        <v>70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>
      <c r="A164">
        <v>413.20592535416199</v>
      </c>
      <c r="B164">
        <v>56.000000000000007</v>
      </c>
      <c r="C164">
        <v>5.1650740669270254</v>
      </c>
      <c r="D164">
        <v>507.74160000000012</v>
      </c>
      <c r="E164">
        <v>686.30274998091772</v>
      </c>
      <c r="F164">
        <v>187.07679999999999</v>
      </c>
      <c r="G164">
        <v>80.09920000000001</v>
      </c>
      <c r="H164">
        <v>8</v>
      </c>
      <c r="I164">
        <v>51</v>
      </c>
      <c r="J164">
        <v>5</v>
      </c>
      <c r="K164">
        <v>327</v>
      </c>
      <c r="L164">
        <v>62</v>
      </c>
      <c r="M164">
        <v>29</v>
      </c>
      <c r="N164">
        <v>1995</v>
      </c>
      <c r="O164">
        <v>0.27</v>
      </c>
      <c r="P164">
        <v>2.4700000000000002</v>
      </c>
      <c r="Q164">
        <v>1.4999999999999999E-2</v>
      </c>
      <c r="R164">
        <v>70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>
      <c r="A165">
        <v>411.81904752709119</v>
      </c>
      <c r="B165">
        <v>56</v>
      </c>
      <c r="C165">
        <v>5.1477380940886404</v>
      </c>
      <c r="D165">
        <v>478.73664000000002</v>
      </c>
      <c r="E165">
        <v>691.86297881566031</v>
      </c>
      <c r="F165">
        <v>186.08832000000001</v>
      </c>
      <c r="G165">
        <v>79.951679999999996</v>
      </c>
      <c r="H165">
        <v>9</v>
      </c>
      <c r="I165">
        <v>48</v>
      </c>
      <c r="J165">
        <v>4</v>
      </c>
      <c r="K165">
        <v>333</v>
      </c>
      <c r="L165">
        <v>63</v>
      </c>
      <c r="M165">
        <v>24</v>
      </c>
      <c r="N165">
        <v>1995</v>
      </c>
      <c r="O165">
        <v>0.27</v>
      </c>
      <c r="P165">
        <v>2.4700000000000002</v>
      </c>
      <c r="Q165">
        <v>1.4999999999999999E-2</v>
      </c>
      <c r="R165">
        <v>70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>
      <c r="A166">
        <v>411.42853844682782</v>
      </c>
      <c r="B166">
        <v>56.000000000000007</v>
      </c>
      <c r="C166">
        <v>5.1428567305853461</v>
      </c>
      <c r="D166">
        <v>460.76519999999999</v>
      </c>
      <c r="E166">
        <v>691.15352697095432</v>
      </c>
      <c r="F166">
        <v>188.0772</v>
      </c>
      <c r="G166">
        <v>79.860400000000013</v>
      </c>
      <c r="H166">
        <v>8</v>
      </c>
      <c r="I166">
        <v>52</v>
      </c>
      <c r="J166">
        <v>5</v>
      </c>
      <c r="K166">
        <v>98</v>
      </c>
      <c r="L166">
        <v>59</v>
      </c>
      <c r="M166">
        <v>8</v>
      </c>
      <c r="N166">
        <v>1995</v>
      </c>
      <c r="O166">
        <v>0.27</v>
      </c>
      <c r="P166">
        <v>2.4700000000000002</v>
      </c>
      <c r="Q166">
        <v>1.4999999999999999E-2</v>
      </c>
      <c r="R166">
        <v>70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>
      <c r="A167">
        <v>411.13755046775742</v>
      </c>
      <c r="B167">
        <v>56</v>
      </c>
      <c r="C167">
        <v>5.1392193808469679</v>
      </c>
      <c r="D167">
        <v>503.24400000000003</v>
      </c>
      <c r="E167">
        <v>689.87194465272944</v>
      </c>
      <c r="F167">
        <v>185.50800000000001</v>
      </c>
      <c r="G167">
        <v>79.775999999999996</v>
      </c>
      <c r="H167">
        <v>9</v>
      </c>
      <c r="I167">
        <v>48</v>
      </c>
      <c r="J167">
        <v>4</v>
      </c>
      <c r="K167">
        <v>124</v>
      </c>
      <c r="L167">
        <v>64</v>
      </c>
      <c r="M167">
        <v>23</v>
      </c>
      <c r="N167">
        <v>1995</v>
      </c>
      <c r="O167">
        <v>0.27</v>
      </c>
      <c r="P167">
        <v>2.4700000000000002</v>
      </c>
      <c r="Q167">
        <v>1.4999999999999999E-2</v>
      </c>
      <c r="R167">
        <v>70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>
      <c r="A168">
        <v>410.48102450408658</v>
      </c>
      <c r="B168">
        <v>56</v>
      </c>
      <c r="C168">
        <v>5.131012806301082</v>
      </c>
      <c r="D168">
        <v>470.57639999999998</v>
      </c>
      <c r="E168">
        <v>689.96346572129187</v>
      </c>
      <c r="F168">
        <v>183.1182</v>
      </c>
      <c r="G168">
        <v>79.650599999999997</v>
      </c>
      <c r="H168">
        <v>9</v>
      </c>
      <c r="I168">
        <v>47</v>
      </c>
      <c r="J168">
        <v>4</v>
      </c>
      <c r="K168">
        <v>85</v>
      </c>
      <c r="L168">
        <v>63</v>
      </c>
      <c r="M168">
        <v>25</v>
      </c>
      <c r="N168">
        <v>1995</v>
      </c>
      <c r="O168">
        <v>0.27</v>
      </c>
      <c r="P168">
        <v>2.4700000000000002</v>
      </c>
      <c r="Q168">
        <v>1.4999999999999999E-2</v>
      </c>
      <c r="R168">
        <v>70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>
      <c r="A169">
        <v>410.44471352590978</v>
      </c>
      <c r="B169">
        <v>56.000000000000007</v>
      </c>
      <c r="C169">
        <v>5.1305589190738727</v>
      </c>
      <c r="D169">
        <v>652.36099999999999</v>
      </c>
      <c r="E169">
        <v>682.42433591677911</v>
      </c>
      <c r="F169">
        <v>183.93039999999999</v>
      </c>
      <c r="G169">
        <v>79.479600000000005</v>
      </c>
      <c r="H169">
        <v>8</v>
      </c>
      <c r="I169">
        <v>50</v>
      </c>
      <c r="J169">
        <v>5</v>
      </c>
      <c r="K169">
        <v>148</v>
      </c>
      <c r="L169">
        <v>63</v>
      </c>
      <c r="M169">
        <v>29</v>
      </c>
      <c r="N169">
        <v>1995</v>
      </c>
      <c r="O169">
        <v>0.27</v>
      </c>
      <c r="P169">
        <v>2.4700000000000002</v>
      </c>
      <c r="Q169">
        <v>1.4999999999999999E-2</v>
      </c>
      <c r="R169">
        <v>70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>
      <c r="A170">
        <v>409.46087112263677</v>
      </c>
      <c r="B170">
        <v>56.000000000000007</v>
      </c>
      <c r="C170">
        <v>5.1182608890329604</v>
      </c>
      <c r="D170">
        <v>547.99739999999997</v>
      </c>
      <c r="E170">
        <v>682.76514522821583</v>
      </c>
      <c r="F170">
        <v>184.19148000000001</v>
      </c>
      <c r="G170">
        <v>79.296480000000017</v>
      </c>
      <c r="H170">
        <v>9</v>
      </c>
      <c r="I170">
        <v>66</v>
      </c>
      <c r="J170">
        <v>3</v>
      </c>
      <c r="K170">
        <v>112</v>
      </c>
      <c r="L170">
        <v>46</v>
      </c>
      <c r="M170">
        <v>3</v>
      </c>
      <c r="N170">
        <v>1995</v>
      </c>
      <c r="O170">
        <v>0.27</v>
      </c>
      <c r="P170">
        <v>2.4700000000000002</v>
      </c>
      <c r="Q170">
        <v>1.4999999999999999E-2</v>
      </c>
      <c r="R170">
        <v>70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>
      <c r="A171">
        <v>409.1174028981755</v>
      </c>
      <c r="B171">
        <v>56</v>
      </c>
      <c r="C171">
        <v>5.1139675362271939</v>
      </c>
      <c r="D171">
        <v>497.71199999999999</v>
      </c>
      <c r="E171">
        <v>689.96346572129187</v>
      </c>
      <c r="F171">
        <v>183.29400000000001</v>
      </c>
      <c r="G171">
        <v>79.385999999999996</v>
      </c>
      <c r="H171">
        <v>9</v>
      </c>
      <c r="I171">
        <v>47</v>
      </c>
      <c r="J171">
        <v>4</v>
      </c>
      <c r="K171">
        <v>41</v>
      </c>
      <c r="L171">
        <v>63</v>
      </c>
      <c r="M171">
        <v>25</v>
      </c>
      <c r="N171">
        <v>1995</v>
      </c>
      <c r="O171">
        <v>0.27</v>
      </c>
      <c r="P171">
        <v>2.4700000000000002</v>
      </c>
      <c r="Q171">
        <v>1.4999999999999999E-2</v>
      </c>
      <c r="R171">
        <v>70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>
      <c r="A172">
        <v>408.27868473519612</v>
      </c>
      <c r="B172">
        <v>56.000000000000007</v>
      </c>
      <c r="C172">
        <v>5.1034835591899501</v>
      </c>
      <c r="D172">
        <v>505.07567999999998</v>
      </c>
      <c r="E172">
        <v>685.32719275908278</v>
      </c>
      <c r="F172">
        <v>184.88779199999999</v>
      </c>
      <c r="G172">
        <v>79.122959999999992</v>
      </c>
      <c r="H172">
        <v>9</v>
      </c>
      <c r="I172">
        <v>48</v>
      </c>
      <c r="J172">
        <v>4</v>
      </c>
      <c r="K172">
        <v>125</v>
      </c>
      <c r="L172">
        <v>65</v>
      </c>
      <c r="M172">
        <v>22</v>
      </c>
      <c r="N172">
        <v>1995</v>
      </c>
      <c r="O172">
        <v>0.27</v>
      </c>
      <c r="P172">
        <v>2.4700000000000002</v>
      </c>
      <c r="Q172">
        <v>1.4999999999999999E-2</v>
      </c>
      <c r="R172">
        <v>70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>
      <c r="A173">
        <v>382.6001319827605</v>
      </c>
      <c r="B173">
        <v>52.500000000000007</v>
      </c>
      <c r="C173">
        <v>5.1013350931034722</v>
      </c>
      <c r="D173">
        <v>399.55392000000001</v>
      </c>
      <c r="E173">
        <v>687.90873293569268</v>
      </c>
      <c r="F173">
        <v>213.07391999999999</v>
      </c>
      <c r="G173">
        <v>74.198880000000003</v>
      </c>
      <c r="H173">
        <v>22</v>
      </c>
      <c r="I173">
        <v>56</v>
      </c>
      <c r="J173">
        <v>3</v>
      </c>
      <c r="K173">
        <v>133</v>
      </c>
      <c r="L173">
        <v>57</v>
      </c>
      <c r="M173">
        <v>28</v>
      </c>
      <c r="N173">
        <v>1995</v>
      </c>
      <c r="O173">
        <v>0.27</v>
      </c>
      <c r="P173">
        <v>2.4700000000000002</v>
      </c>
      <c r="Q173">
        <v>1.4999999999999999E-2</v>
      </c>
      <c r="R173">
        <v>70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>
      <c r="A174">
        <v>391.51148823479122</v>
      </c>
      <c r="B174">
        <v>53.735294117647058</v>
      </c>
      <c r="C174">
        <v>5.1001496551658638</v>
      </c>
      <c r="D174">
        <v>461.04399999999998</v>
      </c>
      <c r="E174">
        <v>689.05662947898975</v>
      </c>
      <c r="F174">
        <v>217.49415999999999</v>
      </c>
      <c r="G174">
        <v>75.95089999999999</v>
      </c>
      <c r="H174">
        <v>22</v>
      </c>
      <c r="I174">
        <v>57</v>
      </c>
      <c r="J174">
        <v>3</v>
      </c>
      <c r="K174">
        <v>77</v>
      </c>
      <c r="L174">
        <v>56</v>
      </c>
      <c r="M174">
        <v>40</v>
      </c>
      <c r="N174">
        <v>1995</v>
      </c>
      <c r="O174">
        <v>0.27</v>
      </c>
      <c r="P174">
        <v>2.4700000000000002</v>
      </c>
      <c r="Q174">
        <v>1.4999999999999999E-2</v>
      </c>
      <c r="R174">
        <v>70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>
      <c r="A175">
        <v>392.35075625726131</v>
      </c>
      <c r="B175">
        <v>53.858208955223901</v>
      </c>
      <c r="C175">
        <v>5.0994181705599413</v>
      </c>
      <c r="D175">
        <v>460.11887999999999</v>
      </c>
      <c r="E175">
        <v>690.0954299118232</v>
      </c>
      <c r="F175">
        <v>216.7771248</v>
      </c>
      <c r="G175">
        <v>76.135308000000009</v>
      </c>
      <c r="H175">
        <v>22</v>
      </c>
      <c r="I175">
        <v>57</v>
      </c>
      <c r="J175">
        <v>3</v>
      </c>
      <c r="K175">
        <v>316</v>
      </c>
      <c r="L175">
        <v>56</v>
      </c>
      <c r="M175">
        <v>34</v>
      </c>
      <c r="N175">
        <v>1995</v>
      </c>
      <c r="O175">
        <v>0.27</v>
      </c>
      <c r="P175">
        <v>2.4700000000000002</v>
      </c>
      <c r="Q175">
        <v>1.4999999999999999E-2</v>
      </c>
      <c r="R175">
        <v>70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>
      <c r="A176">
        <v>391.30942018373707</v>
      </c>
      <c r="B176">
        <v>53.735294117647058</v>
      </c>
      <c r="C176">
        <v>5.0975173510525149</v>
      </c>
      <c r="D176">
        <v>460.93200000000002</v>
      </c>
      <c r="E176">
        <v>689.05662947898975</v>
      </c>
      <c r="F176">
        <v>217.45607999999999</v>
      </c>
      <c r="G176">
        <v>75.911699999999996</v>
      </c>
      <c r="H176">
        <v>22</v>
      </c>
      <c r="I176">
        <v>57</v>
      </c>
      <c r="J176">
        <v>3</v>
      </c>
      <c r="K176">
        <v>312</v>
      </c>
      <c r="L176">
        <v>56</v>
      </c>
      <c r="M176">
        <v>40</v>
      </c>
      <c r="N176">
        <v>1995</v>
      </c>
      <c r="O176">
        <v>0.27</v>
      </c>
      <c r="P176">
        <v>2.4700000000000002</v>
      </c>
      <c r="Q176">
        <v>1.4999999999999999E-2</v>
      </c>
      <c r="R176">
        <v>70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>
      <c r="A177">
        <v>407.66703126822262</v>
      </c>
      <c r="B177">
        <v>56.000000000000007</v>
      </c>
      <c r="C177">
        <v>5.0958378908527813</v>
      </c>
      <c r="D177">
        <v>437.96532999999999</v>
      </c>
      <c r="E177">
        <v>690.06639004149383</v>
      </c>
      <c r="F177">
        <v>181.00933000000001</v>
      </c>
      <c r="G177">
        <v>79.106790000000004</v>
      </c>
      <c r="H177">
        <v>8</v>
      </c>
      <c r="I177">
        <v>49</v>
      </c>
      <c r="J177">
        <v>5</v>
      </c>
      <c r="K177">
        <v>62</v>
      </c>
      <c r="L177">
        <v>63</v>
      </c>
      <c r="M177">
        <v>29</v>
      </c>
      <c r="N177">
        <v>1995</v>
      </c>
      <c r="O177">
        <v>0.27</v>
      </c>
      <c r="P177">
        <v>2.4700000000000002</v>
      </c>
      <c r="Q177">
        <v>1.4999999999999999E-2</v>
      </c>
      <c r="R177">
        <v>70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>
      <c r="A178">
        <v>406.77301714240963</v>
      </c>
      <c r="B178">
        <v>56</v>
      </c>
      <c r="C178">
        <v>5.0846627142801202</v>
      </c>
      <c r="D178">
        <v>556.21100000000001</v>
      </c>
      <c r="E178">
        <v>689.40248962655596</v>
      </c>
      <c r="F178">
        <v>186.66300000000001</v>
      </c>
      <c r="G178">
        <v>78.918999999999997</v>
      </c>
      <c r="H178">
        <v>6</v>
      </c>
      <c r="I178">
        <v>52</v>
      </c>
      <c r="J178">
        <v>7</v>
      </c>
      <c r="K178">
        <v>111</v>
      </c>
      <c r="L178">
        <v>55</v>
      </c>
      <c r="M178">
        <v>11</v>
      </c>
      <c r="N178">
        <v>1995</v>
      </c>
      <c r="O178">
        <v>0.27</v>
      </c>
      <c r="P178">
        <v>2.4700000000000002</v>
      </c>
      <c r="Q178">
        <v>1.4999999999999999E-2</v>
      </c>
      <c r="R178">
        <v>70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>
      <c r="A179">
        <v>405.87943981254892</v>
      </c>
      <c r="B179">
        <v>56</v>
      </c>
      <c r="C179">
        <v>5.073492997656861</v>
      </c>
      <c r="D179">
        <v>415.92729000000003</v>
      </c>
      <c r="E179">
        <v>689.11535269709543</v>
      </c>
      <c r="F179">
        <v>174.70329000000001</v>
      </c>
      <c r="G179">
        <v>78.739460000000008</v>
      </c>
      <c r="H179">
        <v>8</v>
      </c>
      <c r="I179">
        <v>46</v>
      </c>
      <c r="J179">
        <v>5</v>
      </c>
      <c r="K179">
        <v>155</v>
      </c>
      <c r="L179">
        <v>58</v>
      </c>
      <c r="M179">
        <v>49</v>
      </c>
      <c r="N179">
        <v>1995</v>
      </c>
      <c r="O179">
        <v>0.27</v>
      </c>
      <c r="P179">
        <v>2.4700000000000002</v>
      </c>
      <c r="Q179">
        <v>1.4999999999999999E-2</v>
      </c>
      <c r="R179">
        <v>70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>
      <c r="A180">
        <v>420.64162389524807</v>
      </c>
      <c r="B180">
        <v>58.100000000000009</v>
      </c>
      <c r="C180">
        <v>5.0679713722319049</v>
      </c>
      <c r="D180">
        <v>507.05599999999998</v>
      </c>
      <c r="E180">
        <v>689.66804979253106</v>
      </c>
      <c r="F180">
        <v>195.84399999999999</v>
      </c>
      <c r="G180">
        <v>81.615600000000001</v>
      </c>
      <c r="H180">
        <v>8</v>
      </c>
      <c r="I180">
        <v>55</v>
      </c>
      <c r="J180">
        <v>5</v>
      </c>
      <c r="K180">
        <v>91</v>
      </c>
      <c r="L180">
        <v>55</v>
      </c>
      <c r="M180">
        <v>7</v>
      </c>
      <c r="N180">
        <v>1995</v>
      </c>
      <c r="O180">
        <v>0.27</v>
      </c>
      <c r="P180">
        <v>2.4700000000000002</v>
      </c>
      <c r="Q180">
        <v>1.4999999999999999E-2</v>
      </c>
      <c r="R180">
        <v>70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>
      <c r="A181">
        <v>405.1921319617166</v>
      </c>
      <c r="B181">
        <v>56</v>
      </c>
      <c r="C181">
        <v>5.0649016495214578</v>
      </c>
      <c r="D181">
        <v>476.58168000000012</v>
      </c>
      <c r="E181">
        <v>691.792531120332</v>
      </c>
      <c r="F181">
        <v>184.80204000000001</v>
      </c>
      <c r="G181">
        <v>78.663600000000002</v>
      </c>
      <c r="H181">
        <v>8</v>
      </c>
      <c r="I181">
        <v>51</v>
      </c>
      <c r="J181">
        <v>5</v>
      </c>
      <c r="K181">
        <v>278</v>
      </c>
      <c r="L181">
        <v>60</v>
      </c>
      <c r="M181">
        <v>9</v>
      </c>
      <c r="N181">
        <v>1995</v>
      </c>
      <c r="O181">
        <v>0.27</v>
      </c>
      <c r="P181">
        <v>2.4700000000000002</v>
      </c>
      <c r="Q181">
        <v>1.4999999999999999E-2</v>
      </c>
      <c r="R181">
        <v>70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>
      <c r="A182">
        <v>405.02535225297771</v>
      </c>
      <c r="B182">
        <v>56</v>
      </c>
      <c r="C182">
        <v>5.0628169031622221</v>
      </c>
      <c r="D182">
        <v>477.76848000000012</v>
      </c>
      <c r="E182">
        <v>691.62377247295126</v>
      </c>
      <c r="F182">
        <v>185.18567999999999</v>
      </c>
      <c r="G182">
        <v>78.627600000000001</v>
      </c>
      <c r="H182">
        <v>8</v>
      </c>
      <c r="I182">
        <v>65</v>
      </c>
      <c r="J182">
        <v>4</v>
      </c>
      <c r="K182">
        <v>47</v>
      </c>
      <c r="L182">
        <v>44</v>
      </c>
      <c r="M182">
        <v>3</v>
      </c>
      <c r="N182">
        <v>1995</v>
      </c>
      <c r="O182">
        <v>0.27</v>
      </c>
      <c r="P182">
        <v>2.4700000000000002</v>
      </c>
      <c r="Q182">
        <v>1.4999999999999999E-2</v>
      </c>
      <c r="R182">
        <v>70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>
      <c r="A183">
        <v>412.98650544917791</v>
      </c>
      <c r="B183">
        <v>57.235294117647072</v>
      </c>
      <c r="C183">
        <v>5.0509140954216001</v>
      </c>
      <c r="D183">
        <v>501.81164999999999</v>
      </c>
      <c r="E183">
        <v>690.56447827461841</v>
      </c>
      <c r="F183">
        <v>185.53436099999999</v>
      </c>
      <c r="G183">
        <v>80.149919999999995</v>
      </c>
      <c r="H183">
        <v>9</v>
      </c>
      <c r="I183">
        <v>48</v>
      </c>
      <c r="J183">
        <v>4</v>
      </c>
      <c r="K183">
        <v>77</v>
      </c>
      <c r="L183">
        <v>64</v>
      </c>
      <c r="M183">
        <v>33</v>
      </c>
      <c r="N183">
        <v>1995</v>
      </c>
      <c r="O183">
        <v>0.27</v>
      </c>
      <c r="P183">
        <v>2.4700000000000002</v>
      </c>
      <c r="Q183">
        <v>1.4999999999999999E-2</v>
      </c>
      <c r="R183">
        <v>70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>
      <c r="A184">
        <v>403.99954274106761</v>
      </c>
      <c r="B184">
        <v>56</v>
      </c>
      <c r="C184">
        <v>5.0499942842633443</v>
      </c>
      <c r="D184">
        <v>453.74448000000012</v>
      </c>
      <c r="E184">
        <v>690.46054746665448</v>
      </c>
      <c r="F184">
        <v>185.25167999999999</v>
      </c>
      <c r="G184">
        <v>78.403559999999999</v>
      </c>
      <c r="H184">
        <v>8</v>
      </c>
      <c r="I184">
        <v>64</v>
      </c>
      <c r="J184">
        <v>4</v>
      </c>
      <c r="K184">
        <v>118</v>
      </c>
      <c r="L184">
        <v>45</v>
      </c>
      <c r="M184">
        <v>3</v>
      </c>
      <c r="N184">
        <v>1995</v>
      </c>
      <c r="O184">
        <v>0.27</v>
      </c>
      <c r="P184">
        <v>2.4700000000000002</v>
      </c>
      <c r="Q184">
        <v>1.4999999999999999E-2</v>
      </c>
      <c r="R184">
        <v>70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>
      <c r="A185">
        <v>412.79606257360911</v>
      </c>
      <c r="B185">
        <v>57.235294117647072</v>
      </c>
      <c r="C185">
        <v>5.048584937950614</v>
      </c>
      <c r="D185">
        <v>501.70769999999999</v>
      </c>
      <c r="E185">
        <v>690.56447827461841</v>
      </c>
      <c r="F185">
        <v>185.49901800000001</v>
      </c>
      <c r="G185">
        <v>80.112959999999987</v>
      </c>
      <c r="H185">
        <v>9</v>
      </c>
      <c r="I185">
        <v>48</v>
      </c>
      <c r="J185">
        <v>4</v>
      </c>
      <c r="K185">
        <v>312</v>
      </c>
      <c r="L185">
        <v>64</v>
      </c>
      <c r="M185">
        <v>33</v>
      </c>
      <c r="N185">
        <v>1995</v>
      </c>
      <c r="O185">
        <v>0.27</v>
      </c>
      <c r="P185">
        <v>2.4700000000000002</v>
      </c>
      <c r="Q185">
        <v>1.4999999999999999E-2</v>
      </c>
      <c r="R185">
        <v>70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>
      <c r="A186">
        <v>403.63089962244061</v>
      </c>
      <c r="B186">
        <v>56</v>
      </c>
      <c r="C186">
        <v>5.0453862452805067</v>
      </c>
      <c r="D186">
        <v>493.15199999999999</v>
      </c>
      <c r="E186">
        <v>686.14381130819243</v>
      </c>
      <c r="F186">
        <v>177.5763</v>
      </c>
      <c r="G186">
        <v>78.239700000000013</v>
      </c>
      <c r="H186">
        <v>53</v>
      </c>
      <c r="I186">
        <v>55</v>
      </c>
      <c r="J186">
        <v>11</v>
      </c>
      <c r="K186">
        <v>148</v>
      </c>
      <c r="L186">
        <v>58</v>
      </c>
      <c r="M186">
        <v>33</v>
      </c>
      <c r="N186">
        <v>1995</v>
      </c>
      <c r="O186">
        <v>0.27</v>
      </c>
      <c r="P186">
        <v>2.4700000000000002</v>
      </c>
      <c r="Q186">
        <v>1.4999999999999999E-2</v>
      </c>
      <c r="R186">
        <v>70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>
      <c r="A187">
        <v>469.06911529153223</v>
      </c>
      <c r="B187">
        <v>65.100000000000009</v>
      </c>
      <c r="C187">
        <v>5.0437539278659376</v>
      </c>
      <c r="D187">
        <v>445.04</v>
      </c>
      <c r="E187">
        <v>686.88796680497933</v>
      </c>
      <c r="F187">
        <v>155.94399999999999</v>
      </c>
      <c r="G187">
        <v>90.942719999999994</v>
      </c>
      <c r="H187">
        <v>39</v>
      </c>
      <c r="I187">
        <v>57</v>
      </c>
      <c r="J187">
        <v>10</v>
      </c>
      <c r="K187">
        <v>91</v>
      </c>
      <c r="L187">
        <v>56</v>
      </c>
      <c r="M187">
        <v>7</v>
      </c>
      <c r="N187">
        <v>1995</v>
      </c>
      <c r="O187">
        <v>0.27</v>
      </c>
      <c r="P187">
        <v>2.4700000000000002</v>
      </c>
      <c r="Q187">
        <v>1.4999999999999999E-2</v>
      </c>
      <c r="R187">
        <v>70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>
      <c r="A188">
        <v>403.44708561736081</v>
      </c>
      <c r="B188">
        <v>56</v>
      </c>
      <c r="C188">
        <v>5.0430885702170096</v>
      </c>
      <c r="D188">
        <v>474.72480000000002</v>
      </c>
      <c r="E188">
        <v>690.25726141078849</v>
      </c>
      <c r="F188">
        <v>184.08240000000001</v>
      </c>
      <c r="G188">
        <v>78.292000000000002</v>
      </c>
      <c r="H188">
        <v>9</v>
      </c>
      <c r="I188">
        <v>48</v>
      </c>
      <c r="J188">
        <v>4</v>
      </c>
      <c r="K188">
        <v>178</v>
      </c>
      <c r="L188">
        <v>65</v>
      </c>
      <c r="M188">
        <v>2</v>
      </c>
      <c r="N188">
        <v>1995</v>
      </c>
      <c r="O188">
        <v>0.27</v>
      </c>
      <c r="P188">
        <v>2.4700000000000002</v>
      </c>
      <c r="Q188">
        <v>1.4999999999999999E-2</v>
      </c>
      <c r="R188">
        <v>70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>
      <c r="A189">
        <v>403.13918714582002</v>
      </c>
      <c r="B189">
        <v>56.000000000000007</v>
      </c>
      <c r="C189">
        <v>5.0392398393227502</v>
      </c>
      <c r="D189">
        <v>444.91680000000002</v>
      </c>
      <c r="E189">
        <v>691.56016597510381</v>
      </c>
      <c r="F189">
        <v>182.71680000000001</v>
      </c>
      <c r="G189">
        <v>78.260080000000016</v>
      </c>
      <c r="H189">
        <v>8</v>
      </c>
      <c r="I189">
        <v>50</v>
      </c>
      <c r="J189">
        <v>5</v>
      </c>
      <c r="K189">
        <v>61</v>
      </c>
      <c r="L189">
        <v>61</v>
      </c>
      <c r="M189">
        <v>13</v>
      </c>
      <c r="N189">
        <v>1995</v>
      </c>
      <c r="O189">
        <v>0.27</v>
      </c>
      <c r="P189">
        <v>2.4700000000000002</v>
      </c>
      <c r="Q189">
        <v>1.4999999999999999E-2</v>
      </c>
      <c r="R189">
        <v>70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>
      <c r="A190">
        <v>403.04130107101457</v>
      </c>
      <c r="B190">
        <v>56</v>
      </c>
      <c r="C190">
        <v>5.038016263387683</v>
      </c>
      <c r="D190">
        <v>474.48</v>
      </c>
      <c r="E190">
        <v>689.39682841050421</v>
      </c>
      <c r="F190">
        <v>178.27776</v>
      </c>
      <c r="G190">
        <v>78.194879999999998</v>
      </c>
      <c r="H190">
        <v>6</v>
      </c>
      <c r="I190">
        <v>57</v>
      </c>
      <c r="J190">
        <v>6</v>
      </c>
      <c r="K190">
        <v>165</v>
      </c>
      <c r="L190">
        <v>56</v>
      </c>
      <c r="M190">
        <v>24</v>
      </c>
      <c r="N190">
        <v>1995</v>
      </c>
      <c r="O190">
        <v>0.27</v>
      </c>
      <c r="P190">
        <v>2.4700000000000002</v>
      </c>
      <c r="Q190">
        <v>1.4999999999999999E-2</v>
      </c>
      <c r="R190">
        <v>70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>
      <c r="A191">
        <v>404.39821195366937</v>
      </c>
      <c r="B191">
        <v>56.190909090909088</v>
      </c>
      <c r="C191">
        <v>5.0378033199211352</v>
      </c>
      <c r="D191">
        <v>463.98239999999998</v>
      </c>
      <c r="E191">
        <v>685.75767634854765</v>
      </c>
      <c r="F191">
        <v>180.6</v>
      </c>
      <c r="G191">
        <v>78.380162000000013</v>
      </c>
      <c r="H191">
        <v>8</v>
      </c>
      <c r="I191">
        <v>49</v>
      </c>
      <c r="J191">
        <v>5</v>
      </c>
      <c r="K191">
        <v>113</v>
      </c>
      <c r="L191">
        <v>61</v>
      </c>
      <c r="M191">
        <v>26</v>
      </c>
      <c r="N191">
        <v>1995</v>
      </c>
      <c r="O191">
        <v>0.27</v>
      </c>
      <c r="P191">
        <v>2.4700000000000002</v>
      </c>
      <c r="Q191">
        <v>1.4999999999999999E-2</v>
      </c>
      <c r="R191">
        <v>70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>
      <c r="A192">
        <v>377.5680638291638</v>
      </c>
      <c r="B192">
        <v>52.5</v>
      </c>
      <c r="C192">
        <v>5.0342408510555181</v>
      </c>
      <c r="D192">
        <v>421.49207999999999</v>
      </c>
      <c r="E192">
        <v>692.39004149377593</v>
      </c>
      <c r="F192">
        <v>210.74603999999999</v>
      </c>
      <c r="G192">
        <v>73.312644000000006</v>
      </c>
      <c r="H192">
        <v>22</v>
      </c>
      <c r="I192">
        <v>56</v>
      </c>
      <c r="J192">
        <v>3</v>
      </c>
      <c r="K192">
        <v>331</v>
      </c>
      <c r="L192">
        <v>57</v>
      </c>
      <c r="M192">
        <v>11</v>
      </c>
      <c r="N192">
        <v>1995</v>
      </c>
      <c r="O192">
        <v>0.27</v>
      </c>
      <c r="P192">
        <v>2.4700000000000002</v>
      </c>
      <c r="Q192">
        <v>1.4999999999999999E-2</v>
      </c>
      <c r="R192">
        <v>70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>
      <c r="A193">
        <v>411.66489362647968</v>
      </c>
      <c r="B193">
        <v>57.358208955223901</v>
      </c>
      <c r="C193">
        <v>5.0239613611974736</v>
      </c>
      <c r="D193">
        <v>503.07983999999999</v>
      </c>
      <c r="E193">
        <v>688.74657751715972</v>
      </c>
      <c r="F193">
        <v>185.5813464</v>
      </c>
      <c r="G193">
        <v>79.853778000000005</v>
      </c>
      <c r="H193">
        <v>9</v>
      </c>
      <c r="I193">
        <v>48</v>
      </c>
      <c r="J193">
        <v>4</v>
      </c>
      <c r="K193">
        <v>316</v>
      </c>
      <c r="L193">
        <v>63</v>
      </c>
      <c r="M193">
        <v>28</v>
      </c>
      <c r="N193">
        <v>1995</v>
      </c>
      <c r="O193">
        <v>0.27</v>
      </c>
      <c r="P193">
        <v>2.4700000000000002</v>
      </c>
      <c r="Q193">
        <v>1.4999999999999999E-2</v>
      </c>
      <c r="R193">
        <v>70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>
      <c r="A194">
        <v>376.73273769694453</v>
      </c>
      <c r="B194">
        <v>52.500000000000007</v>
      </c>
      <c r="C194">
        <v>5.0231031692925932</v>
      </c>
      <c r="D194">
        <v>396.54719999999998</v>
      </c>
      <c r="E194">
        <v>692.7834024896265</v>
      </c>
      <c r="F194">
        <v>210.06720000000001</v>
      </c>
      <c r="G194">
        <v>73.158299999999997</v>
      </c>
      <c r="H194">
        <v>22</v>
      </c>
      <c r="I194">
        <v>59</v>
      </c>
      <c r="J194">
        <v>3</v>
      </c>
      <c r="K194">
        <v>134</v>
      </c>
      <c r="L194">
        <v>53</v>
      </c>
      <c r="M194">
        <v>2</v>
      </c>
      <c r="N194">
        <v>1995</v>
      </c>
      <c r="O194">
        <v>0.27</v>
      </c>
      <c r="P194">
        <v>2.4700000000000002</v>
      </c>
      <c r="Q194">
        <v>1.4999999999999999E-2</v>
      </c>
      <c r="R194">
        <v>70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>
      <c r="A195">
        <v>400.88495848766343</v>
      </c>
      <c r="B195">
        <v>56</v>
      </c>
      <c r="C195">
        <v>5.0110619810957928</v>
      </c>
      <c r="D195">
        <v>475.29599999999999</v>
      </c>
      <c r="E195">
        <v>690.87873292110316</v>
      </c>
      <c r="F195">
        <v>184.36799999999999</v>
      </c>
      <c r="G195">
        <v>77.808000000000007</v>
      </c>
      <c r="H195">
        <v>9</v>
      </c>
      <c r="I195">
        <v>48</v>
      </c>
      <c r="J195">
        <v>4</v>
      </c>
      <c r="K195">
        <v>181</v>
      </c>
      <c r="L195">
        <v>56</v>
      </c>
      <c r="M195">
        <v>2</v>
      </c>
      <c r="N195">
        <v>1995</v>
      </c>
      <c r="O195">
        <v>0.27</v>
      </c>
      <c r="P195">
        <v>2.4700000000000002</v>
      </c>
      <c r="Q195">
        <v>1.4999999999999999E-2</v>
      </c>
      <c r="R195">
        <v>70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>
      <c r="A196">
        <v>400.84405951250812</v>
      </c>
      <c r="B196">
        <v>56</v>
      </c>
      <c r="C196">
        <v>5.010550743906351</v>
      </c>
      <c r="D196">
        <v>477.76848000000012</v>
      </c>
      <c r="E196">
        <v>690.33717191146445</v>
      </c>
      <c r="F196">
        <v>185.18567999999999</v>
      </c>
      <c r="G196">
        <v>77.788560000000004</v>
      </c>
      <c r="H196">
        <v>8</v>
      </c>
      <c r="I196">
        <v>64</v>
      </c>
      <c r="J196">
        <v>4</v>
      </c>
      <c r="K196">
        <v>180</v>
      </c>
      <c r="L196">
        <v>44</v>
      </c>
      <c r="M196">
        <v>3</v>
      </c>
      <c r="N196">
        <v>1995</v>
      </c>
      <c r="O196">
        <v>0.27</v>
      </c>
      <c r="P196">
        <v>2.4700000000000002</v>
      </c>
      <c r="Q196">
        <v>1.4999999999999999E-2</v>
      </c>
      <c r="R196">
        <v>70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>
      <c r="A197">
        <v>375.62219760329413</v>
      </c>
      <c r="B197">
        <v>52.500000000000007</v>
      </c>
      <c r="C197">
        <v>5.008295968043921</v>
      </c>
      <c r="D197">
        <v>440.8476</v>
      </c>
      <c r="E197">
        <v>690.51014188959925</v>
      </c>
      <c r="F197">
        <v>206.88919999999999</v>
      </c>
      <c r="G197">
        <v>72.89739999999999</v>
      </c>
      <c r="H197">
        <v>22</v>
      </c>
      <c r="I197">
        <v>54</v>
      </c>
      <c r="J197">
        <v>3</v>
      </c>
      <c r="K197">
        <v>327</v>
      </c>
      <c r="L197">
        <v>59</v>
      </c>
      <c r="M197">
        <v>32</v>
      </c>
      <c r="N197">
        <v>1995</v>
      </c>
      <c r="O197">
        <v>0.27</v>
      </c>
      <c r="P197">
        <v>2.4700000000000002</v>
      </c>
      <c r="Q197">
        <v>1.4999999999999999E-2</v>
      </c>
      <c r="R197">
        <v>70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>
      <c r="A198">
        <v>400.53908946089382</v>
      </c>
      <c r="B198">
        <v>56.000000000000007</v>
      </c>
      <c r="C198">
        <v>5.0067386182611724</v>
      </c>
      <c r="D198">
        <v>453.64548000000002</v>
      </c>
      <c r="E198">
        <v>691.57092746336446</v>
      </c>
      <c r="F198">
        <v>185.15268</v>
      </c>
      <c r="G198">
        <v>77.755560000000017</v>
      </c>
      <c r="H198">
        <v>8</v>
      </c>
      <c r="I198">
        <v>64</v>
      </c>
      <c r="J198">
        <v>4</v>
      </c>
      <c r="K198">
        <v>123</v>
      </c>
      <c r="L198">
        <v>45</v>
      </c>
      <c r="M198">
        <v>3</v>
      </c>
      <c r="N198">
        <v>1995</v>
      </c>
      <c r="O198">
        <v>0.27</v>
      </c>
      <c r="P198">
        <v>2.4700000000000002</v>
      </c>
      <c r="Q198">
        <v>1.4999999999999999E-2</v>
      </c>
      <c r="R198">
        <v>70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>
      <c r="A199">
        <v>415.27989413167847</v>
      </c>
      <c r="B199">
        <v>58.074074074074083</v>
      </c>
      <c r="C199">
        <v>5.0056058667657686</v>
      </c>
      <c r="D199">
        <v>449.56295999999998</v>
      </c>
      <c r="E199">
        <v>688.72352598957434</v>
      </c>
      <c r="F199">
        <v>186.25842</v>
      </c>
      <c r="G199">
        <v>80.554500000000004</v>
      </c>
      <c r="H199">
        <v>8</v>
      </c>
      <c r="I199">
        <v>51</v>
      </c>
      <c r="J199">
        <v>5</v>
      </c>
      <c r="K199">
        <v>154</v>
      </c>
      <c r="L199">
        <v>61</v>
      </c>
      <c r="M199">
        <v>29</v>
      </c>
      <c r="N199">
        <v>1995</v>
      </c>
      <c r="O199">
        <v>0.27</v>
      </c>
      <c r="P199">
        <v>2.4700000000000002</v>
      </c>
      <c r="Q199">
        <v>1.4999999999999999E-2</v>
      </c>
      <c r="R199">
        <v>70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>
      <c r="A200">
        <v>399.60009638301341</v>
      </c>
      <c r="B200">
        <v>56.000000000000007</v>
      </c>
      <c r="C200">
        <v>4.9950012047876662</v>
      </c>
      <c r="D200">
        <v>482.29079999999999</v>
      </c>
      <c r="E200">
        <v>689.64976358991123</v>
      </c>
      <c r="F200">
        <v>186.6078</v>
      </c>
      <c r="G200">
        <v>77.532600000000002</v>
      </c>
      <c r="H200">
        <v>8</v>
      </c>
      <c r="I200">
        <v>52</v>
      </c>
      <c r="J200">
        <v>5</v>
      </c>
      <c r="K200">
        <v>179</v>
      </c>
      <c r="L200">
        <v>50</v>
      </c>
      <c r="M200">
        <v>3</v>
      </c>
      <c r="N200">
        <v>1995</v>
      </c>
      <c r="O200">
        <v>0.27</v>
      </c>
      <c r="P200">
        <v>2.4700000000000002</v>
      </c>
      <c r="Q200">
        <v>1.4999999999999999E-2</v>
      </c>
      <c r="R200">
        <v>70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>
      <c r="A201">
        <v>373.50105692395272</v>
      </c>
      <c r="B201">
        <v>52.5</v>
      </c>
      <c r="C201">
        <v>4.9800140923193688</v>
      </c>
      <c r="D201">
        <v>396.67680000000001</v>
      </c>
      <c r="E201">
        <v>688.24896265560164</v>
      </c>
      <c r="F201">
        <v>210.1968</v>
      </c>
      <c r="G201">
        <v>72.441000000000003</v>
      </c>
      <c r="H201">
        <v>22</v>
      </c>
      <c r="I201">
        <v>58</v>
      </c>
      <c r="J201">
        <v>3</v>
      </c>
      <c r="K201">
        <v>130</v>
      </c>
      <c r="L201">
        <v>55</v>
      </c>
      <c r="M201">
        <v>2</v>
      </c>
      <c r="N201">
        <v>1995</v>
      </c>
      <c r="O201">
        <v>0.27</v>
      </c>
      <c r="P201">
        <v>2.4700000000000002</v>
      </c>
      <c r="Q201">
        <v>1.4999999999999999E-2</v>
      </c>
      <c r="R201">
        <v>70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>
      <c r="A202">
        <v>373.397809707948</v>
      </c>
      <c r="B202">
        <v>52.5</v>
      </c>
      <c r="C202">
        <v>4.9786374627726406</v>
      </c>
      <c r="D202">
        <v>421.14</v>
      </c>
      <c r="E202">
        <v>685.92513373364113</v>
      </c>
      <c r="F202">
        <v>210.57</v>
      </c>
      <c r="G202">
        <v>72.375</v>
      </c>
      <c r="H202">
        <v>22</v>
      </c>
      <c r="I202">
        <v>58</v>
      </c>
      <c r="J202">
        <v>3</v>
      </c>
      <c r="K202">
        <v>181</v>
      </c>
      <c r="L202">
        <v>55</v>
      </c>
      <c r="M202">
        <v>2</v>
      </c>
      <c r="N202">
        <v>1995</v>
      </c>
      <c r="O202">
        <v>0.27</v>
      </c>
      <c r="P202">
        <v>2.4700000000000002</v>
      </c>
      <c r="Q202">
        <v>1.4999999999999999E-2</v>
      </c>
      <c r="R202">
        <v>70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>
      <c r="A203">
        <v>398.20031011455768</v>
      </c>
      <c r="B203">
        <v>56.000000000000007</v>
      </c>
      <c r="C203">
        <v>4.977503876431971</v>
      </c>
      <c r="D203">
        <v>448.98352</v>
      </c>
      <c r="E203">
        <v>690.90456431535267</v>
      </c>
      <c r="F203">
        <v>174.54176000000001</v>
      </c>
      <c r="G203">
        <v>77.287480000000002</v>
      </c>
      <c r="H203">
        <v>9</v>
      </c>
      <c r="I203">
        <v>47</v>
      </c>
      <c r="J203">
        <v>4</v>
      </c>
      <c r="K203">
        <v>331</v>
      </c>
      <c r="L203">
        <v>59</v>
      </c>
      <c r="M203">
        <v>10</v>
      </c>
      <c r="N203">
        <v>1995</v>
      </c>
      <c r="O203">
        <v>0.27</v>
      </c>
      <c r="P203">
        <v>2.4700000000000002</v>
      </c>
      <c r="Q203">
        <v>1.4999999999999999E-2</v>
      </c>
      <c r="R203">
        <v>70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>
      <c r="A204">
        <v>372.80085088027658</v>
      </c>
      <c r="B204">
        <v>52.5</v>
      </c>
      <c r="C204">
        <v>4.9706780117370233</v>
      </c>
      <c r="D204">
        <v>396.57600000000002</v>
      </c>
      <c r="E204">
        <v>691.69792531120333</v>
      </c>
      <c r="F204">
        <v>210.096</v>
      </c>
      <c r="G204">
        <v>72.373320000000007</v>
      </c>
      <c r="H204">
        <v>22</v>
      </c>
      <c r="I204">
        <v>58</v>
      </c>
      <c r="J204">
        <v>3</v>
      </c>
      <c r="K204">
        <v>132</v>
      </c>
      <c r="L204">
        <v>51</v>
      </c>
      <c r="M204">
        <v>2</v>
      </c>
      <c r="N204">
        <v>1995</v>
      </c>
      <c r="O204">
        <v>0.27</v>
      </c>
      <c r="P204">
        <v>2.4700000000000002</v>
      </c>
      <c r="Q204">
        <v>1.4999999999999999E-2</v>
      </c>
      <c r="R204">
        <v>70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>
      <c r="A205">
        <v>397.21706276382952</v>
      </c>
      <c r="B205">
        <v>56</v>
      </c>
      <c r="C205">
        <v>4.9652132845478674</v>
      </c>
      <c r="D205">
        <v>428.41127999999998</v>
      </c>
      <c r="E205">
        <v>689.31950207468878</v>
      </c>
      <c r="F205">
        <v>176.69927999999999</v>
      </c>
      <c r="G205">
        <v>77.06328000000002</v>
      </c>
      <c r="H205">
        <v>8</v>
      </c>
      <c r="I205">
        <v>49</v>
      </c>
      <c r="J205">
        <v>5</v>
      </c>
      <c r="K205">
        <v>263</v>
      </c>
      <c r="L205">
        <v>59</v>
      </c>
      <c r="M205">
        <v>24</v>
      </c>
      <c r="N205">
        <v>1995</v>
      </c>
      <c r="O205">
        <v>0.27</v>
      </c>
      <c r="P205">
        <v>2.4700000000000002</v>
      </c>
      <c r="Q205">
        <v>1.4999999999999999E-2</v>
      </c>
      <c r="R205">
        <v>70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>
      <c r="A206">
        <v>396.99527309417238</v>
      </c>
      <c r="B206">
        <v>56.000000000000007</v>
      </c>
      <c r="C206">
        <v>4.9624409136771552</v>
      </c>
      <c r="D206">
        <v>429.00623999999999</v>
      </c>
      <c r="E206">
        <v>691.3195020746889</v>
      </c>
      <c r="F206">
        <v>177.29424</v>
      </c>
      <c r="G206">
        <v>77.062320000000014</v>
      </c>
      <c r="H206">
        <v>8</v>
      </c>
      <c r="I206">
        <v>48</v>
      </c>
      <c r="J206">
        <v>5</v>
      </c>
      <c r="K206">
        <v>267</v>
      </c>
      <c r="L206">
        <v>59</v>
      </c>
      <c r="M206">
        <v>24</v>
      </c>
      <c r="N206">
        <v>1995</v>
      </c>
      <c r="O206">
        <v>0.27</v>
      </c>
      <c r="P206">
        <v>2.4700000000000002</v>
      </c>
      <c r="Q206">
        <v>1.4999999999999999E-2</v>
      </c>
      <c r="R206">
        <v>70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>
      <c r="A207">
        <v>396.95014050077219</v>
      </c>
      <c r="B207">
        <v>56</v>
      </c>
      <c r="C207">
        <v>4.9618767562596524</v>
      </c>
      <c r="D207">
        <v>480.80759999999998</v>
      </c>
      <c r="E207">
        <v>689.68584933314264</v>
      </c>
      <c r="F207">
        <v>176.91919999999999</v>
      </c>
      <c r="G207">
        <v>77.019199999999998</v>
      </c>
      <c r="H207">
        <v>9</v>
      </c>
      <c r="I207">
        <v>45</v>
      </c>
      <c r="J207">
        <v>4</v>
      </c>
      <c r="K207">
        <v>327</v>
      </c>
      <c r="L207">
        <v>59</v>
      </c>
      <c r="M207">
        <v>31</v>
      </c>
      <c r="N207">
        <v>1995</v>
      </c>
      <c r="O207">
        <v>0.27</v>
      </c>
      <c r="P207">
        <v>2.4700000000000002</v>
      </c>
      <c r="Q207">
        <v>1.4999999999999999E-2</v>
      </c>
      <c r="R207">
        <v>70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>
      <c r="A208">
        <v>396.76632270274712</v>
      </c>
      <c r="B208">
        <v>56.000000000000007</v>
      </c>
      <c r="C208">
        <v>4.9595790337843386</v>
      </c>
      <c r="D208">
        <v>426.88799999999998</v>
      </c>
      <c r="E208">
        <v>690.86486524625275</v>
      </c>
      <c r="F208">
        <v>175.17599999999999</v>
      </c>
      <c r="G208">
        <v>77.008320000000012</v>
      </c>
      <c r="H208">
        <v>8</v>
      </c>
      <c r="I208">
        <v>63</v>
      </c>
      <c r="J208">
        <v>4</v>
      </c>
      <c r="K208">
        <v>231</v>
      </c>
      <c r="L208">
        <v>43</v>
      </c>
      <c r="M208">
        <v>3</v>
      </c>
      <c r="N208">
        <v>1995</v>
      </c>
      <c r="O208">
        <v>0.27</v>
      </c>
      <c r="P208">
        <v>2.4700000000000002</v>
      </c>
      <c r="Q208">
        <v>1.4999999999999999E-2</v>
      </c>
      <c r="R208">
        <v>70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>
      <c r="A209">
        <v>371.86481588467188</v>
      </c>
      <c r="B209">
        <v>52.5</v>
      </c>
      <c r="C209">
        <v>4.9581975451289582</v>
      </c>
      <c r="D209">
        <v>420.67</v>
      </c>
      <c r="E209">
        <v>689.07883817427387</v>
      </c>
      <c r="F209">
        <v>210.33500000000001</v>
      </c>
      <c r="G209">
        <v>72.14</v>
      </c>
      <c r="H209">
        <v>22</v>
      </c>
      <c r="I209">
        <v>58</v>
      </c>
      <c r="J209">
        <v>3</v>
      </c>
      <c r="K209">
        <v>1</v>
      </c>
      <c r="L209">
        <v>50</v>
      </c>
      <c r="M209">
        <v>5</v>
      </c>
      <c r="N209">
        <v>1995</v>
      </c>
      <c r="O209">
        <v>0.27</v>
      </c>
      <c r="P209">
        <v>2.4700000000000002</v>
      </c>
      <c r="Q209">
        <v>1.4999999999999999E-2</v>
      </c>
      <c r="R209">
        <v>70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>
      <c r="A210">
        <v>396.51128596923428</v>
      </c>
      <c r="B210">
        <v>56</v>
      </c>
      <c r="C210">
        <v>4.9563910746154294</v>
      </c>
      <c r="D210">
        <v>429.32814000000002</v>
      </c>
      <c r="E210">
        <v>689.55684647302905</v>
      </c>
      <c r="F210">
        <v>177.61614</v>
      </c>
      <c r="G210">
        <v>76.931340000000006</v>
      </c>
      <c r="H210">
        <v>8</v>
      </c>
      <c r="I210">
        <v>48</v>
      </c>
      <c r="J210">
        <v>5</v>
      </c>
      <c r="K210">
        <v>203</v>
      </c>
      <c r="L210">
        <v>59</v>
      </c>
      <c r="M210">
        <v>29</v>
      </c>
      <c r="N210">
        <v>1995</v>
      </c>
      <c r="O210">
        <v>0.27</v>
      </c>
      <c r="P210">
        <v>2.4700000000000002</v>
      </c>
      <c r="Q210">
        <v>1.4999999999999999E-2</v>
      </c>
      <c r="R210">
        <v>70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>
      <c r="A211">
        <v>396.32829355419602</v>
      </c>
      <c r="B211">
        <v>56.000000000000007</v>
      </c>
      <c r="C211">
        <v>4.9541036694274494</v>
      </c>
      <c r="D211">
        <v>486.26639999999998</v>
      </c>
      <c r="E211">
        <v>691.12816246522675</v>
      </c>
      <c r="F211">
        <v>177.69095999999999</v>
      </c>
      <c r="G211">
        <v>76.928832</v>
      </c>
      <c r="H211">
        <v>6</v>
      </c>
      <c r="I211">
        <v>57</v>
      </c>
      <c r="J211">
        <v>6</v>
      </c>
      <c r="K211">
        <v>125</v>
      </c>
      <c r="L211">
        <v>56</v>
      </c>
      <c r="M211">
        <v>26</v>
      </c>
      <c r="N211">
        <v>1995</v>
      </c>
      <c r="O211">
        <v>0.27</v>
      </c>
      <c r="P211">
        <v>2.4700000000000002</v>
      </c>
      <c r="Q211">
        <v>1.4999999999999999E-2</v>
      </c>
      <c r="R211">
        <v>70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>
      <c r="A212">
        <v>396.2524991690741</v>
      </c>
      <c r="B212">
        <v>56.000000000000007</v>
      </c>
      <c r="C212">
        <v>4.9531562396134259</v>
      </c>
      <c r="D212">
        <v>471.90143999999998</v>
      </c>
      <c r="E212">
        <v>690.58517833856831</v>
      </c>
      <c r="F212">
        <v>173.58047999999999</v>
      </c>
      <c r="G212">
        <v>76.902720000000002</v>
      </c>
      <c r="H212">
        <v>6</v>
      </c>
      <c r="I212">
        <v>55</v>
      </c>
      <c r="J212">
        <v>6</v>
      </c>
      <c r="K212">
        <v>41</v>
      </c>
      <c r="L212">
        <v>58</v>
      </c>
      <c r="M212">
        <v>28</v>
      </c>
      <c r="N212">
        <v>1995</v>
      </c>
      <c r="O212">
        <v>0.27</v>
      </c>
      <c r="P212">
        <v>2.4700000000000002</v>
      </c>
      <c r="Q212">
        <v>1.4999999999999999E-2</v>
      </c>
      <c r="R212">
        <v>70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>
      <c r="A213">
        <v>371.46504658410481</v>
      </c>
      <c r="B213">
        <v>52.5</v>
      </c>
      <c r="C213">
        <v>4.9528672877880648</v>
      </c>
      <c r="D213">
        <v>596.49549999999999</v>
      </c>
      <c r="E213">
        <v>687.13558631686783</v>
      </c>
      <c r="F213">
        <v>206.88919999999999</v>
      </c>
      <c r="G213">
        <v>72.024199999999993</v>
      </c>
      <c r="H213">
        <v>22</v>
      </c>
      <c r="I213">
        <v>54</v>
      </c>
      <c r="J213">
        <v>3</v>
      </c>
      <c r="K213">
        <v>148</v>
      </c>
      <c r="L213">
        <v>59</v>
      </c>
      <c r="M213">
        <v>31</v>
      </c>
      <c r="N213">
        <v>1995</v>
      </c>
      <c r="O213">
        <v>0.27</v>
      </c>
      <c r="P213">
        <v>2.4700000000000002</v>
      </c>
      <c r="Q213">
        <v>1.4999999999999999E-2</v>
      </c>
      <c r="R213">
        <v>70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>
      <c r="A214">
        <v>395.78867673729872</v>
      </c>
      <c r="B214">
        <v>56</v>
      </c>
      <c r="C214">
        <v>4.9473584592162343</v>
      </c>
      <c r="D214">
        <v>447.98399999999998</v>
      </c>
      <c r="E214">
        <v>689.69327800829865</v>
      </c>
      <c r="F214">
        <v>174.042</v>
      </c>
      <c r="G214">
        <v>76.793999999999997</v>
      </c>
      <c r="H214">
        <v>9</v>
      </c>
      <c r="I214">
        <v>47</v>
      </c>
      <c r="J214">
        <v>4</v>
      </c>
      <c r="K214">
        <v>117</v>
      </c>
      <c r="L214">
        <v>57</v>
      </c>
      <c r="M214">
        <v>2</v>
      </c>
      <c r="N214">
        <v>1995</v>
      </c>
      <c r="O214">
        <v>0.27</v>
      </c>
      <c r="P214">
        <v>2.4700000000000002</v>
      </c>
      <c r="Q214">
        <v>1.4999999999999999E-2</v>
      </c>
      <c r="R214">
        <v>70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>
      <c r="A215">
        <v>395.78821142127242</v>
      </c>
      <c r="B215">
        <v>56</v>
      </c>
      <c r="C215">
        <v>4.9473526427659058</v>
      </c>
      <c r="D215">
        <v>482.14800000000002</v>
      </c>
      <c r="E215">
        <v>691.12816246522675</v>
      </c>
      <c r="F215">
        <v>177.58799999999999</v>
      </c>
      <c r="G215">
        <v>76.823999999999998</v>
      </c>
      <c r="H215">
        <v>6</v>
      </c>
      <c r="I215">
        <v>57</v>
      </c>
      <c r="J215">
        <v>6</v>
      </c>
      <c r="K215">
        <v>124</v>
      </c>
      <c r="L215">
        <v>56</v>
      </c>
      <c r="M215">
        <v>26</v>
      </c>
      <c r="N215">
        <v>1995</v>
      </c>
      <c r="O215">
        <v>0.27</v>
      </c>
      <c r="P215">
        <v>2.4700000000000002</v>
      </c>
      <c r="Q215">
        <v>1.4999999999999999E-2</v>
      </c>
      <c r="R215">
        <v>70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>
      <c r="A216">
        <v>395.64342941851828</v>
      </c>
      <c r="B216">
        <v>56.000000000000007</v>
      </c>
      <c r="C216">
        <v>4.9455428677314792</v>
      </c>
      <c r="D216">
        <v>455.61664000000002</v>
      </c>
      <c r="E216">
        <v>690.42323651452284</v>
      </c>
      <c r="F216">
        <v>177.46592000000001</v>
      </c>
      <c r="G216">
        <v>76.781120000000016</v>
      </c>
      <c r="H216">
        <v>8</v>
      </c>
      <c r="I216">
        <v>48</v>
      </c>
      <c r="J216">
        <v>5</v>
      </c>
      <c r="K216">
        <v>242</v>
      </c>
      <c r="L216">
        <v>58</v>
      </c>
      <c r="M216">
        <v>22</v>
      </c>
      <c r="N216">
        <v>1995</v>
      </c>
      <c r="O216">
        <v>0.27</v>
      </c>
      <c r="P216">
        <v>2.4700000000000002</v>
      </c>
      <c r="Q216">
        <v>1.4999999999999999E-2</v>
      </c>
      <c r="R216">
        <v>70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>
      <c r="A217">
        <v>395.64342941851828</v>
      </c>
      <c r="B217">
        <v>56.000000000000007</v>
      </c>
      <c r="C217">
        <v>4.9455428677314792</v>
      </c>
      <c r="D217">
        <v>455.61664000000002</v>
      </c>
      <c r="E217">
        <v>690.42323651452284</v>
      </c>
      <c r="F217">
        <v>177.46592000000001</v>
      </c>
      <c r="G217">
        <v>76.781120000000016</v>
      </c>
      <c r="H217">
        <v>8</v>
      </c>
      <c r="I217">
        <v>48</v>
      </c>
      <c r="J217">
        <v>5</v>
      </c>
      <c r="K217">
        <v>243</v>
      </c>
      <c r="L217">
        <v>58</v>
      </c>
      <c r="M217">
        <v>22</v>
      </c>
      <c r="N217">
        <v>1995</v>
      </c>
      <c r="O217">
        <v>0.27</v>
      </c>
      <c r="P217">
        <v>2.4700000000000002</v>
      </c>
      <c r="Q217">
        <v>1.4999999999999999E-2</v>
      </c>
      <c r="R217">
        <v>70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>
      <c r="A218">
        <v>395.63231401253108</v>
      </c>
      <c r="B218">
        <v>56</v>
      </c>
      <c r="C218">
        <v>4.9454039251566391</v>
      </c>
      <c r="D218">
        <v>457.31880000000001</v>
      </c>
      <c r="E218">
        <v>691.97064198292651</v>
      </c>
      <c r="F218">
        <v>178.04339999999999</v>
      </c>
      <c r="G218">
        <v>76.811399999999992</v>
      </c>
      <c r="H218">
        <v>6</v>
      </c>
      <c r="I218">
        <v>57</v>
      </c>
      <c r="J218">
        <v>6</v>
      </c>
      <c r="K218">
        <v>333</v>
      </c>
      <c r="L218">
        <v>55</v>
      </c>
      <c r="M218">
        <v>27</v>
      </c>
      <c r="N218">
        <v>1995</v>
      </c>
      <c r="O218">
        <v>0.27</v>
      </c>
      <c r="P218">
        <v>2.4700000000000002</v>
      </c>
      <c r="Q218">
        <v>1.4999999999999999E-2</v>
      </c>
      <c r="R218">
        <v>70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>
      <c r="A219">
        <v>395.51129626912802</v>
      </c>
      <c r="B219">
        <v>56</v>
      </c>
      <c r="C219">
        <v>4.9438912033640996</v>
      </c>
      <c r="D219">
        <v>474.27839999999998</v>
      </c>
      <c r="E219">
        <v>689.11203319502079</v>
      </c>
      <c r="F219">
        <v>174.87360000000001</v>
      </c>
      <c r="G219">
        <v>76.727999999999994</v>
      </c>
      <c r="H219">
        <v>8</v>
      </c>
      <c r="I219">
        <v>50</v>
      </c>
      <c r="J219">
        <v>5</v>
      </c>
      <c r="K219">
        <v>176</v>
      </c>
      <c r="L219">
        <v>55</v>
      </c>
      <c r="M219">
        <v>4</v>
      </c>
      <c r="N219">
        <v>1995</v>
      </c>
      <c r="O219">
        <v>0.27</v>
      </c>
      <c r="P219">
        <v>2.4700000000000002</v>
      </c>
      <c r="Q219">
        <v>1.4999999999999999E-2</v>
      </c>
      <c r="R219">
        <v>70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>
      <c r="A220">
        <v>395.17811354126093</v>
      </c>
      <c r="B220">
        <v>56.000000000000007</v>
      </c>
      <c r="C220">
        <v>4.9397264192657602</v>
      </c>
      <c r="D220">
        <v>448.17048000000011</v>
      </c>
      <c r="E220">
        <v>689.35352697095436</v>
      </c>
      <c r="F220">
        <v>174.79164</v>
      </c>
      <c r="G220">
        <v>76.668420000000012</v>
      </c>
      <c r="H220">
        <v>8</v>
      </c>
      <c r="I220">
        <v>47</v>
      </c>
      <c r="J220">
        <v>5</v>
      </c>
      <c r="K220">
        <v>252</v>
      </c>
      <c r="L220">
        <v>59</v>
      </c>
      <c r="M220">
        <v>33</v>
      </c>
      <c r="N220">
        <v>1995</v>
      </c>
      <c r="O220">
        <v>0.27</v>
      </c>
      <c r="P220">
        <v>2.4700000000000002</v>
      </c>
      <c r="Q220">
        <v>1.4999999999999999E-2</v>
      </c>
      <c r="R220">
        <v>70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>
      <c r="A221">
        <v>403.74176720136558</v>
      </c>
      <c r="B221">
        <v>57.235294117647058</v>
      </c>
      <c r="C221">
        <v>4.9378489513836081</v>
      </c>
      <c r="D221">
        <v>471.52605</v>
      </c>
      <c r="E221">
        <v>690.58517833856831</v>
      </c>
      <c r="F221">
        <v>173.994057</v>
      </c>
      <c r="G221">
        <v>78.356200000000001</v>
      </c>
      <c r="H221">
        <v>6</v>
      </c>
      <c r="I221">
        <v>55</v>
      </c>
      <c r="J221">
        <v>6</v>
      </c>
      <c r="K221">
        <v>77</v>
      </c>
      <c r="L221">
        <v>58</v>
      </c>
      <c r="M221">
        <v>40</v>
      </c>
      <c r="N221">
        <v>1995</v>
      </c>
      <c r="O221">
        <v>0.27</v>
      </c>
      <c r="P221">
        <v>2.4700000000000002</v>
      </c>
      <c r="Q221">
        <v>1.4999999999999999E-2</v>
      </c>
      <c r="R221">
        <v>70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>
      <c r="A222">
        <v>403.53256977029599</v>
      </c>
      <c r="B222">
        <v>57.235294117647058</v>
      </c>
      <c r="C222">
        <v>4.9352904216511027</v>
      </c>
      <c r="D222">
        <v>471.41489999999999</v>
      </c>
      <c r="E222">
        <v>690.58517833856831</v>
      </c>
      <c r="F222">
        <v>173.956266</v>
      </c>
      <c r="G222">
        <v>78.315600000000003</v>
      </c>
      <c r="H222">
        <v>6</v>
      </c>
      <c r="I222">
        <v>55</v>
      </c>
      <c r="J222">
        <v>6</v>
      </c>
      <c r="K222">
        <v>312</v>
      </c>
      <c r="L222">
        <v>58</v>
      </c>
      <c r="M222">
        <v>40</v>
      </c>
      <c r="N222">
        <v>1995</v>
      </c>
      <c r="O222">
        <v>0.27</v>
      </c>
      <c r="P222">
        <v>2.4700000000000002</v>
      </c>
      <c r="Q222">
        <v>1.4999999999999999E-2</v>
      </c>
      <c r="R222">
        <v>70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>
      <c r="A223">
        <v>394.57447997141202</v>
      </c>
      <c r="B223">
        <v>56</v>
      </c>
      <c r="C223">
        <v>4.9321809996426493</v>
      </c>
      <c r="D223">
        <v>450.58675199999999</v>
      </c>
      <c r="E223">
        <v>690.74846202347737</v>
      </c>
      <c r="F223">
        <v>175.56537599999999</v>
      </c>
      <c r="G223">
        <v>76.580472</v>
      </c>
      <c r="H223">
        <v>6</v>
      </c>
      <c r="I223">
        <v>56</v>
      </c>
      <c r="J223">
        <v>6</v>
      </c>
      <c r="K223">
        <v>85</v>
      </c>
      <c r="L223">
        <v>57</v>
      </c>
      <c r="M223">
        <v>27</v>
      </c>
      <c r="N223">
        <v>1995</v>
      </c>
      <c r="O223">
        <v>0.27</v>
      </c>
      <c r="P223">
        <v>2.4700000000000002</v>
      </c>
      <c r="Q223">
        <v>1.4999999999999999E-2</v>
      </c>
      <c r="R223">
        <v>70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>
      <c r="A224">
        <v>394.43876044765801</v>
      </c>
      <c r="B224">
        <v>56.000000000000007</v>
      </c>
      <c r="C224">
        <v>4.9304845055957243</v>
      </c>
      <c r="D224">
        <v>448.28460000000001</v>
      </c>
      <c r="E224">
        <v>689.27800829875525</v>
      </c>
      <c r="F224">
        <v>174.19229999999999</v>
      </c>
      <c r="G224">
        <v>76.523399999999995</v>
      </c>
      <c r="H224">
        <v>9</v>
      </c>
      <c r="I224">
        <v>62</v>
      </c>
      <c r="J224">
        <v>3</v>
      </c>
      <c r="K224">
        <v>177</v>
      </c>
      <c r="L224">
        <v>44</v>
      </c>
      <c r="M224">
        <v>3</v>
      </c>
      <c r="N224">
        <v>1995</v>
      </c>
      <c r="O224">
        <v>0.27</v>
      </c>
      <c r="P224">
        <v>2.4700000000000002</v>
      </c>
      <c r="Q224">
        <v>1.4999999999999999E-2</v>
      </c>
      <c r="R224">
        <v>70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>
      <c r="A225">
        <v>394.1783652314121</v>
      </c>
      <c r="B225">
        <v>56</v>
      </c>
      <c r="C225">
        <v>4.9272295653926506</v>
      </c>
      <c r="D225">
        <v>476.76510000000002</v>
      </c>
      <c r="E225">
        <v>690.54771784232366</v>
      </c>
      <c r="F225">
        <v>175.70249999999999</v>
      </c>
      <c r="G225">
        <v>76.499400000000009</v>
      </c>
      <c r="H225">
        <v>8</v>
      </c>
      <c r="I225">
        <v>49</v>
      </c>
      <c r="J225">
        <v>5</v>
      </c>
      <c r="K225">
        <v>99</v>
      </c>
      <c r="L225">
        <v>58</v>
      </c>
      <c r="M225">
        <v>10</v>
      </c>
      <c r="N225">
        <v>1995</v>
      </c>
      <c r="O225">
        <v>0.27</v>
      </c>
      <c r="P225">
        <v>2.4700000000000002</v>
      </c>
      <c r="Q225">
        <v>1.4999999999999999E-2</v>
      </c>
      <c r="R225">
        <v>70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>
      <c r="A226">
        <v>393.35921235009619</v>
      </c>
      <c r="B226">
        <v>56.000000000000007</v>
      </c>
      <c r="C226">
        <v>4.9169901543762027</v>
      </c>
      <c r="D226">
        <v>424.06439999999998</v>
      </c>
      <c r="E226">
        <v>692.58091286307058</v>
      </c>
      <c r="F226">
        <v>174.31440000000001</v>
      </c>
      <c r="G226">
        <v>76.382800000000003</v>
      </c>
      <c r="H226">
        <v>9</v>
      </c>
      <c r="I226">
        <v>46</v>
      </c>
      <c r="J226">
        <v>4</v>
      </c>
      <c r="K226">
        <v>98</v>
      </c>
      <c r="L226">
        <v>59</v>
      </c>
      <c r="M226">
        <v>8</v>
      </c>
      <c r="N226">
        <v>1995</v>
      </c>
      <c r="O226">
        <v>0.27</v>
      </c>
      <c r="P226">
        <v>2.4700000000000002</v>
      </c>
      <c r="Q226">
        <v>1.4999999999999999E-2</v>
      </c>
      <c r="R226">
        <v>70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>
      <c r="A227">
        <v>391.2415372040968</v>
      </c>
      <c r="B227">
        <v>56</v>
      </c>
      <c r="C227">
        <v>4.8905192150512091</v>
      </c>
      <c r="D227">
        <v>417.78048000000001</v>
      </c>
      <c r="E227">
        <v>689.15064440751257</v>
      </c>
      <c r="F227">
        <v>173.58047999999999</v>
      </c>
      <c r="G227">
        <v>75.900480000000002</v>
      </c>
      <c r="H227">
        <v>6</v>
      </c>
      <c r="I227">
        <v>55</v>
      </c>
      <c r="J227">
        <v>6</v>
      </c>
      <c r="K227">
        <v>133</v>
      </c>
      <c r="L227">
        <v>58</v>
      </c>
      <c r="M227">
        <v>27</v>
      </c>
      <c r="N227">
        <v>1995</v>
      </c>
      <c r="O227">
        <v>0.27</v>
      </c>
      <c r="P227">
        <v>2.4700000000000002</v>
      </c>
      <c r="Q227">
        <v>1.4999999999999999E-2</v>
      </c>
      <c r="R227">
        <v>70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>
      <c r="A228">
        <v>391.08186306409408</v>
      </c>
      <c r="B228">
        <v>56</v>
      </c>
      <c r="C228">
        <v>4.8885232883011769</v>
      </c>
      <c r="D228">
        <v>530.61</v>
      </c>
      <c r="E228">
        <v>690.62240663900411</v>
      </c>
      <c r="F228">
        <v>177.60599999999999</v>
      </c>
      <c r="G228">
        <v>75.900000000000006</v>
      </c>
      <c r="H228">
        <v>7</v>
      </c>
      <c r="I228">
        <v>50</v>
      </c>
      <c r="J228">
        <v>6</v>
      </c>
      <c r="K228">
        <v>111</v>
      </c>
      <c r="L228">
        <v>60</v>
      </c>
      <c r="M228">
        <v>10</v>
      </c>
      <c r="N228">
        <v>1995</v>
      </c>
      <c r="O228">
        <v>0.27</v>
      </c>
      <c r="P228">
        <v>2.4700000000000002</v>
      </c>
      <c r="Q228">
        <v>1.4999999999999999E-2</v>
      </c>
      <c r="R228">
        <v>70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>
      <c r="A229">
        <v>366.51814903624438</v>
      </c>
      <c r="B229">
        <v>52.500000000000007</v>
      </c>
      <c r="C229">
        <v>4.8869086538165929</v>
      </c>
      <c r="D229">
        <v>396.99520000000001</v>
      </c>
      <c r="E229">
        <v>688.13278008298755</v>
      </c>
      <c r="F229">
        <v>210.51519999999999</v>
      </c>
      <c r="G229">
        <v>71.084399999999988</v>
      </c>
      <c r="H229">
        <v>22</v>
      </c>
      <c r="I229">
        <v>56</v>
      </c>
      <c r="J229">
        <v>3</v>
      </c>
      <c r="K229">
        <v>98</v>
      </c>
      <c r="L229">
        <v>57</v>
      </c>
      <c r="M229">
        <v>8</v>
      </c>
      <c r="N229">
        <v>1995</v>
      </c>
      <c r="O229">
        <v>0.27</v>
      </c>
      <c r="P229">
        <v>2.4700000000000002</v>
      </c>
      <c r="Q229">
        <v>1.4999999999999999E-2</v>
      </c>
      <c r="R229">
        <v>70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>
      <c r="A230">
        <v>389.73676468868399</v>
      </c>
      <c r="B230">
        <v>56</v>
      </c>
      <c r="C230">
        <v>4.8717095586085506</v>
      </c>
      <c r="D230">
        <v>396.17232000000001</v>
      </c>
      <c r="E230">
        <v>691.63319502074694</v>
      </c>
      <c r="F230">
        <v>167.23482000000001</v>
      </c>
      <c r="G230">
        <v>75.659820000000011</v>
      </c>
      <c r="H230">
        <v>9</v>
      </c>
      <c r="I230">
        <v>55</v>
      </c>
      <c r="J230">
        <v>3</v>
      </c>
      <c r="K230">
        <v>155</v>
      </c>
      <c r="L230">
        <v>58</v>
      </c>
      <c r="M230">
        <v>48</v>
      </c>
      <c r="N230">
        <v>1995</v>
      </c>
      <c r="O230">
        <v>0.27</v>
      </c>
      <c r="P230">
        <v>2.4700000000000002</v>
      </c>
      <c r="Q230">
        <v>1.4999999999999999E-2</v>
      </c>
      <c r="R230">
        <v>70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>
      <c r="A231">
        <v>364.73439445181509</v>
      </c>
      <c r="B231">
        <v>52.5</v>
      </c>
      <c r="C231">
        <v>4.8631252593575356</v>
      </c>
      <c r="D231">
        <v>420.2296</v>
      </c>
      <c r="E231">
        <v>689.69294605809125</v>
      </c>
      <c r="F231">
        <v>210.1148</v>
      </c>
      <c r="G231">
        <v>70.768600000000006</v>
      </c>
      <c r="H231">
        <v>22</v>
      </c>
      <c r="I231">
        <v>56</v>
      </c>
      <c r="J231">
        <v>3</v>
      </c>
      <c r="K231">
        <v>65</v>
      </c>
      <c r="L231">
        <v>47</v>
      </c>
      <c r="M231">
        <v>2</v>
      </c>
      <c r="N231">
        <v>1995</v>
      </c>
      <c r="O231">
        <v>0.27</v>
      </c>
      <c r="P231">
        <v>2.4700000000000002</v>
      </c>
      <c r="Q231">
        <v>1.4999999999999999E-2</v>
      </c>
      <c r="R231">
        <v>70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>
      <c r="A232">
        <v>388.9140243751155</v>
      </c>
      <c r="B232">
        <v>56</v>
      </c>
      <c r="C232">
        <v>4.861425304688944</v>
      </c>
      <c r="D232">
        <v>447.8972</v>
      </c>
      <c r="E232">
        <v>688.95435684647305</v>
      </c>
      <c r="F232">
        <v>173.99860000000001</v>
      </c>
      <c r="G232">
        <v>75.44489999999999</v>
      </c>
      <c r="H232">
        <v>9</v>
      </c>
      <c r="I232">
        <v>61</v>
      </c>
      <c r="J232">
        <v>3</v>
      </c>
      <c r="K232">
        <v>65</v>
      </c>
      <c r="L232">
        <v>48</v>
      </c>
      <c r="M232">
        <v>2</v>
      </c>
      <c r="N232">
        <v>1995</v>
      </c>
      <c r="O232">
        <v>0.27</v>
      </c>
      <c r="P232">
        <v>2.4700000000000002</v>
      </c>
      <c r="Q232">
        <v>1.4999999999999999E-2</v>
      </c>
      <c r="R232">
        <v>70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>
      <c r="A233">
        <v>398.12125082903168</v>
      </c>
      <c r="B233">
        <v>57.358208955223887</v>
      </c>
      <c r="C233">
        <v>4.8586746458187839</v>
      </c>
      <c r="D233">
        <v>477.27744000000001</v>
      </c>
      <c r="E233">
        <v>687.7526357752165</v>
      </c>
      <c r="F233">
        <v>175.80090240000001</v>
      </c>
      <c r="G233">
        <v>77.205647999999997</v>
      </c>
      <c r="H233">
        <v>6</v>
      </c>
      <c r="I233">
        <v>56</v>
      </c>
      <c r="J233">
        <v>6</v>
      </c>
      <c r="K233">
        <v>316</v>
      </c>
      <c r="L233">
        <v>57</v>
      </c>
      <c r="M233">
        <v>32</v>
      </c>
      <c r="N233">
        <v>1995</v>
      </c>
      <c r="O233">
        <v>0.27</v>
      </c>
      <c r="P233">
        <v>2.4700000000000002</v>
      </c>
      <c r="Q233">
        <v>1.4999999999999999E-2</v>
      </c>
      <c r="R233">
        <v>70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>
      <c r="A234">
        <v>364.24662041163958</v>
      </c>
      <c r="B234">
        <v>52.5</v>
      </c>
      <c r="C234">
        <v>4.8566216054885283</v>
      </c>
      <c r="D234">
        <v>420.48</v>
      </c>
      <c r="E234">
        <v>674.46141078838173</v>
      </c>
      <c r="F234">
        <v>210.24</v>
      </c>
      <c r="G234">
        <v>70.38</v>
      </c>
      <c r="H234">
        <v>22</v>
      </c>
      <c r="I234">
        <v>56</v>
      </c>
      <c r="J234">
        <v>3</v>
      </c>
      <c r="K234">
        <v>117</v>
      </c>
      <c r="L234">
        <v>55</v>
      </c>
      <c r="M234">
        <v>2</v>
      </c>
      <c r="N234">
        <v>1995</v>
      </c>
      <c r="O234">
        <v>0.27</v>
      </c>
      <c r="P234">
        <v>2.4700000000000002</v>
      </c>
      <c r="Q234">
        <v>1.4999999999999999E-2</v>
      </c>
      <c r="R234">
        <v>70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>
      <c r="A235">
        <v>402.4443534121441</v>
      </c>
      <c r="B235">
        <v>58.100000000000009</v>
      </c>
      <c r="C235">
        <v>4.8487271495439046</v>
      </c>
      <c r="D235">
        <v>472.65280000000001</v>
      </c>
      <c r="E235">
        <v>689.5269709543569</v>
      </c>
      <c r="F235">
        <v>183.04640000000001</v>
      </c>
      <c r="G235">
        <v>78.08184</v>
      </c>
      <c r="H235">
        <v>9</v>
      </c>
      <c r="I235">
        <v>48</v>
      </c>
      <c r="J235">
        <v>4</v>
      </c>
      <c r="K235">
        <v>91</v>
      </c>
      <c r="L235">
        <v>57</v>
      </c>
      <c r="M235">
        <v>7</v>
      </c>
      <c r="N235">
        <v>1995</v>
      </c>
      <c r="O235">
        <v>0.27</v>
      </c>
      <c r="P235">
        <v>2.4700000000000002</v>
      </c>
      <c r="Q235">
        <v>1.4999999999999999E-2</v>
      </c>
      <c r="R235">
        <v>70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>
      <c r="A236">
        <v>387.85544513790637</v>
      </c>
      <c r="B236">
        <v>56.000000000000007</v>
      </c>
      <c r="C236">
        <v>4.8481930642238309</v>
      </c>
      <c r="D236">
        <v>412.53179999999998</v>
      </c>
      <c r="E236">
        <v>691.13692946058086</v>
      </c>
      <c r="F236">
        <v>171.30779999999999</v>
      </c>
      <c r="G236">
        <v>75.284400000000005</v>
      </c>
      <c r="H236">
        <v>8</v>
      </c>
      <c r="I236">
        <v>46</v>
      </c>
      <c r="J236">
        <v>5</v>
      </c>
      <c r="K236">
        <v>264</v>
      </c>
      <c r="L236">
        <v>58</v>
      </c>
      <c r="M236">
        <v>28</v>
      </c>
      <c r="N236">
        <v>1995</v>
      </c>
      <c r="O236">
        <v>0.27</v>
      </c>
      <c r="P236">
        <v>2.4700000000000002</v>
      </c>
      <c r="Q236">
        <v>1.4999999999999999E-2</v>
      </c>
      <c r="R236">
        <v>70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>
      <c r="A237">
        <v>387.4553546741771</v>
      </c>
      <c r="B237">
        <v>56</v>
      </c>
      <c r="C237">
        <v>4.8431919334272138</v>
      </c>
      <c r="D237">
        <v>427.1592</v>
      </c>
      <c r="E237">
        <v>691.12033195020751</v>
      </c>
      <c r="F237">
        <v>175.44720000000001</v>
      </c>
      <c r="G237">
        <v>75.206400000000002</v>
      </c>
      <c r="H237">
        <v>8</v>
      </c>
      <c r="I237">
        <v>48</v>
      </c>
      <c r="J237">
        <v>5</v>
      </c>
      <c r="K237">
        <v>63</v>
      </c>
      <c r="L237">
        <v>56</v>
      </c>
      <c r="M237">
        <v>12</v>
      </c>
      <c r="N237">
        <v>1995</v>
      </c>
      <c r="O237">
        <v>0.27</v>
      </c>
      <c r="P237">
        <v>2.4700000000000002</v>
      </c>
      <c r="Q237">
        <v>1.4999999999999999E-2</v>
      </c>
      <c r="R237">
        <v>70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>
      <c r="A238">
        <v>387.4553546741771</v>
      </c>
      <c r="B238">
        <v>56</v>
      </c>
      <c r="C238">
        <v>4.8431919334272138</v>
      </c>
      <c r="D238">
        <v>451.57920000000001</v>
      </c>
      <c r="E238">
        <v>691.12033195020751</v>
      </c>
      <c r="F238">
        <v>175.44720000000001</v>
      </c>
      <c r="G238">
        <v>75.206400000000002</v>
      </c>
      <c r="H238">
        <v>8</v>
      </c>
      <c r="I238">
        <v>48</v>
      </c>
      <c r="J238">
        <v>5</v>
      </c>
      <c r="K238">
        <v>259</v>
      </c>
      <c r="L238">
        <v>56</v>
      </c>
      <c r="M238">
        <v>12</v>
      </c>
      <c r="N238">
        <v>1995</v>
      </c>
      <c r="O238">
        <v>0.27</v>
      </c>
      <c r="P238">
        <v>2.4700000000000002</v>
      </c>
      <c r="Q238">
        <v>1.4999999999999999E-2</v>
      </c>
      <c r="R238">
        <v>70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>
      <c r="A239">
        <v>386.95321629388133</v>
      </c>
      <c r="B239">
        <v>56</v>
      </c>
      <c r="C239">
        <v>4.8369152036735166</v>
      </c>
      <c r="D239">
        <v>412.32090000000011</v>
      </c>
      <c r="E239">
        <v>689.21161825726142</v>
      </c>
      <c r="F239">
        <v>171.09690000000001</v>
      </c>
      <c r="G239">
        <v>75.069800000000001</v>
      </c>
      <c r="H239">
        <v>8</v>
      </c>
      <c r="I239">
        <v>46</v>
      </c>
      <c r="J239">
        <v>5</v>
      </c>
      <c r="K239">
        <v>265</v>
      </c>
      <c r="L239">
        <v>58</v>
      </c>
      <c r="M239">
        <v>25</v>
      </c>
      <c r="N239">
        <v>1995</v>
      </c>
      <c r="O239">
        <v>0.27</v>
      </c>
      <c r="P239">
        <v>2.4700000000000002</v>
      </c>
      <c r="Q239">
        <v>1.4999999999999999E-2</v>
      </c>
      <c r="R239">
        <v>70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>
      <c r="A240">
        <v>386.95081032941431</v>
      </c>
      <c r="B240">
        <v>56</v>
      </c>
      <c r="C240">
        <v>4.8368851291176798</v>
      </c>
      <c r="D240">
        <v>447.43212</v>
      </c>
      <c r="E240">
        <v>691.91701244813282</v>
      </c>
      <c r="F240">
        <v>173.76606000000001</v>
      </c>
      <c r="G240">
        <v>75.124800000000008</v>
      </c>
      <c r="H240">
        <v>9</v>
      </c>
      <c r="I240">
        <v>45</v>
      </c>
      <c r="J240">
        <v>4</v>
      </c>
      <c r="K240">
        <v>278</v>
      </c>
      <c r="L240">
        <v>60</v>
      </c>
      <c r="M240">
        <v>9</v>
      </c>
      <c r="N240">
        <v>1995</v>
      </c>
      <c r="O240">
        <v>0.27</v>
      </c>
      <c r="P240">
        <v>2.4700000000000002</v>
      </c>
      <c r="Q240">
        <v>1.4999999999999999E-2</v>
      </c>
      <c r="R240">
        <v>70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>
      <c r="A241">
        <v>386.78948960512628</v>
      </c>
      <c r="B241">
        <v>56.000000000000007</v>
      </c>
      <c r="C241">
        <v>4.8348686200640776</v>
      </c>
      <c r="D241">
        <v>409.38283999999999</v>
      </c>
      <c r="E241">
        <v>691.88381742738602</v>
      </c>
      <c r="F241">
        <v>170.25644</v>
      </c>
      <c r="G241">
        <v>75.092799999999997</v>
      </c>
      <c r="H241">
        <v>8</v>
      </c>
      <c r="I241">
        <v>57</v>
      </c>
      <c r="J241">
        <v>4</v>
      </c>
      <c r="K241">
        <v>268</v>
      </c>
      <c r="L241">
        <v>56</v>
      </c>
      <c r="M241">
        <v>28</v>
      </c>
      <c r="N241">
        <v>1995</v>
      </c>
      <c r="O241">
        <v>0.27</v>
      </c>
      <c r="P241">
        <v>2.4700000000000002</v>
      </c>
      <c r="Q241">
        <v>1.4999999999999999E-2</v>
      </c>
      <c r="R241">
        <v>70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>
      <c r="A242">
        <v>386.77265665377888</v>
      </c>
      <c r="B242">
        <v>56.000000000000007</v>
      </c>
      <c r="C242">
        <v>4.834658208172236</v>
      </c>
      <c r="D242">
        <v>438.59904000000012</v>
      </c>
      <c r="E242">
        <v>688.82655601659758</v>
      </c>
      <c r="F242">
        <v>171.05472</v>
      </c>
      <c r="G242">
        <v>75.026880000000006</v>
      </c>
      <c r="H242">
        <v>8</v>
      </c>
      <c r="I242">
        <v>46</v>
      </c>
      <c r="J242">
        <v>5</v>
      </c>
      <c r="K242">
        <v>253</v>
      </c>
      <c r="L242">
        <v>58</v>
      </c>
      <c r="M242">
        <v>26</v>
      </c>
      <c r="N242">
        <v>1995</v>
      </c>
      <c r="O242">
        <v>0.27</v>
      </c>
      <c r="P242">
        <v>2.4700000000000002</v>
      </c>
      <c r="Q242">
        <v>1.4999999999999999E-2</v>
      </c>
      <c r="R242">
        <v>70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>
      <c r="A243">
        <v>386.66187728980071</v>
      </c>
      <c r="B243">
        <v>56</v>
      </c>
      <c r="C243">
        <v>4.8332734661225114</v>
      </c>
      <c r="D243">
        <v>475.46640000000002</v>
      </c>
      <c r="E243">
        <v>689.42738589211626</v>
      </c>
      <c r="F243">
        <v>175.2696</v>
      </c>
      <c r="G243">
        <v>75.017700000000005</v>
      </c>
      <c r="H243">
        <v>8</v>
      </c>
      <c r="I243">
        <v>48</v>
      </c>
      <c r="J243">
        <v>5</v>
      </c>
      <c r="K243">
        <v>101</v>
      </c>
      <c r="L243">
        <v>57</v>
      </c>
      <c r="M243">
        <v>9</v>
      </c>
      <c r="N243">
        <v>1995</v>
      </c>
      <c r="O243">
        <v>0.27</v>
      </c>
      <c r="P243">
        <v>2.4700000000000002</v>
      </c>
      <c r="Q243">
        <v>1.4999999999999999E-2</v>
      </c>
      <c r="R243">
        <v>70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>
      <c r="A244">
        <v>386.49906809115453</v>
      </c>
      <c r="B244">
        <v>56</v>
      </c>
      <c r="C244">
        <v>4.8312383511394321</v>
      </c>
      <c r="D244">
        <v>431.82060000000001</v>
      </c>
      <c r="E244">
        <v>687.74107883817419</v>
      </c>
      <c r="F244">
        <v>168.92406</v>
      </c>
      <c r="G244">
        <v>74.951580000000007</v>
      </c>
      <c r="H244">
        <v>8</v>
      </c>
      <c r="I244">
        <v>56</v>
      </c>
      <c r="J244">
        <v>4</v>
      </c>
      <c r="K244">
        <v>247</v>
      </c>
      <c r="L244">
        <v>57</v>
      </c>
      <c r="M244">
        <v>34</v>
      </c>
      <c r="N244">
        <v>1995</v>
      </c>
      <c r="O244">
        <v>0.27</v>
      </c>
      <c r="P244">
        <v>2.4700000000000002</v>
      </c>
      <c r="Q244">
        <v>1.4999999999999999E-2</v>
      </c>
      <c r="R244">
        <v>70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>
      <c r="A245">
        <v>386.45415082779408</v>
      </c>
      <c r="B245">
        <v>55.999999999999993</v>
      </c>
      <c r="C245">
        <v>4.8306768853474269</v>
      </c>
      <c r="D245">
        <v>445.68112000000008</v>
      </c>
      <c r="E245">
        <v>688.56597510373444</v>
      </c>
      <c r="F245">
        <v>173.54696000000001</v>
      </c>
      <c r="G245">
        <v>74.959760000000003</v>
      </c>
      <c r="H245">
        <v>8</v>
      </c>
      <c r="I245">
        <v>47</v>
      </c>
      <c r="J245">
        <v>5</v>
      </c>
      <c r="K245">
        <v>255</v>
      </c>
      <c r="L245">
        <v>58</v>
      </c>
      <c r="M245">
        <v>23</v>
      </c>
      <c r="N245">
        <v>1995</v>
      </c>
      <c r="O245">
        <v>0.27</v>
      </c>
      <c r="P245">
        <v>2.4700000000000002</v>
      </c>
      <c r="Q245">
        <v>1.4999999999999999E-2</v>
      </c>
      <c r="R245">
        <v>70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>
      <c r="A246">
        <v>386.37404577401321</v>
      </c>
      <c r="B246">
        <v>56</v>
      </c>
      <c r="C246">
        <v>4.8296755721751667</v>
      </c>
      <c r="D246">
        <v>439.33312000000001</v>
      </c>
      <c r="E246">
        <v>687.97676348547725</v>
      </c>
      <c r="F246">
        <v>171.42176000000001</v>
      </c>
      <c r="G246">
        <v>74.93216000000001</v>
      </c>
      <c r="H246">
        <v>8</v>
      </c>
      <c r="I246">
        <v>46</v>
      </c>
      <c r="J246">
        <v>5</v>
      </c>
      <c r="K246">
        <v>244</v>
      </c>
      <c r="L246">
        <v>56</v>
      </c>
      <c r="M246">
        <v>23</v>
      </c>
      <c r="N246">
        <v>1995</v>
      </c>
      <c r="O246">
        <v>0.27</v>
      </c>
      <c r="P246">
        <v>2.4700000000000002</v>
      </c>
      <c r="Q246">
        <v>1.4999999999999999E-2</v>
      </c>
      <c r="R246">
        <v>70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>
      <c r="A247">
        <v>386.33822401608961</v>
      </c>
      <c r="B247">
        <v>56</v>
      </c>
      <c r="C247">
        <v>4.82922780020112</v>
      </c>
      <c r="D247">
        <v>438.38</v>
      </c>
      <c r="E247">
        <v>687.90041493775936</v>
      </c>
      <c r="F247">
        <v>170.9452</v>
      </c>
      <c r="G247">
        <v>74.923650000000009</v>
      </c>
      <c r="H247">
        <v>8</v>
      </c>
      <c r="I247">
        <v>46</v>
      </c>
      <c r="J247">
        <v>5</v>
      </c>
      <c r="K247">
        <v>248</v>
      </c>
      <c r="L247">
        <v>57</v>
      </c>
      <c r="M247">
        <v>23</v>
      </c>
      <c r="N247">
        <v>1995</v>
      </c>
      <c r="O247">
        <v>0.27</v>
      </c>
      <c r="P247">
        <v>2.4700000000000002</v>
      </c>
      <c r="Q247">
        <v>1.4999999999999999E-2</v>
      </c>
      <c r="R247">
        <v>70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>
      <c r="A248">
        <v>386.14719819068341</v>
      </c>
      <c r="B248">
        <v>56</v>
      </c>
      <c r="C248">
        <v>4.8268399773835426</v>
      </c>
      <c r="D248">
        <v>472.14</v>
      </c>
      <c r="E248">
        <v>691.60995850622407</v>
      </c>
      <c r="F248">
        <v>174.03</v>
      </c>
      <c r="G248">
        <v>74.962500000000006</v>
      </c>
      <c r="H248">
        <v>9</v>
      </c>
      <c r="I248">
        <v>61</v>
      </c>
      <c r="J248">
        <v>3</v>
      </c>
      <c r="K248">
        <v>75</v>
      </c>
      <c r="L248">
        <v>50</v>
      </c>
      <c r="M248">
        <v>2</v>
      </c>
      <c r="N248">
        <v>1995</v>
      </c>
      <c r="O248">
        <v>0.27</v>
      </c>
      <c r="P248">
        <v>2.4700000000000002</v>
      </c>
      <c r="Q248">
        <v>1.4999999999999999E-2</v>
      </c>
      <c r="R248">
        <v>70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>
      <c r="A249">
        <v>385.96626445151998</v>
      </c>
      <c r="B249">
        <v>56</v>
      </c>
      <c r="C249">
        <v>4.8245783056440006</v>
      </c>
      <c r="D249">
        <v>431.56752</v>
      </c>
      <c r="E249">
        <v>686.60580912863065</v>
      </c>
      <c r="F249">
        <v>168.79751999999999</v>
      </c>
      <c r="G249">
        <v>74.825040000000001</v>
      </c>
      <c r="H249">
        <v>8</v>
      </c>
      <c r="I249">
        <v>56</v>
      </c>
      <c r="J249">
        <v>4</v>
      </c>
      <c r="K249">
        <v>250</v>
      </c>
      <c r="L249">
        <v>57</v>
      </c>
      <c r="M249">
        <v>33</v>
      </c>
      <c r="N249">
        <v>1995</v>
      </c>
      <c r="O249">
        <v>0.27</v>
      </c>
      <c r="P249">
        <v>2.4700000000000002</v>
      </c>
      <c r="Q249">
        <v>1.4999999999999999E-2</v>
      </c>
      <c r="R249">
        <v>70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>
      <c r="A250">
        <v>385.96626445151998</v>
      </c>
      <c r="B250">
        <v>56</v>
      </c>
      <c r="C250">
        <v>4.8245783056440006</v>
      </c>
      <c r="D250">
        <v>431.56752</v>
      </c>
      <c r="E250">
        <v>686.60580912863065</v>
      </c>
      <c r="F250">
        <v>168.79751999999999</v>
      </c>
      <c r="G250">
        <v>74.825040000000001</v>
      </c>
      <c r="H250">
        <v>8</v>
      </c>
      <c r="I250">
        <v>56</v>
      </c>
      <c r="J250">
        <v>4</v>
      </c>
      <c r="K250">
        <v>251</v>
      </c>
      <c r="L250">
        <v>57</v>
      </c>
      <c r="M250">
        <v>33</v>
      </c>
      <c r="N250">
        <v>1995</v>
      </c>
      <c r="O250">
        <v>0.27</v>
      </c>
      <c r="P250">
        <v>2.4700000000000002</v>
      </c>
      <c r="Q250">
        <v>1.4999999999999999E-2</v>
      </c>
      <c r="R250">
        <v>70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>
      <c r="A251">
        <v>385.94851418746111</v>
      </c>
      <c r="B251">
        <v>56</v>
      </c>
      <c r="C251">
        <v>4.8243564273432638</v>
      </c>
      <c r="D251">
        <v>438.26159999999999</v>
      </c>
      <c r="E251">
        <v>688.24896265560164</v>
      </c>
      <c r="F251">
        <v>170.886</v>
      </c>
      <c r="G251">
        <v>74.855200000000011</v>
      </c>
      <c r="H251">
        <v>8</v>
      </c>
      <c r="I251">
        <v>46</v>
      </c>
      <c r="J251">
        <v>5</v>
      </c>
      <c r="K251">
        <v>246</v>
      </c>
      <c r="L251">
        <v>58</v>
      </c>
      <c r="M251">
        <v>20</v>
      </c>
      <c r="N251">
        <v>1995</v>
      </c>
      <c r="O251">
        <v>0.27</v>
      </c>
      <c r="P251">
        <v>2.4700000000000002</v>
      </c>
      <c r="Q251">
        <v>1.4999999999999999E-2</v>
      </c>
      <c r="R251">
        <v>70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>
      <c r="A252">
        <v>385.91126197186497</v>
      </c>
      <c r="B252">
        <v>56</v>
      </c>
      <c r="C252">
        <v>4.8238907746483131</v>
      </c>
      <c r="D252">
        <v>423.75599999999997</v>
      </c>
      <c r="E252">
        <v>692.67622363636735</v>
      </c>
      <c r="F252">
        <v>174.006</v>
      </c>
      <c r="G252">
        <v>74.938500000000005</v>
      </c>
      <c r="H252">
        <v>9</v>
      </c>
      <c r="I252">
        <v>61</v>
      </c>
      <c r="J252">
        <v>3</v>
      </c>
      <c r="K252">
        <v>118</v>
      </c>
      <c r="L252">
        <v>44</v>
      </c>
      <c r="M252">
        <v>3</v>
      </c>
      <c r="N252">
        <v>1995</v>
      </c>
      <c r="O252">
        <v>0.27</v>
      </c>
      <c r="P252">
        <v>2.4700000000000002</v>
      </c>
      <c r="Q252">
        <v>1.4999999999999999E-2</v>
      </c>
      <c r="R252">
        <v>70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>
      <c r="A253">
        <v>385.82283119587089</v>
      </c>
      <c r="B253">
        <v>56</v>
      </c>
      <c r="C253">
        <v>4.8227853899483861</v>
      </c>
      <c r="D253">
        <v>447.78</v>
      </c>
      <c r="E253">
        <v>690.28767288788902</v>
      </c>
      <c r="F253">
        <v>173.94</v>
      </c>
      <c r="G253">
        <v>74.872500000000002</v>
      </c>
      <c r="H253">
        <v>9</v>
      </c>
      <c r="I253">
        <v>61</v>
      </c>
      <c r="J253">
        <v>3</v>
      </c>
      <c r="K253">
        <v>47</v>
      </c>
      <c r="L253">
        <v>44</v>
      </c>
      <c r="M253">
        <v>3</v>
      </c>
      <c r="N253">
        <v>1995</v>
      </c>
      <c r="O253">
        <v>0.27</v>
      </c>
      <c r="P253">
        <v>2.4700000000000002</v>
      </c>
      <c r="Q253">
        <v>1.4999999999999999E-2</v>
      </c>
      <c r="R253">
        <v>70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>
      <c r="A254">
        <v>385.30872853435858</v>
      </c>
      <c r="B254">
        <v>56</v>
      </c>
      <c r="C254">
        <v>4.8163591066794833</v>
      </c>
      <c r="D254">
        <v>403.72872000000001</v>
      </c>
      <c r="E254">
        <v>692.84979253112033</v>
      </c>
      <c r="F254">
        <v>168.79751999999999</v>
      </c>
      <c r="G254">
        <v>74.825040000000001</v>
      </c>
      <c r="H254">
        <v>8</v>
      </c>
      <c r="I254">
        <v>56</v>
      </c>
      <c r="J254">
        <v>4</v>
      </c>
      <c r="K254">
        <v>202</v>
      </c>
      <c r="L254">
        <v>57</v>
      </c>
      <c r="M254">
        <v>33</v>
      </c>
      <c r="N254">
        <v>1995</v>
      </c>
      <c r="O254">
        <v>0.27</v>
      </c>
      <c r="P254">
        <v>2.4700000000000002</v>
      </c>
      <c r="Q254">
        <v>1.4999999999999999E-2</v>
      </c>
      <c r="R254">
        <v>70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>
      <c r="A255">
        <v>375.0467414195362</v>
      </c>
      <c r="B255">
        <v>54.574074074074083</v>
      </c>
      <c r="C255">
        <v>4.8105757806781364</v>
      </c>
      <c r="D255">
        <v>387.92808000000002</v>
      </c>
      <c r="E255">
        <v>692.36603039455963</v>
      </c>
      <c r="F255">
        <v>208.91285999999999</v>
      </c>
      <c r="G255">
        <v>72.822600000000008</v>
      </c>
      <c r="H255">
        <v>22</v>
      </c>
      <c r="I255">
        <v>55</v>
      </c>
      <c r="J255">
        <v>3</v>
      </c>
      <c r="K255">
        <v>154</v>
      </c>
      <c r="L255">
        <v>57</v>
      </c>
      <c r="M255">
        <v>31</v>
      </c>
      <c r="N255">
        <v>1995</v>
      </c>
      <c r="O255">
        <v>0.27</v>
      </c>
      <c r="P255">
        <v>2.4700000000000002</v>
      </c>
      <c r="Q255">
        <v>1.4999999999999999E-2</v>
      </c>
      <c r="R255">
        <v>70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>
      <c r="A256">
        <v>384.38877440633729</v>
      </c>
      <c r="B256">
        <v>56</v>
      </c>
      <c r="C256">
        <v>4.8048596800792156</v>
      </c>
      <c r="D256">
        <v>467.60879999999997</v>
      </c>
      <c r="E256">
        <v>690.65062240663894</v>
      </c>
      <c r="F256">
        <v>172.30080000000001</v>
      </c>
      <c r="G256">
        <v>74.601600000000005</v>
      </c>
      <c r="H256">
        <v>8</v>
      </c>
      <c r="I256">
        <v>47</v>
      </c>
      <c r="J256">
        <v>5</v>
      </c>
      <c r="K256">
        <v>71</v>
      </c>
      <c r="L256">
        <v>57</v>
      </c>
      <c r="M256">
        <v>8</v>
      </c>
      <c r="N256">
        <v>1995</v>
      </c>
      <c r="O256">
        <v>0.27</v>
      </c>
      <c r="P256">
        <v>2.4700000000000002</v>
      </c>
      <c r="Q256">
        <v>1.4999999999999999E-2</v>
      </c>
      <c r="R256">
        <v>70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>
      <c r="A257">
        <v>384.23449213491642</v>
      </c>
      <c r="B257">
        <v>56</v>
      </c>
      <c r="C257">
        <v>4.8029311516864546</v>
      </c>
      <c r="D257">
        <v>456.43200000000002</v>
      </c>
      <c r="E257">
        <v>691.64986154843814</v>
      </c>
      <c r="F257">
        <v>167.83199999999999</v>
      </c>
      <c r="G257">
        <v>74.591999999999999</v>
      </c>
      <c r="H257">
        <v>6</v>
      </c>
      <c r="I257">
        <v>53</v>
      </c>
      <c r="J257">
        <v>6</v>
      </c>
      <c r="K257">
        <v>327</v>
      </c>
      <c r="L257">
        <v>60</v>
      </c>
      <c r="M257">
        <v>31</v>
      </c>
      <c r="N257">
        <v>1995</v>
      </c>
      <c r="O257">
        <v>0.27</v>
      </c>
      <c r="P257">
        <v>2.4700000000000002</v>
      </c>
      <c r="Q257">
        <v>1.4999999999999999E-2</v>
      </c>
      <c r="R257">
        <v>70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>
      <c r="A258">
        <v>384.20994067723018</v>
      </c>
      <c r="B258">
        <v>56.000000000000007</v>
      </c>
      <c r="C258">
        <v>4.8026242584653778</v>
      </c>
      <c r="D258">
        <v>420.65408000000008</v>
      </c>
      <c r="E258">
        <v>692.48132780082994</v>
      </c>
      <c r="F258">
        <v>173.13728</v>
      </c>
      <c r="G258">
        <v>74.604160000000007</v>
      </c>
      <c r="H258">
        <v>8</v>
      </c>
      <c r="I258">
        <v>59</v>
      </c>
      <c r="J258">
        <v>4</v>
      </c>
      <c r="K258">
        <v>190</v>
      </c>
      <c r="L258">
        <v>53</v>
      </c>
      <c r="M258">
        <v>8</v>
      </c>
      <c r="N258">
        <v>1995</v>
      </c>
      <c r="O258">
        <v>0.27</v>
      </c>
      <c r="P258">
        <v>2.4700000000000002</v>
      </c>
      <c r="Q258">
        <v>1.4999999999999999E-2</v>
      </c>
      <c r="R258">
        <v>70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>
      <c r="A259">
        <v>382.92770784622098</v>
      </c>
      <c r="B259">
        <v>56.000000000000007</v>
      </c>
      <c r="C259">
        <v>4.7865963480777616</v>
      </c>
      <c r="D259">
        <v>447.42959999999999</v>
      </c>
      <c r="E259">
        <v>690.97895687418566</v>
      </c>
      <c r="F259">
        <v>173.76480000000001</v>
      </c>
      <c r="G259">
        <v>74.324699999999993</v>
      </c>
      <c r="H259">
        <v>9</v>
      </c>
      <c r="I259">
        <v>60</v>
      </c>
      <c r="J259">
        <v>3</v>
      </c>
      <c r="K259">
        <v>179</v>
      </c>
      <c r="L259">
        <v>53</v>
      </c>
      <c r="M259">
        <v>3</v>
      </c>
      <c r="N259">
        <v>1995</v>
      </c>
      <c r="O259">
        <v>0.27</v>
      </c>
      <c r="P259">
        <v>2.4700000000000002</v>
      </c>
      <c r="Q259">
        <v>1.4999999999999999E-2</v>
      </c>
      <c r="R259">
        <v>70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>
      <c r="A260">
        <v>382.92328665697249</v>
      </c>
      <c r="B260">
        <v>56</v>
      </c>
      <c r="C260">
        <v>4.786541083212156</v>
      </c>
      <c r="D260">
        <v>477.520128</v>
      </c>
      <c r="E260">
        <v>689.8058091286307</v>
      </c>
      <c r="F260">
        <v>174.20004</v>
      </c>
      <c r="G260">
        <v>74.30004000000001</v>
      </c>
      <c r="H260">
        <v>9</v>
      </c>
      <c r="I260">
        <v>60</v>
      </c>
      <c r="J260">
        <v>3</v>
      </c>
      <c r="K260">
        <v>175</v>
      </c>
      <c r="L260">
        <v>52</v>
      </c>
      <c r="M260">
        <v>3</v>
      </c>
      <c r="N260">
        <v>1995</v>
      </c>
      <c r="O260">
        <v>0.27</v>
      </c>
      <c r="P260">
        <v>2.4700000000000002</v>
      </c>
      <c r="Q260">
        <v>1.4999999999999999E-2</v>
      </c>
      <c r="R260">
        <v>70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>
      <c r="A261">
        <v>382.65642768397362</v>
      </c>
      <c r="B261">
        <v>56</v>
      </c>
      <c r="C261">
        <v>4.7832053460496704</v>
      </c>
      <c r="D261">
        <v>434.49473999999998</v>
      </c>
      <c r="E261">
        <v>689.5601659751037</v>
      </c>
      <c r="F261">
        <v>169.42209</v>
      </c>
      <c r="G261">
        <v>74.243279999999999</v>
      </c>
      <c r="H261">
        <v>8</v>
      </c>
      <c r="I261">
        <v>57</v>
      </c>
      <c r="J261">
        <v>4</v>
      </c>
      <c r="K261">
        <v>189</v>
      </c>
      <c r="L261">
        <v>56</v>
      </c>
      <c r="M261">
        <v>17</v>
      </c>
      <c r="N261">
        <v>1995</v>
      </c>
      <c r="O261">
        <v>0.27</v>
      </c>
      <c r="P261">
        <v>2.4700000000000002</v>
      </c>
      <c r="Q261">
        <v>1.4999999999999999E-2</v>
      </c>
      <c r="R261">
        <v>70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>
      <c r="A262">
        <v>372.99518486055672</v>
      </c>
      <c r="B262">
        <v>54.600000000000009</v>
      </c>
      <c r="C262">
        <v>4.7819895494943161</v>
      </c>
      <c r="D262">
        <v>418.54399999999998</v>
      </c>
      <c r="E262">
        <v>681.85892116182572</v>
      </c>
      <c r="F262">
        <v>209.27199999999999</v>
      </c>
      <c r="G262">
        <v>72.2166</v>
      </c>
      <c r="H262">
        <v>22</v>
      </c>
      <c r="I262">
        <v>58</v>
      </c>
      <c r="J262">
        <v>3</v>
      </c>
      <c r="K262">
        <v>91</v>
      </c>
      <c r="L262">
        <v>55</v>
      </c>
      <c r="M262">
        <v>7</v>
      </c>
      <c r="N262">
        <v>1995</v>
      </c>
      <c r="O262">
        <v>0.27</v>
      </c>
      <c r="P262">
        <v>2.4700000000000002</v>
      </c>
      <c r="Q262">
        <v>1.4999999999999999E-2</v>
      </c>
      <c r="R262">
        <v>70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>
      <c r="A263">
        <v>381.93749953792712</v>
      </c>
      <c r="B263">
        <v>56</v>
      </c>
      <c r="C263">
        <v>4.7742187442240889</v>
      </c>
      <c r="D263">
        <v>408.81304000000011</v>
      </c>
      <c r="E263">
        <v>686.21410788381741</v>
      </c>
      <c r="F263">
        <v>169.68664000000001</v>
      </c>
      <c r="G263">
        <v>74.036080000000013</v>
      </c>
      <c r="H263">
        <v>8</v>
      </c>
      <c r="I263">
        <v>57</v>
      </c>
      <c r="J263">
        <v>4</v>
      </c>
      <c r="K263">
        <v>209</v>
      </c>
      <c r="L263">
        <v>56</v>
      </c>
      <c r="M263">
        <v>23</v>
      </c>
      <c r="N263">
        <v>1995</v>
      </c>
      <c r="O263">
        <v>0.27</v>
      </c>
      <c r="P263">
        <v>2.4700000000000002</v>
      </c>
      <c r="Q263">
        <v>1.4999999999999999E-2</v>
      </c>
      <c r="R263">
        <v>70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>
      <c r="A264">
        <v>381.80366795602271</v>
      </c>
      <c r="B264">
        <v>56</v>
      </c>
      <c r="C264">
        <v>4.7725458494502826</v>
      </c>
      <c r="D264">
        <v>427.06316800000008</v>
      </c>
      <c r="E264">
        <v>692.06842848978431</v>
      </c>
      <c r="F264">
        <v>166.726584</v>
      </c>
      <c r="G264">
        <v>74.128568000000001</v>
      </c>
      <c r="H264">
        <v>7</v>
      </c>
      <c r="I264">
        <v>55</v>
      </c>
      <c r="J264">
        <v>5</v>
      </c>
      <c r="K264">
        <v>85</v>
      </c>
      <c r="L264">
        <v>58</v>
      </c>
      <c r="M264">
        <v>27</v>
      </c>
      <c r="N264">
        <v>1995</v>
      </c>
      <c r="O264">
        <v>0.27</v>
      </c>
      <c r="P264">
        <v>2.4700000000000002</v>
      </c>
      <c r="Q264">
        <v>1.4999999999999999E-2</v>
      </c>
      <c r="R264">
        <v>70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>
      <c r="A265">
        <v>381.71802485905641</v>
      </c>
      <c r="B265">
        <v>56</v>
      </c>
      <c r="C265">
        <v>4.7714753107382046</v>
      </c>
      <c r="D265">
        <v>447.78</v>
      </c>
      <c r="E265">
        <v>688.51144577038565</v>
      </c>
      <c r="F265">
        <v>173.94</v>
      </c>
      <c r="G265">
        <v>74.040000000000006</v>
      </c>
      <c r="H265">
        <v>9</v>
      </c>
      <c r="I265">
        <v>60</v>
      </c>
      <c r="J265">
        <v>3</v>
      </c>
      <c r="K265">
        <v>180</v>
      </c>
      <c r="L265">
        <v>44</v>
      </c>
      <c r="M265">
        <v>3</v>
      </c>
      <c r="N265">
        <v>1995</v>
      </c>
      <c r="O265">
        <v>0.27</v>
      </c>
      <c r="P265">
        <v>2.4700000000000002</v>
      </c>
      <c r="Q265">
        <v>1.4999999999999999E-2</v>
      </c>
      <c r="R265">
        <v>70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>
      <c r="A266">
        <v>381.41934639176048</v>
      </c>
      <c r="B266">
        <v>56.000000000000007</v>
      </c>
      <c r="C266">
        <v>4.7677418298970071</v>
      </c>
      <c r="D266">
        <v>423.65699999999998</v>
      </c>
      <c r="E266">
        <v>689.74520132228565</v>
      </c>
      <c r="F266">
        <v>173.90700000000001</v>
      </c>
      <c r="G266">
        <v>74.007000000000005</v>
      </c>
      <c r="H266">
        <v>9</v>
      </c>
      <c r="I266">
        <v>60</v>
      </c>
      <c r="J266">
        <v>3</v>
      </c>
      <c r="K266">
        <v>123</v>
      </c>
      <c r="L266">
        <v>45</v>
      </c>
      <c r="M266">
        <v>3</v>
      </c>
      <c r="N266">
        <v>1995</v>
      </c>
      <c r="O266">
        <v>0.27</v>
      </c>
      <c r="P266">
        <v>2.4700000000000002</v>
      </c>
      <c r="Q266">
        <v>1.4999999999999999E-2</v>
      </c>
      <c r="R266">
        <v>70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>
      <c r="A267">
        <v>381.38486177912148</v>
      </c>
      <c r="B267">
        <v>56</v>
      </c>
      <c r="C267">
        <v>4.7673107722390187</v>
      </c>
      <c r="D267">
        <v>467.07600000000008</v>
      </c>
      <c r="E267">
        <v>688.19087136929465</v>
      </c>
      <c r="F267">
        <v>172.1232</v>
      </c>
      <c r="G267">
        <v>73.968900000000005</v>
      </c>
      <c r="H267">
        <v>8</v>
      </c>
      <c r="I267">
        <v>47</v>
      </c>
      <c r="J267">
        <v>5</v>
      </c>
      <c r="K267">
        <v>70</v>
      </c>
      <c r="L267">
        <v>57</v>
      </c>
      <c r="M267">
        <v>9</v>
      </c>
      <c r="N267">
        <v>1995</v>
      </c>
      <c r="O267">
        <v>0.27</v>
      </c>
      <c r="P267">
        <v>2.4700000000000002</v>
      </c>
      <c r="Q267">
        <v>1.4999999999999999E-2</v>
      </c>
      <c r="R267">
        <v>70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>
      <c r="A268">
        <v>381.22681942522109</v>
      </c>
      <c r="B268">
        <v>56</v>
      </c>
      <c r="C268">
        <v>4.7653352428152642</v>
      </c>
      <c r="D268">
        <v>451.68380000000002</v>
      </c>
      <c r="E268">
        <v>690.94605809128632</v>
      </c>
      <c r="F268">
        <v>175.2259</v>
      </c>
      <c r="G268">
        <v>73.993899999999996</v>
      </c>
      <c r="H268">
        <v>6</v>
      </c>
      <c r="I268">
        <v>57</v>
      </c>
      <c r="J268">
        <v>6</v>
      </c>
      <c r="K268">
        <v>1</v>
      </c>
      <c r="L268">
        <v>49</v>
      </c>
      <c r="M268">
        <v>5</v>
      </c>
      <c r="N268">
        <v>1995</v>
      </c>
      <c r="O268">
        <v>0.27</v>
      </c>
      <c r="P268">
        <v>2.4700000000000002</v>
      </c>
      <c r="Q268">
        <v>1.4999999999999999E-2</v>
      </c>
      <c r="R268">
        <v>70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>
      <c r="A269">
        <v>380.29847079991782</v>
      </c>
      <c r="B269">
        <v>56</v>
      </c>
      <c r="C269">
        <v>4.7537308849989719</v>
      </c>
      <c r="D269">
        <v>433.53296000000012</v>
      </c>
      <c r="E269">
        <v>690.19007343673547</v>
      </c>
      <c r="F269">
        <v>169.11048</v>
      </c>
      <c r="G269">
        <v>73.798479999999998</v>
      </c>
      <c r="H269">
        <v>7</v>
      </c>
      <c r="I269">
        <v>56</v>
      </c>
      <c r="J269">
        <v>5</v>
      </c>
      <c r="K269">
        <v>333</v>
      </c>
      <c r="L269">
        <v>57</v>
      </c>
      <c r="M269">
        <v>26</v>
      </c>
      <c r="N269">
        <v>1995</v>
      </c>
      <c r="O269">
        <v>0.27</v>
      </c>
      <c r="P269">
        <v>2.4700000000000002</v>
      </c>
      <c r="Q269">
        <v>1.4999999999999999E-2</v>
      </c>
      <c r="R269">
        <v>70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>
      <c r="A270">
        <v>380.08738124767211</v>
      </c>
      <c r="B270">
        <v>56</v>
      </c>
      <c r="C270">
        <v>4.7510922655959007</v>
      </c>
      <c r="D270">
        <v>393.75918000000001</v>
      </c>
      <c r="E270">
        <v>688.74522821576772</v>
      </c>
      <c r="F270">
        <v>164.82167999999999</v>
      </c>
      <c r="G270">
        <v>73.72842</v>
      </c>
      <c r="H270">
        <v>9</v>
      </c>
      <c r="I270">
        <v>55</v>
      </c>
      <c r="J270">
        <v>3</v>
      </c>
      <c r="K270">
        <v>203</v>
      </c>
      <c r="L270">
        <v>58</v>
      </c>
      <c r="M270">
        <v>31</v>
      </c>
      <c r="N270">
        <v>1995</v>
      </c>
      <c r="O270">
        <v>0.27</v>
      </c>
      <c r="P270">
        <v>2.4700000000000002</v>
      </c>
      <c r="Q270">
        <v>1.4999999999999999E-2</v>
      </c>
      <c r="R270">
        <v>70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>
      <c r="A271">
        <v>380.0258343044656</v>
      </c>
      <c r="B271">
        <v>56</v>
      </c>
      <c r="C271">
        <v>4.7503229288058204</v>
      </c>
      <c r="D271">
        <v>609.61199999999997</v>
      </c>
      <c r="E271">
        <v>688.12536007989593</v>
      </c>
      <c r="F271">
        <v>167.83199999999999</v>
      </c>
      <c r="G271">
        <v>73.703999999999994</v>
      </c>
      <c r="H271">
        <v>6</v>
      </c>
      <c r="I271">
        <v>53</v>
      </c>
      <c r="J271">
        <v>6</v>
      </c>
      <c r="K271">
        <v>148</v>
      </c>
      <c r="L271">
        <v>60</v>
      </c>
      <c r="M271">
        <v>30</v>
      </c>
      <c r="N271">
        <v>1995</v>
      </c>
      <c r="O271">
        <v>0.27</v>
      </c>
      <c r="P271">
        <v>2.4700000000000002</v>
      </c>
      <c r="Q271">
        <v>1.4999999999999999E-2</v>
      </c>
      <c r="R271">
        <v>70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>
      <c r="A272">
        <v>379.95904849975869</v>
      </c>
      <c r="B272">
        <v>56</v>
      </c>
      <c r="C272">
        <v>4.749488106246984</v>
      </c>
      <c r="D272">
        <v>426.33471999999989</v>
      </c>
      <c r="E272">
        <v>692.73858921161832</v>
      </c>
      <c r="F272">
        <v>166.54736</v>
      </c>
      <c r="G272">
        <v>73.783919999999995</v>
      </c>
      <c r="H272">
        <v>9</v>
      </c>
      <c r="I272">
        <v>56</v>
      </c>
      <c r="J272">
        <v>3</v>
      </c>
      <c r="K272">
        <v>242</v>
      </c>
      <c r="L272">
        <v>57</v>
      </c>
      <c r="M272">
        <v>23</v>
      </c>
      <c r="N272">
        <v>1995</v>
      </c>
      <c r="O272">
        <v>0.27</v>
      </c>
      <c r="P272">
        <v>2.4700000000000002</v>
      </c>
      <c r="Q272">
        <v>1.4999999999999999E-2</v>
      </c>
      <c r="R272">
        <v>70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>
      <c r="A273">
        <v>379.95904849975869</v>
      </c>
      <c r="B273">
        <v>56</v>
      </c>
      <c r="C273">
        <v>4.749488106246984</v>
      </c>
      <c r="D273">
        <v>426.33471999999989</v>
      </c>
      <c r="E273">
        <v>692.73858921161832</v>
      </c>
      <c r="F273">
        <v>166.54736</v>
      </c>
      <c r="G273">
        <v>73.783919999999995</v>
      </c>
      <c r="H273">
        <v>9</v>
      </c>
      <c r="I273">
        <v>56</v>
      </c>
      <c r="J273">
        <v>3</v>
      </c>
      <c r="K273">
        <v>243</v>
      </c>
      <c r="L273">
        <v>57</v>
      </c>
      <c r="M273">
        <v>23</v>
      </c>
      <c r="N273">
        <v>1995</v>
      </c>
      <c r="O273">
        <v>0.27</v>
      </c>
      <c r="P273">
        <v>2.4700000000000002</v>
      </c>
      <c r="Q273">
        <v>1.4999999999999999E-2</v>
      </c>
      <c r="R273">
        <v>70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>
      <c r="A274">
        <v>379.66167088119431</v>
      </c>
      <c r="B274">
        <v>56.000000000000007</v>
      </c>
      <c r="C274">
        <v>4.7457708860149266</v>
      </c>
      <c r="D274">
        <v>396.64640000000003</v>
      </c>
      <c r="E274">
        <v>687.26175074357184</v>
      </c>
      <c r="F274">
        <v>165.91040000000001</v>
      </c>
      <c r="G274">
        <v>73.616</v>
      </c>
      <c r="H274">
        <v>8</v>
      </c>
      <c r="I274">
        <v>55</v>
      </c>
      <c r="J274">
        <v>4</v>
      </c>
      <c r="K274">
        <v>292</v>
      </c>
      <c r="L274">
        <v>58</v>
      </c>
      <c r="M274">
        <v>32</v>
      </c>
      <c r="N274">
        <v>1995</v>
      </c>
      <c r="O274">
        <v>0.27</v>
      </c>
      <c r="P274">
        <v>2.4700000000000002</v>
      </c>
      <c r="Q274">
        <v>1.4999999999999999E-2</v>
      </c>
      <c r="R274">
        <v>70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>
      <c r="A275">
        <v>379.31671088892762</v>
      </c>
      <c r="B275">
        <v>56</v>
      </c>
      <c r="C275">
        <v>4.7414588861115954</v>
      </c>
      <c r="D275">
        <v>446.904</v>
      </c>
      <c r="E275">
        <v>689.89325198851361</v>
      </c>
      <c r="F275">
        <v>173.50200000000001</v>
      </c>
      <c r="G275">
        <v>73.602000000000004</v>
      </c>
      <c r="H275">
        <v>9</v>
      </c>
      <c r="I275">
        <v>60</v>
      </c>
      <c r="J275">
        <v>3</v>
      </c>
      <c r="K275">
        <v>182</v>
      </c>
      <c r="L275">
        <v>45</v>
      </c>
      <c r="M275">
        <v>2</v>
      </c>
      <c r="N275">
        <v>1995</v>
      </c>
      <c r="O275">
        <v>0.27</v>
      </c>
      <c r="P275">
        <v>2.4700000000000002</v>
      </c>
      <c r="Q275">
        <v>1.4999999999999999E-2</v>
      </c>
      <c r="R275">
        <v>70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>
      <c r="A276">
        <v>378.93843988538191</v>
      </c>
      <c r="B276">
        <v>56.000000000000007</v>
      </c>
      <c r="C276">
        <v>4.7367304985672734</v>
      </c>
      <c r="D276">
        <v>398.77415999999999</v>
      </c>
      <c r="E276">
        <v>688.95435684647305</v>
      </c>
      <c r="F276">
        <v>165.67416</v>
      </c>
      <c r="G276">
        <v>73.509749999999997</v>
      </c>
      <c r="H276">
        <v>9</v>
      </c>
      <c r="I276">
        <v>56</v>
      </c>
      <c r="J276">
        <v>3</v>
      </c>
      <c r="K276">
        <v>267</v>
      </c>
      <c r="L276">
        <v>57</v>
      </c>
      <c r="M276">
        <v>25</v>
      </c>
      <c r="N276">
        <v>1995</v>
      </c>
      <c r="O276">
        <v>0.27</v>
      </c>
      <c r="P276">
        <v>2.4700000000000002</v>
      </c>
      <c r="Q276">
        <v>1.4999999999999999E-2</v>
      </c>
      <c r="R276">
        <v>70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>
      <c r="A277">
        <v>378.85156509468328</v>
      </c>
      <c r="B277">
        <v>56</v>
      </c>
      <c r="C277">
        <v>4.7356445636835414</v>
      </c>
      <c r="D277">
        <v>420.79656</v>
      </c>
      <c r="E277">
        <v>689.99668049792535</v>
      </c>
      <c r="F277">
        <v>164.61078000000001</v>
      </c>
      <c r="G277">
        <v>73.51382000000001</v>
      </c>
      <c r="H277">
        <v>9</v>
      </c>
      <c r="I277">
        <v>55</v>
      </c>
      <c r="J277">
        <v>3</v>
      </c>
      <c r="K277">
        <v>252</v>
      </c>
      <c r="L277">
        <v>58</v>
      </c>
      <c r="M277">
        <v>34</v>
      </c>
      <c r="N277">
        <v>1995</v>
      </c>
      <c r="O277">
        <v>0.27</v>
      </c>
      <c r="P277">
        <v>2.4700000000000002</v>
      </c>
      <c r="Q277">
        <v>1.4999999999999999E-2</v>
      </c>
      <c r="R277">
        <v>70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>
      <c r="A278">
        <v>378.7439373048382</v>
      </c>
      <c r="B278">
        <v>56.000000000000007</v>
      </c>
      <c r="C278">
        <v>4.734299216310478</v>
      </c>
      <c r="D278">
        <v>423.18720000000002</v>
      </c>
      <c r="E278">
        <v>692.20246704839997</v>
      </c>
      <c r="F278">
        <v>173.43719999999999</v>
      </c>
      <c r="G278">
        <v>73.537199999999999</v>
      </c>
      <c r="H278">
        <v>9</v>
      </c>
      <c r="I278">
        <v>60</v>
      </c>
      <c r="J278">
        <v>3</v>
      </c>
      <c r="K278">
        <v>231</v>
      </c>
      <c r="L278">
        <v>42</v>
      </c>
      <c r="M278">
        <v>3</v>
      </c>
      <c r="N278">
        <v>1995</v>
      </c>
      <c r="O278">
        <v>0.27</v>
      </c>
      <c r="P278">
        <v>2.4700000000000002</v>
      </c>
      <c r="Q278">
        <v>1.4999999999999999E-2</v>
      </c>
      <c r="R278">
        <v>70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>
      <c r="A279">
        <v>378.69020540735193</v>
      </c>
      <c r="B279">
        <v>56.000000000000007</v>
      </c>
      <c r="C279">
        <v>4.7336275675918991</v>
      </c>
      <c r="D279">
        <v>462.30200000000008</v>
      </c>
      <c r="E279">
        <v>686.31312182133888</v>
      </c>
      <c r="F279">
        <v>168.72059999999999</v>
      </c>
      <c r="G279">
        <v>73.408600000000007</v>
      </c>
      <c r="H279">
        <v>7</v>
      </c>
      <c r="I279">
        <v>56</v>
      </c>
      <c r="J279">
        <v>5</v>
      </c>
      <c r="K279">
        <v>125</v>
      </c>
      <c r="L279">
        <v>57</v>
      </c>
      <c r="M279">
        <v>25</v>
      </c>
      <c r="N279">
        <v>1995</v>
      </c>
      <c r="O279">
        <v>0.27</v>
      </c>
      <c r="P279">
        <v>2.4700000000000002</v>
      </c>
      <c r="Q279">
        <v>1.4999999999999999E-2</v>
      </c>
      <c r="R279">
        <v>70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>
      <c r="A280">
        <v>378.6395907964822</v>
      </c>
      <c r="B280">
        <v>56</v>
      </c>
      <c r="C280">
        <v>4.7329948849560273</v>
      </c>
      <c r="D280">
        <v>394.13952000000012</v>
      </c>
      <c r="E280">
        <v>690.41300707042649</v>
      </c>
      <c r="F280">
        <v>164.36951999999999</v>
      </c>
      <c r="G280">
        <v>73.481040000000007</v>
      </c>
      <c r="H280">
        <v>7</v>
      </c>
      <c r="I280">
        <v>54</v>
      </c>
      <c r="J280">
        <v>5</v>
      </c>
      <c r="K280">
        <v>133</v>
      </c>
      <c r="L280">
        <v>59</v>
      </c>
      <c r="M280">
        <v>27</v>
      </c>
      <c r="N280">
        <v>1995</v>
      </c>
      <c r="O280">
        <v>0.27</v>
      </c>
      <c r="P280">
        <v>2.4700000000000002</v>
      </c>
      <c r="Q280">
        <v>1.4999999999999999E-2</v>
      </c>
      <c r="R280">
        <v>70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>
      <c r="A281">
        <v>378.34723079185278</v>
      </c>
      <c r="B281">
        <v>56</v>
      </c>
      <c r="C281">
        <v>4.7293403848981601</v>
      </c>
      <c r="D281">
        <v>454.22176000000007</v>
      </c>
      <c r="E281">
        <v>689.14680227244003</v>
      </c>
      <c r="F281">
        <v>167.00891999999999</v>
      </c>
      <c r="G281">
        <v>73.398920000000018</v>
      </c>
      <c r="H281">
        <v>7</v>
      </c>
      <c r="I281">
        <v>55</v>
      </c>
      <c r="J281">
        <v>5</v>
      </c>
      <c r="K281">
        <v>41</v>
      </c>
      <c r="L281">
        <v>57</v>
      </c>
      <c r="M281">
        <v>27</v>
      </c>
      <c r="N281">
        <v>1995</v>
      </c>
      <c r="O281">
        <v>0.27</v>
      </c>
      <c r="P281">
        <v>2.4700000000000002</v>
      </c>
      <c r="Q281">
        <v>1.4999999999999999E-2</v>
      </c>
      <c r="R281">
        <v>70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>
      <c r="A282">
        <v>378.16092661610952</v>
      </c>
      <c r="B282">
        <v>56</v>
      </c>
      <c r="C282">
        <v>4.7270115827013699</v>
      </c>
      <c r="D282">
        <v>458.19799999999998</v>
      </c>
      <c r="E282">
        <v>686.31312182133888</v>
      </c>
      <c r="F282">
        <v>168.61799999999999</v>
      </c>
      <c r="G282">
        <v>73.305999999999997</v>
      </c>
      <c r="H282">
        <v>7</v>
      </c>
      <c r="I282">
        <v>56</v>
      </c>
      <c r="J282">
        <v>5</v>
      </c>
      <c r="K282">
        <v>124</v>
      </c>
      <c r="L282">
        <v>57</v>
      </c>
      <c r="M282">
        <v>25</v>
      </c>
      <c r="N282">
        <v>1995</v>
      </c>
      <c r="O282">
        <v>0.27</v>
      </c>
      <c r="P282">
        <v>2.4700000000000002</v>
      </c>
      <c r="Q282">
        <v>1.4999999999999999E-2</v>
      </c>
      <c r="R282">
        <v>70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>
      <c r="A283">
        <v>377.96819968656098</v>
      </c>
      <c r="B283">
        <v>56</v>
      </c>
      <c r="C283">
        <v>4.7246024960820128</v>
      </c>
      <c r="D283">
        <v>400.08942000000002</v>
      </c>
      <c r="E283">
        <v>689.79253112033211</v>
      </c>
      <c r="F283">
        <v>165.15822</v>
      </c>
      <c r="G283">
        <v>73.33832000000001</v>
      </c>
      <c r="H283">
        <v>8</v>
      </c>
      <c r="I283">
        <v>58</v>
      </c>
      <c r="J283">
        <v>4</v>
      </c>
      <c r="K283">
        <v>38</v>
      </c>
      <c r="L283">
        <v>52</v>
      </c>
      <c r="M283">
        <v>5</v>
      </c>
      <c r="N283">
        <v>1995</v>
      </c>
      <c r="O283">
        <v>0.27</v>
      </c>
      <c r="P283">
        <v>2.4700000000000002</v>
      </c>
      <c r="Q283">
        <v>1.4999999999999999E-2</v>
      </c>
      <c r="R283">
        <v>70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>
      <c r="A284">
        <v>409.38225996421181</v>
      </c>
      <c r="B284">
        <v>60.666666666666671</v>
      </c>
      <c r="C284">
        <v>4.7236414611255206</v>
      </c>
      <c r="D284">
        <v>676.60559999999998</v>
      </c>
      <c r="E284">
        <v>688.64523751642855</v>
      </c>
      <c r="F284">
        <v>162.3528</v>
      </c>
      <c r="G284">
        <v>79.408799999999999</v>
      </c>
      <c r="H284">
        <v>326</v>
      </c>
      <c r="I284">
        <v>64</v>
      </c>
      <c r="J284">
        <v>72</v>
      </c>
      <c r="K284">
        <v>262</v>
      </c>
      <c r="L284">
        <v>49</v>
      </c>
      <c r="M284">
        <v>20</v>
      </c>
      <c r="N284">
        <v>1995</v>
      </c>
      <c r="O284">
        <v>0.27</v>
      </c>
      <c r="P284">
        <v>2.4700000000000002</v>
      </c>
      <c r="Q284">
        <v>1.4999999999999999E-2</v>
      </c>
      <c r="R284">
        <v>70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>
      <c r="A285">
        <v>377.4922676482413</v>
      </c>
      <c r="B285">
        <v>56.000000000000007</v>
      </c>
      <c r="C285">
        <v>4.7186533456030153</v>
      </c>
      <c r="D285">
        <v>407.65120000000002</v>
      </c>
      <c r="E285">
        <v>692.71369294605802</v>
      </c>
      <c r="F285">
        <v>167.8912</v>
      </c>
      <c r="G285">
        <v>73.304400000000001</v>
      </c>
      <c r="H285">
        <v>6</v>
      </c>
      <c r="I285">
        <v>55</v>
      </c>
      <c r="J285">
        <v>6</v>
      </c>
      <c r="K285">
        <v>98</v>
      </c>
      <c r="L285">
        <v>57</v>
      </c>
      <c r="M285">
        <v>8</v>
      </c>
      <c r="N285">
        <v>1995</v>
      </c>
      <c r="O285">
        <v>0.27</v>
      </c>
      <c r="P285">
        <v>2.4700000000000002</v>
      </c>
      <c r="Q285">
        <v>1.4999999999999999E-2</v>
      </c>
      <c r="R285">
        <v>70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>
      <c r="A286">
        <v>385.75998464203627</v>
      </c>
      <c r="B286">
        <v>57.235294117647072</v>
      </c>
      <c r="C286">
        <v>4.7179278697227449</v>
      </c>
      <c r="D286">
        <v>454.55540000000002</v>
      </c>
      <c r="E286">
        <v>689.55799411043665</v>
      </c>
      <c r="F286">
        <v>167.654236</v>
      </c>
      <c r="G286">
        <v>74.845390000000009</v>
      </c>
      <c r="H286">
        <v>7</v>
      </c>
      <c r="I286">
        <v>55</v>
      </c>
      <c r="J286">
        <v>5</v>
      </c>
      <c r="K286">
        <v>77</v>
      </c>
      <c r="L286">
        <v>58</v>
      </c>
      <c r="M286">
        <v>38</v>
      </c>
      <c r="N286">
        <v>1995</v>
      </c>
      <c r="O286">
        <v>0.27</v>
      </c>
      <c r="P286">
        <v>2.4700000000000002</v>
      </c>
      <c r="Q286">
        <v>1.4999999999999999E-2</v>
      </c>
      <c r="R286">
        <v>70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>
      <c r="A287">
        <v>385.56119133482468</v>
      </c>
      <c r="B287">
        <v>57.235294117647072</v>
      </c>
      <c r="C287">
        <v>4.7154965846705172</v>
      </c>
      <c r="D287">
        <v>454.44520000000011</v>
      </c>
      <c r="E287">
        <v>689.55799411043665</v>
      </c>
      <c r="F287">
        <v>167.61676800000001</v>
      </c>
      <c r="G287">
        <v>74.806820000000002</v>
      </c>
      <c r="H287">
        <v>7</v>
      </c>
      <c r="I287">
        <v>55</v>
      </c>
      <c r="J287">
        <v>5</v>
      </c>
      <c r="K287">
        <v>312</v>
      </c>
      <c r="L287">
        <v>58</v>
      </c>
      <c r="M287">
        <v>38</v>
      </c>
      <c r="N287">
        <v>1995</v>
      </c>
      <c r="O287">
        <v>0.27</v>
      </c>
      <c r="P287">
        <v>2.4700000000000002</v>
      </c>
      <c r="Q287">
        <v>1.4999999999999999E-2</v>
      </c>
      <c r="R287">
        <v>70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>
      <c r="A288">
        <v>377.11348675868231</v>
      </c>
      <c r="B288">
        <v>56</v>
      </c>
      <c r="C288">
        <v>4.7139185844835287</v>
      </c>
      <c r="D288">
        <v>428.31151999999997</v>
      </c>
      <c r="E288">
        <v>690.17001608052192</v>
      </c>
      <c r="F288">
        <v>166.69296</v>
      </c>
      <c r="G288">
        <v>73.180019999999999</v>
      </c>
      <c r="H288">
        <v>8</v>
      </c>
      <c r="I288">
        <v>56</v>
      </c>
      <c r="J288">
        <v>4</v>
      </c>
      <c r="K288">
        <v>187</v>
      </c>
      <c r="L288">
        <v>57</v>
      </c>
      <c r="M288">
        <v>23</v>
      </c>
      <c r="N288">
        <v>1995</v>
      </c>
      <c r="O288">
        <v>0.27</v>
      </c>
      <c r="P288">
        <v>2.4700000000000002</v>
      </c>
      <c r="Q288">
        <v>1.4999999999999999E-2</v>
      </c>
      <c r="R288">
        <v>70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>
      <c r="A289">
        <v>376.69535852940498</v>
      </c>
      <c r="B289">
        <v>56</v>
      </c>
      <c r="C289">
        <v>4.7086919816175632</v>
      </c>
      <c r="D289">
        <v>444.88799999999998</v>
      </c>
      <c r="E289">
        <v>689.90041493775936</v>
      </c>
      <c r="F289">
        <v>163.83600000000001</v>
      </c>
      <c r="G289">
        <v>73.093500000000006</v>
      </c>
      <c r="H289">
        <v>9</v>
      </c>
      <c r="I289">
        <v>59</v>
      </c>
      <c r="J289">
        <v>3</v>
      </c>
      <c r="K289">
        <v>74</v>
      </c>
      <c r="L289">
        <v>54</v>
      </c>
      <c r="M289">
        <v>2</v>
      </c>
      <c r="N289">
        <v>1995</v>
      </c>
      <c r="O289">
        <v>0.27</v>
      </c>
      <c r="P289">
        <v>2.4700000000000002</v>
      </c>
      <c r="Q289">
        <v>1.4999999999999999E-2</v>
      </c>
      <c r="R289">
        <v>70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>
      <c r="A290">
        <v>376.32216726933359</v>
      </c>
      <c r="B290">
        <v>56</v>
      </c>
      <c r="C290">
        <v>4.7040270908666697</v>
      </c>
      <c r="D290">
        <v>444.49919999999997</v>
      </c>
      <c r="E290">
        <v>687.03236514522825</v>
      </c>
      <c r="F290">
        <v>163.7064</v>
      </c>
      <c r="G290">
        <v>72.963899999999995</v>
      </c>
      <c r="H290">
        <v>9</v>
      </c>
      <c r="I290">
        <v>59</v>
      </c>
      <c r="J290">
        <v>3</v>
      </c>
      <c r="K290">
        <v>176</v>
      </c>
      <c r="L290">
        <v>54</v>
      </c>
      <c r="M290">
        <v>4</v>
      </c>
      <c r="N290">
        <v>1995</v>
      </c>
      <c r="O290">
        <v>0.27</v>
      </c>
      <c r="P290">
        <v>2.4700000000000002</v>
      </c>
      <c r="Q290">
        <v>1.4999999999999999E-2</v>
      </c>
      <c r="R290">
        <v>70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>
      <c r="A291">
        <v>385.40078069343059</v>
      </c>
      <c r="B291">
        <v>57.358208955223887</v>
      </c>
      <c r="C291">
        <v>4.703433935602888</v>
      </c>
      <c r="D291">
        <v>452.76087999999999</v>
      </c>
      <c r="E291">
        <v>689.02004388629075</v>
      </c>
      <c r="F291">
        <v>166.6524948</v>
      </c>
      <c r="G291">
        <v>74.764712000000003</v>
      </c>
      <c r="H291">
        <v>7</v>
      </c>
      <c r="I291">
        <v>55</v>
      </c>
      <c r="J291">
        <v>5</v>
      </c>
      <c r="K291">
        <v>316</v>
      </c>
      <c r="L291">
        <v>58</v>
      </c>
      <c r="M291">
        <v>32</v>
      </c>
      <c r="N291">
        <v>1995</v>
      </c>
      <c r="O291">
        <v>0.27</v>
      </c>
      <c r="P291">
        <v>2.4700000000000002</v>
      </c>
      <c r="Q291">
        <v>1.4999999999999999E-2</v>
      </c>
      <c r="R291">
        <v>70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>
      <c r="A292">
        <v>376.19842293622992</v>
      </c>
      <c r="B292">
        <v>56</v>
      </c>
      <c r="C292">
        <v>4.7024802867028743</v>
      </c>
      <c r="D292">
        <v>401.87279999999998</v>
      </c>
      <c r="E292">
        <v>688.49792531120329</v>
      </c>
      <c r="F292">
        <v>166.94159999999999</v>
      </c>
      <c r="G292">
        <v>72.969120000000004</v>
      </c>
      <c r="H292">
        <v>8</v>
      </c>
      <c r="I292">
        <v>56</v>
      </c>
      <c r="J292">
        <v>4</v>
      </c>
      <c r="K292">
        <v>205</v>
      </c>
      <c r="L292">
        <v>57</v>
      </c>
      <c r="M292">
        <v>28</v>
      </c>
      <c r="N292">
        <v>1995</v>
      </c>
      <c r="O292">
        <v>0.27</v>
      </c>
      <c r="P292">
        <v>2.4700000000000002</v>
      </c>
      <c r="Q292">
        <v>1.4999999999999999E-2</v>
      </c>
      <c r="R292">
        <v>70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>
      <c r="A293">
        <v>376.0276908468303</v>
      </c>
      <c r="B293">
        <v>56.000000000000007</v>
      </c>
      <c r="C293">
        <v>4.7003461355853791</v>
      </c>
      <c r="D293">
        <v>396.24373000000003</v>
      </c>
      <c r="E293">
        <v>692.29875518672191</v>
      </c>
      <c r="F293">
        <v>165.36373</v>
      </c>
      <c r="G293">
        <v>73.01173</v>
      </c>
      <c r="H293">
        <v>6</v>
      </c>
      <c r="I293">
        <v>52</v>
      </c>
      <c r="J293">
        <v>6</v>
      </c>
      <c r="K293">
        <v>62</v>
      </c>
      <c r="L293">
        <v>61</v>
      </c>
      <c r="M293">
        <v>29</v>
      </c>
      <c r="N293">
        <v>1995</v>
      </c>
      <c r="O293">
        <v>0.27</v>
      </c>
      <c r="P293">
        <v>2.4700000000000002</v>
      </c>
      <c r="Q293">
        <v>1.4999999999999999E-2</v>
      </c>
      <c r="R293">
        <v>70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>
      <c r="A294">
        <v>375.94526930201209</v>
      </c>
      <c r="B294">
        <v>56</v>
      </c>
      <c r="C294">
        <v>4.6993158662751524</v>
      </c>
      <c r="D294">
        <v>427.85568000000012</v>
      </c>
      <c r="E294">
        <v>690.96302891094388</v>
      </c>
      <c r="F294">
        <v>166.94159999999999</v>
      </c>
      <c r="G294">
        <v>72.969120000000004</v>
      </c>
      <c r="H294">
        <v>8</v>
      </c>
      <c r="I294">
        <v>56</v>
      </c>
      <c r="J294">
        <v>4</v>
      </c>
      <c r="K294">
        <v>211</v>
      </c>
      <c r="L294">
        <v>57</v>
      </c>
      <c r="M294">
        <v>28</v>
      </c>
      <c r="N294">
        <v>1995</v>
      </c>
      <c r="O294">
        <v>0.27</v>
      </c>
      <c r="P294">
        <v>2.4700000000000002</v>
      </c>
      <c r="Q294">
        <v>1.4999999999999999E-2</v>
      </c>
      <c r="R294">
        <v>70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>
      <c r="A295">
        <v>375.94347973264632</v>
      </c>
      <c r="B295">
        <v>56</v>
      </c>
      <c r="C295">
        <v>4.6992934966580791</v>
      </c>
      <c r="D295">
        <v>974.66399999999999</v>
      </c>
      <c r="E295">
        <v>683.78735995289367</v>
      </c>
      <c r="F295">
        <v>162.04751999999999</v>
      </c>
      <c r="G295">
        <v>72.825839999999999</v>
      </c>
      <c r="H295">
        <v>2</v>
      </c>
      <c r="I295">
        <v>51</v>
      </c>
      <c r="J295">
        <v>8</v>
      </c>
      <c r="K295">
        <v>165</v>
      </c>
      <c r="L295">
        <v>61</v>
      </c>
      <c r="M295">
        <v>22</v>
      </c>
      <c r="N295">
        <v>1995</v>
      </c>
      <c r="O295">
        <v>0.27</v>
      </c>
      <c r="P295">
        <v>2.4700000000000002</v>
      </c>
      <c r="Q295">
        <v>1.4999999999999999E-2</v>
      </c>
      <c r="R295">
        <v>70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>
      <c r="A296">
        <v>375.28155029897511</v>
      </c>
      <c r="B296">
        <v>56</v>
      </c>
      <c r="C296">
        <v>4.691019378737189</v>
      </c>
      <c r="D296">
        <v>395.83091999999999</v>
      </c>
      <c r="E296">
        <v>688.96265560165978</v>
      </c>
      <c r="F296">
        <v>165.09492</v>
      </c>
      <c r="G296">
        <v>72.800520000000006</v>
      </c>
      <c r="H296">
        <v>8</v>
      </c>
      <c r="I296">
        <v>55</v>
      </c>
      <c r="J296">
        <v>4</v>
      </c>
      <c r="K296">
        <v>266</v>
      </c>
      <c r="L296">
        <v>58</v>
      </c>
      <c r="M296">
        <v>27</v>
      </c>
      <c r="N296">
        <v>1995</v>
      </c>
      <c r="O296">
        <v>0.27</v>
      </c>
      <c r="P296">
        <v>2.4700000000000002</v>
      </c>
      <c r="Q296">
        <v>1.4999999999999999E-2</v>
      </c>
      <c r="R296">
        <v>70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>
      <c r="A297">
        <v>375.03425548576843</v>
      </c>
      <c r="B297">
        <v>56</v>
      </c>
      <c r="C297">
        <v>4.6879281935721044</v>
      </c>
      <c r="D297">
        <v>377.34598</v>
      </c>
      <c r="E297">
        <v>689.43734439834009</v>
      </c>
      <c r="F297">
        <v>159.78598</v>
      </c>
      <c r="G297">
        <v>72.761980000000008</v>
      </c>
      <c r="H297">
        <v>6</v>
      </c>
      <c r="I297">
        <v>49</v>
      </c>
      <c r="J297">
        <v>6</v>
      </c>
      <c r="K297">
        <v>155</v>
      </c>
      <c r="L297">
        <v>58</v>
      </c>
      <c r="M297">
        <v>47</v>
      </c>
      <c r="N297">
        <v>1995</v>
      </c>
      <c r="O297">
        <v>0.27</v>
      </c>
      <c r="P297">
        <v>2.4700000000000002</v>
      </c>
      <c r="Q297">
        <v>1.4999999999999999E-2</v>
      </c>
      <c r="R297">
        <v>70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>
      <c r="A298">
        <v>363.26333665514738</v>
      </c>
      <c r="B298">
        <v>54.32</v>
      </c>
      <c r="C298">
        <v>4.6812285651436527</v>
      </c>
      <c r="D298">
        <v>412.74</v>
      </c>
      <c r="E298">
        <v>687.60568694758308</v>
      </c>
      <c r="F298">
        <v>161.41499999999999</v>
      </c>
      <c r="G298">
        <v>70.442999999999998</v>
      </c>
      <c r="H298">
        <v>9</v>
      </c>
      <c r="I298">
        <v>54</v>
      </c>
      <c r="J298">
        <v>3</v>
      </c>
      <c r="K298">
        <v>236</v>
      </c>
      <c r="L298">
        <v>59</v>
      </c>
      <c r="M298">
        <v>24</v>
      </c>
      <c r="N298">
        <v>1995</v>
      </c>
      <c r="O298">
        <v>0.27</v>
      </c>
      <c r="P298">
        <v>2.4700000000000002</v>
      </c>
      <c r="Q298">
        <v>1.4999999999999999E-2</v>
      </c>
      <c r="R298">
        <v>70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>
      <c r="A299">
        <v>374.24867600449591</v>
      </c>
      <c r="B299">
        <v>56</v>
      </c>
      <c r="C299">
        <v>4.6781084500561994</v>
      </c>
      <c r="D299">
        <v>1061.3399999999999</v>
      </c>
      <c r="E299">
        <v>677.75933609958508</v>
      </c>
      <c r="F299">
        <v>165.20400000000001</v>
      </c>
      <c r="G299">
        <v>72.378</v>
      </c>
      <c r="H299">
        <v>2</v>
      </c>
      <c r="I299">
        <v>54</v>
      </c>
      <c r="J299">
        <v>8</v>
      </c>
      <c r="K299">
        <v>111</v>
      </c>
      <c r="L299">
        <v>59</v>
      </c>
      <c r="M299">
        <v>10</v>
      </c>
      <c r="N299">
        <v>1995</v>
      </c>
      <c r="O299">
        <v>0.27</v>
      </c>
      <c r="P299">
        <v>2.4700000000000002</v>
      </c>
      <c r="Q299">
        <v>1.4999999999999999E-2</v>
      </c>
      <c r="R299">
        <v>70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>
      <c r="A300">
        <v>374.21200207419997</v>
      </c>
      <c r="B300">
        <v>56.000000000000007</v>
      </c>
      <c r="C300">
        <v>4.6776500259275</v>
      </c>
      <c r="D300">
        <v>395.22375000000011</v>
      </c>
      <c r="E300">
        <v>691.85062240663899</v>
      </c>
      <c r="F300">
        <v>164.48775000000001</v>
      </c>
      <c r="G300">
        <v>72.650300000000001</v>
      </c>
      <c r="H300">
        <v>8</v>
      </c>
      <c r="I300">
        <v>55</v>
      </c>
      <c r="J300">
        <v>4</v>
      </c>
      <c r="K300">
        <v>206</v>
      </c>
      <c r="L300">
        <v>58</v>
      </c>
      <c r="M300">
        <v>26</v>
      </c>
      <c r="N300">
        <v>1995</v>
      </c>
      <c r="O300">
        <v>0.27</v>
      </c>
      <c r="P300">
        <v>2.4700000000000002</v>
      </c>
      <c r="Q300">
        <v>1.4999999999999999E-2</v>
      </c>
      <c r="R300">
        <v>70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>
      <c r="A301">
        <v>375.08374655927912</v>
      </c>
      <c r="B301">
        <v>56.190909090909088</v>
      </c>
      <c r="C301">
        <v>4.6726174543058558</v>
      </c>
      <c r="D301">
        <v>422.46408000000002</v>
      </c>
      <c r="E301">
        <v>692.10622406638993</v>
      </c>
      <c r="F301">
        <v>165.05604</v>
      </c>
      <c r="G301">
        <v>72.824622000000005</v>
      </c>
      <c r="H301">
        <v>6</v>
      </c>
      <c r="I301">
        <v>52</v>
      </c>
      <c r="J301">
        <v>6</v>
      </c>
      <c r="K301">
        <v>113</v>
      </c>
      <c r="L301">
        <v>58</v>
      </c>
      <c r="M301">
        <v>27</v>
      </c>
      <c r="N301">
        <v>1995</v>
      </c>
      <c r="O301">
        <v>0.27</v>
      </c>
      <c r="P301">
        <v>2.4700000000000002</v>
      </c>
      <c r="Q301">
        <v>1.4999999999999999E-2</v>
      </c>
      <c r="R301">
        <v>70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>
      <c r="A302">
        <v>373.44306848279689</v>
      </c>
      <c r="B302">
        <v>56</v>
      </c>
      <c r="C302">
        <v>4.6680383560349616</v>
      </c>
      <c r="D302">
        <v>420.89472000000001</v>
      </c>
      <c r="E302">
        <v>690.15767634854774</v>
      </c>
      <c r="F302">
        <v>164.30016000000001</v>
      </c>
      <c r="G302">
        <v>72.467520000000007</v>
      </c>
      <c r="H302">
        <v>8</v>
      </c>
      <c r="I302">
        <v>55</v>
      </c>
      <c r="J302">
        <v>4</v>
      </c>
      <c r="K302">
        <v>258</v>
      </c>
      <c r="L302">
        <v>57</v>
      </c>
      <c r="M302">
        <v>24</v>
      </c>
      <c r="N302">
        <v>1995</v>
      </c>
      <c r="O302">
        <v>0.27</v>
      </c>
      <c r="P302">
        <v>2.4700000000000002</v>
      </c>
      <c r="Q302">
        <v>1.4999999999999999E-2</v>
      </c>
      <c r="R302">
        <v>70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>
      <c r="A303">
        <v>372.74889229072852</v>
      </c>
      <c r="B303">
        <v>56</v>
      </c>
      <c r="C303">
        <v>4.659361153634106</v>
      </c>
      <c r="D303">
        <v>399.45348000000001</v>
      </c>
      <c r="E303">
        <v>691.91701244813271</v>
      </c>
      <c r="F303">
        <v>157.10274000000001</v>
      </c>
      <c r="G303">
        <v>72.367559999999997</v>
      </c>
      <c r="H303">
        <v>6</v>
      </c>
      <c r="I303">
        <v>48</v>
      </c>
      <c r="J303">
        <v>6</v>
      </c>
      <c r="K303">
        <v>60</v>
      </c>
      <c r="L303">
        <v>58</v>
      </c>
      <c r="M303">
        <v>42</v>
      </c>
      <c r="N303">
        <v>1995</v>
      </c>
      <c r="O303">
        <v>0.27</v>
      </c>
      <c r="P303">
        <v>2.4700000000000002</v>
      </c>
      <c r="Q303">
        <v>1.4999999999999999E-2</v>
      </c>
      <c r="R303">
        <v>70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>
      <c r="A304">
        <v>386.45005081524363</v>
      </c>
      <c r="B304">
        <v>58.100000000000009</v>
      </c>
      <c r="C304">
        <v>4.6560247086173936</v>
      </c>
      <c r="D304">
        <v>450.512</v>
      </c>
      <c r="E304">
        <v>689.72614107883817</v>
      </c>
      <c r="F304">
        <v>174.64</v>
      </c>
      <c r="G304">
        <v>74.98272</v>
      </c>
      <c r="H304">
        <v>6</v>
      </c>
      <c r="I304">
        <v>57</v>
      </c>
      <c r="J304">
        <v>6</v>
      </c>
      <c r="K304">
        <v>91</v>
      </c>
      <c r="L304">
        <v>56</v>
      </c>
      <c r="M304">
        <v>7</v>
      </c>
      <c r="N304">
        <v>1995</v>
      </c>
      <c r="O304">
        <v>0.27</v>
      </c>
      <c r="P304">
        <v>2.4700000000000002</v>
      </c>
      <c r="Q304">
        <v>1.4999999999999999E-2</v>
      </c>
      <c r="R304">
        <v>70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>
      <c r="A305">
        <v>371.86065180584029</v>
      </c>
      <c r="B305">
        <v>56.000000000000007</v>
      </c>
      <c r="C305">
        <v>4.6482581475730047</v>
      </c>
      <c r="D305">
        <v>414.12768</v>
      </c>
      <c r="E305">
        <v>692.10622406639015</v>
      </c>
      <c r="F305">
        <v>162.10883999999999</v>
      </c>
      <c r="G305">
        <v>72.19883999999999</v>
      </c>
      <c r="H305">
        <v>9</v>
      </c>
      <c r="I305">
        <v>54</v>
      </c>
      <c r="J305">
        <v>3</v>
      </c>
      <c r="K305">
        <v>247</v>
      </c>
      <c r="L305">
        <v>59</v>
      </c>
      <c r="M305">
        <v>32</v>
      </c>
      <c r="N305">
        <v>1995</v>
      </c>
      <c r="O305">
        <v>0.27</v>
      </c>
      <c r="P305">
        <v>2.4700000000000002</v>
      </c>
      <c r="Q305">
        <v>1.4999999999999999E-2</v>
      </c>
      <c r="R305">
        <v>70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>
      <c r="A306">
        <v>371.5702240656496</v>
      </c>
      <c r="B306">
        <v>56</v>
      </c>
      <c r="C306">
        <v>4.6446278008206203</v>
      </c>
      <c r="D306">
        <v>392.66250000000002</v>
      </c>
      <c r="E306">
        <v>692.48962655601667</v>
      </c>
      <c r="F306">
        <v>163.72499999999999</v>
      </c>
      <c r="G306">
        <v>72.150000000000006</v>
      </c>
      <c r="H306">
        <v>9</v>
      </c>
      <c r="I306">
        <v>55</v>
      </c>
      <c r="J306">
        <v>3</v>
      </c>
      <c r="K306">
        <v>265</v>
      </c>
      <c r="L306">
        <v>57</v>
      </c>
      <c r="M306">
        <v>25</v>
      </c>
      <c r="N306">
        <v>1995</v>
      </c>
      <c r="O306">
        <v>0.27</v>
      </c>
      <c r="P306">
        <v>2.4700000000000002</v>
      </c>
      <c r="Q306">
        <v>1.4999999999999999E-2</v>
      </c>
      <c r="R306">
        <v>70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>
      <c r="A307">
        <v>371.11984847096608</v>
      </c>
      <c r="B307">
        <v>56</v>
      </c>
      <c r="C307">
        <v>4.6389981058870768</v>
      </c>
      <c r="D307">
        <v>413.77839999999998</v>
      </c>
      <c r="E307">
        <v>690.53941908713693</v>
      </c>
      <c r="F307">
        <v>161.9342</v>
      </c>
      <c r="G307">
        <v>72.024199999999993</v>
      </c>
      <c r="H307">
        <v>9</v>
      </c>
      <c r="I307">
        <v>54</v>
      </c>
      <c r="J307">
        <v>3</v>
      </c>
      <c r="K307">
        <v>250</v>
      </c>
      <c r="L307">
        <v>59</v>
      </c>
      <c r="M307">
        <v>31</v>
      </c>
      <c r="N307">
        <v>1995</v>
      </c>
      <c r="O307">
        <v>0.27</v>
      </c>
      <c r="P307">
        <v>2.4700000000000002</v>
      </c>
      <c r="Q307">
        <v>1.4999999999999999E-2</v>
      </c>
      <c r="R307">
        <v>70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>
      <c r="A308">
        <v>371.11984847096608</v>
      </c>
      <c r="B308">
        <v>56</v>
      </c>
      <c r="C308">
        <v>4.6389981058870768</v>
      </c>
      <c r="D308">
        <v>413.77839999999998</v>
      </c>
      <c r="E308">
        <v>690.53941908713693</v>
      </c>
      <c r="F308">
        <v>161.9342</v>
      </c>
      <c r="G308">
        <v>72.024199999999993</v>
      </c>
      <c r="H308">
        <v>9</v>
      </c>
      <c r="I308">
        <v>54</v>
      </c>
      <c r="J308">
        <v>3</v>
      </c>
      <c r="K308">
        <v>251</v>
      </c>
      <c r="L308">
        <v>59</v>
      </c>
      <c r="M308">
        <v>31</v>
      </c>
      <c r="N308">
        <v>1995</v>
      </c>
      <c r="O308">
        <v>0.27</v>
      </c>
      <c r="P308">
        <v>2.4700000000000002</v>
      </c>
      <c r="Q308">
        <v>1.4999999999999999E-2</v>
      </c>
      <c r="R308">
        <v>70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>
      <c r="A309">
        <v>370.69546514277391</v>
      </c>
      <c r="B309">
        <v>56</v>
      </c>
      <c r="C309">
        <v>4.633693314284673</v>
      </c>
      <c r="D309">
        <v>445.68720000000002</v>
      </c>
      <c r="E309">
        <v>677.9668049792532</v>
      </c>
      <c r="F309">
        <v>164.10239999999999</v>
      </c>
      <c r="G309">
        <v>71.69489999999999</v>
      </c>
      <c r="H309">
        <v>9</v>
      </c>
      <c r="I309">
        <v>57</v>
      </c>
      <c r="J309">
        <v>3</v>
      </c>
      <c r="K309">
        <v>99</v>
      </c>
      <c r="L309">
        <v>56</v>
      </c>
      <c r="M309">
        <v>10</v>
      </c>
      <c r="N309">
        <v>1995</v>
      </c>
      <c r="O309">
        <v>0.27</v>
      </c>
      <c r="P309">
        <v>2.4700000000000002</v>
      </c>
      <c r="Q309">
        <v>1.4999999999999999E-2</v>
      </c>
      <c r="R309">
        <v>70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>
      <c r="A310">
        <v>370.57976016720511</v>
      </c>
      <c r="B310">
        <v>56</v>
      </c>
      <c r="C310">
        <v>4.6322470020900637</v>
      </c>
      <c r="D310">
        <v>417.68560000000002</v>
      </c>
      <c r="E310">
        <v>691.54356846473047</v>
      </c>
      <c r="F310">
        <v>163.05529999999999</v>
      </c>
      <c r="G310">
        <v>71.93910000000001</v>
      </c>
      <c r="H310">
        <v>9</v>
      </c>
      <c r="I310">
        <v>55</v>
      </c>
      <c r="J310">
        <v>3</v>
      </c>
      <c r="K310">
        <v>246</v>
      </c>
      <c r="L310">
        <v>57</v>
      </c>
      <c r="M310">
        <v>20</v>
      </c>
      <c r="N310">
        <v>1995</v>
      </c>
      <c r="O310">
        <v>0.27</v>
      </c>
      <c r="P310">
        <v>2.4700000000000002</v>
      </c>
      <c r="Q310">
        <v>1.4999999999999999E-2</v>
      </c>
      <c r="R310">
        <v>70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>
      <c r="A311">
        <v>370.53715891935298</v>
      </c>
      <c r="B311">
        <v>56.000000000000007</v>
      </c>
      <c r="C311">
        <v>4.6317144864919113</v>
      </c>
      <c r="D311">
        <v>389.01056000000011</v>
      </c>
      <c r="E311">
        <v>687.60165975103746</v>
      </c>
      <c r="F311">
        <v>162.46976000000001</v>
      </c>
      <c r="G311">
        <v>71.853440000000006</v>
      </c>
      <c r="H311">
        <v>8</v>
      </c>
      <c r="I311">
        <v>54</v>
      </c>
      <c r="J311">
        <v>4</v>
      </c>
      <c r="K311">
        <v>204</v>
      </c>
      <c r="L311">
        <v>59</v>
      </c>
      <c r="M311">
        <v>32</v>
      </c>
      <c r="N311">
        <v>1995</v>
      </c>
      <c r="O311">
        <v>0.27</v>
      </c>
      <c r="P311">
        <v>2.4700000000000002</v>
      </c>
      <c r="Q311">
        <v>1.4999999999999999E-2</v>
      </c>
      <c r="R311">
        <v>70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>
      <c r="A312">
        <v>370.53715891935298</v>
      </c>
      <c r="B312">
        <v>56.000000000000007</v>
      </c>
      <c r="C312">
        <v>4.6317144864919113</v>
      </c>
      <c r="D312">
        <v>389.01056000000011</v>
      </c>
      <c r="E312">
        <v>687.60165975103746</v>
      </c>
      <c r="F312">
        <v>162.46976000000001</v>
      </c>
      <c r="G312">
        <v>71.853440000000006</v>
      </c>
      <c r="H312">
        <v>8</v>
      </c>
      <c r="I312">
        <v>54</v>
      </c>
      <c r="J312">
        <v>4</v>
      </c>
      <c r="K312">
        <v>207</v>
      </c>
      <c r="L312">
        <v>59</v>
      </c>
      <c r="M312">
        <v>32</v>
      </c>
      <c r="N312">
        <v>1995</v>
      </c>
      <c r="O312">
        <v>0.27</v>
      </c>
      <c r="P312">
        <v>2.4700000000000002</v>
      </c>
      <c r="Q312">
        <v>1.4999999999999999E-2</v>
      </c>
      <c r="R312">
        <v>70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>
      <c r="A313">
        <v>370.42441463834871</v>
      </c>
      <c r="B313">
        <v>56</v>
      </c>
      <c r="C313">
        <v>4.6303051829793587</v>
      </c>
      <c r="D313">
        <v>415.584</v>
      </c>
      <c r="E313">
        <v>692.51452282157675</v>
      </c>
      <c r="F313">
        <v>162.50399999999999</v>
      </c>
      <c r="G313">
        <v>71.927999999999997</v>
      </c>
      <c r="H313">
        <v>6</v>
      </c>
      <c r="I313">
        <v>51</v>
      </c>
      <c r="J313">
        <v>6</v>
      </c>
      <c r="K313">
        <v>249</v>
      </c>
      <c r="L313">
        <v>60</v>
      </c>
      <c r="M313">
        <v>30</v>
      </c>
      <c r="N313">
        <v>1995</v>
      </c>
      <c r="O313">
        <v>0.27</v>
      </c>
      <c r="P313">
        <v>2.4700000000000002</v>
      </c>
      <c r="Q313">
        <v>1.4999999999999999E-2</v>
      </c>
      <c r="R313">
        <v>70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>
      <c r="A314">
        <v>370.37841109716379</v>
      </c>
      <c r="B314">
        <v>56.000000000000007</v>
      </c>
      <c r="C314">
        <v>4.6297301387145469</v>
      </c>
      <c r="D314">
        <v>412.51744000000002</v>
      </c>
      <c r="E314">
        <v>688.97261410788383</v>
      </c>
      <c r="F314">
        <v>161.30372</v>
      </c>
      <c r="G314">
        <v>71.849559999999997</v>
      </c>
      <c r="H314">
        <v>9</v>
      </c>
      <c r="I314">
        <v>54</v>
      </c>
      <c r="J314">
        <v>3</v>
      </c>
      <c r="K314">
        <v>244</v>
      </c>
      <c r="L314">
        <v>59</v>
      </c>
      <c r="M314">
        <v>22</v>
      </c>
      <c r="N314">
        <v>1995</v>
      </c>
      <c r="O314">
        <v>0.27</v>
      </c>
      <c r="P314">
        <v>2.4700000000000002</v>
      </c>
      <c r="Q314">
        <v>1.4999999999999999E-2</v>
      </c>
      <c r="R314">
        <v>70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>
      <c r="A315">
        <v>370.34366495184162</v>
      </c>
      <c r="B315">
        <v>56</v>
      </c>
      <c r="C315">
        <v>4.6292958118980199</v>
      </c>
      <c r="D315">
        <v>431.44812000000002</v>
      </c>
      <c r="E315">
        <v>690.25892116182581</v>
      </c>
      <c r="F315">
        <v>167.77206000000001</v>
      </c>
      <c r="G315">
        <v>71.86806</v>
      </c>
      <c r="H315">
        <v>6</v>
      </c>
      <c r="I315">
        <v>54</v>
      </c>
      <c r="J315">
        <v>6</v>
      </c>
      <c r="K315">
        <v>278</v>
      </c>
      <c r="L315">
        <v>57</v>
      </c>
      <c r="M315">
        <v>9</v>
      </c>
      <c r="N315">
        <v>1995</v>
      </c>
      <c r="O315">
        <v>0.27</v>
      </c>
      <c r="P315">
        <v>2.4700000000000002</v>
      </c>
      <c r="Q315">
        <v>1.4999999999999999E-2</v>
      </c>
      <c r="R315">
        <v>70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>
      <c r="A316">
        <v>370.22662075985738</v>
      </c>
      <c r="B316">
        <v>56</v>
      </c>
      <c r="C316">
        <v>4.6278327594982178</v>
      </c>
      <c r="D316">
        <v>397.38</v>
      </c>
      <c r="E316">
        <v>691.64315352697099</v>
      </c>
      <c r="F316">
        <v>164.28</v>
      </c>
      <c r="G316">
        <v>71.872500000000002</v>
      </c>
      <c r="H316">
        <v>9</v>
      </c>
      <c r="I316">
        <v>57</v>
      </c>
      <c r="J316">
        <v>3</v>
      </c>
      <c r="K316">
        <v>63</v>
      </c>
      <c r="L316">
        <v>55</v>
      </c>
      <c r="M316">
        <v>12</v>
      </c>
      <c r="N316">
        <v>1995</v>
      </c>
      <c r="O316">
        <v>0.27</v>
      </c>
      <c r="P316">
        <v>2.4700000000000002</v>
      </c>
      <c r="Q316">
        <v>1.4999999999999999E-2</v>
      </c>
      <c r="R316">
        <v>70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>
      <c r="A317">
        <v>370.22662075985738</v>
      </c>
      <c r="B317">
        <v>56</v>
      </c>
      <c r="C317">
        <v>4.6278327594982178</v>
      </c>
      <c r="D317">
        <v>421.8</v>
      </c>
      <c r="E317">
        <v>691.64315352697099</v>
      </c>
      <c r="F317">
        <v>164.28</v>
      </c>
      <c r="G317">
        <v>71.872500000000002</v>
      </c>
      <c r="H317">
        <v>9</v>
      </c>
      <c r="I317">
        <v>57</v>
      </c>
      <c r="J317">
        <v>3</v>
      </c>
      <c r="K317">
        <v>259</v>
      </c>
      <c r="L317">
        <v>55</v>
      </c>
      <c r="M317">
        <v>12</v>
      </c>
      <c r="N317">
        <v>1995</v>
      </c>
      <c r="O317">
        <v>0.27</v>
      </c>
      <c r="P317">
        <v>2.4700000000000002</v>
      </c>
      <c r="Q317">
        <v>1.4999999999999999E-2</v>
      </c>
      <c r="R317">
        <v>70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>
      <c r="A318">
        <v>370.09638679766272</v>
      </c>
      <c r="B318">
        <v>56</v>
      </c>
      <c r="C318">
        <v>4.6262048349707836</v>
      </c>
      <c r="D318">
        <v>425.30892000000011</v>
      </c>
      <c r="E318">
        <v>683.91835985253624</v>
      </c>
      <c r="F318">
        <v>165.66821999999999</v>
      </c>
      <c r="G318">
        <v>71.695740000000001</v>
      </c>
      <c r="H318">
        <v>8</v>
      </c>
      <c r="I318">
        <v>56</v>
      </c>
      <c r="J318">
        <v>4</v>
      </c>
      <c r="K318">
        <v>303</v>
      </c>
      <c r="L318">
        <v>57</v>
      </c>
      <c r="M318">
        <v>17</v>
      </c>
      <c r="N318">
        <v>1995</v>
      </c>
      <c r="O318">
        <v>0.27</v>
      </c>
      <c r="P318">
        <v>2.4700000000000002</v>
      </c>
      <c r="Q318">
        <v>1.4999999999999999E-2</v>
      </c>
      <c r="R318">
        <v>70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>
      <c r="A319">
        <v>369.88984416016058</v>
      </c>
      <c r="B319">
        <v>56.000000000000007</v>
      </c>
      <c r="C319">
        <v>4.6236230520020074</v>
      </c>
      <c r="D319">
        <v>418.23320000000001</v>
      </c>
      <c r="E319">
        <v>688.9377593360997</v>
      </c>
      <c r="F319">
        <v>163.32910000000001</v>
      </c>
      <c r="G319">
        <v>71.754100000000008</v>
      </c>
      <c r="H319">
        <v>9</v>
      </c>
      <c r="I319">
        <v>55</v>
      </c>
      <c r="J319">
        <v>3</v>
      </c>
      <c r="K319">
        <v>248</v>
      </c>
      <c r="L319">
        <v>58</v>
      </c>
      <c r="M319">
        <v>22</v>
      </c>
      <c r="N319">
        <v>1995</v>
      </c>
      <c r="O319">
        <v>0.27</v>
      </c>
      <c r="P319">
        <v>2.4700000000000002</v>
      </c>
      <c r="Q319">
        <v>1.4999999999999999E-2</v>
      </c>
      <c r="R319">
        <v>70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>
      <c r="A320">
        <v>369.84893391780901</v>
      </c>
      <c r="B320">
        <v>56</v>
      </c>
      <c r="C320">
        <v>4.6231116739726117</v>
      </c>
      <c r="D320">
        <v>423.1542</v>
      </c>
      <c r="E320">
        <v>687.45461566141489</v>
      </c>
      <c r="F320">
        <v>164.9571</v>
      </c>
      <c r="G320">
        <v>71.717100000000002</v>
      </c>
      <c r="H320">
        <v>9</v>
      </c>
      <c r="I320">
        <v>56</v>
      </c>
      <c r="J320">
        <v>3</v>
      </c>
      <c r="K320">
        <v>212</v>
      </c>
      <c r="L320">
        <v>57</v>
      </c>
      <c r="M320">
        <v>17</v>
      </c>
      <c r="N320">
        <v>1995</v>
      </c>
      <c r="O320">
        <v>0.27</v>
      </c>
      <c r="P320">
        <v>2.4700000000000002</v>
      </c>
      <c r="Q320">
        <v>1.4999999999999999E-2</v>
      </c>
      <c r="R320">
        <v>70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>
      <c r="A321">
        <v>369.5667016999821</v>
      </c>
      <c r="B321">
        <v>56</v>
      </c>
      <c r="C321">
        <v>4.6195837712497756</v>
      </c>
      <c r="D321">
        <v>425.39391999999998</v>
      </c>
      <c r="E321">
        <v>691.32911820094887</v>
      </c>
      <c r="F321">
        <v>165.71072000000001</v>
      </c>
      <c r="G321">
        <v>71.738240000000005</v>
      </c>
      <c r="H321">
        <v>8</v>
      </c>
      <c r="I321">
        <v>56</v>
      </c>
      <c r="J321">
        <v>4</v>
      </c>
      <c r="K321">
        <v>105</v>
      </c>
      <c r="L321">
        <v>65</v>
      </c>
      <c r="M321">
        <v>14</v>
      </c>
      <c r="N321">
        <v>1995</v>
      </c>
      <c r="O321">
        <v>0.27</v>
      </c>
      <c r="P321">
        <v>2.4700000000000002</v>
      </c>
      <c r="Q321">
        <v>1.4999999999999999E-2</v>
      </c>
      <c r="R321">
        <v>70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>
      <c r="A322">
        <v>369.47244980790998</v>
      </c>
      <c r="B322">
        <v>56</v>
      </c>
      <c r="C322">
        <v>4.6184056225988757</v>
      </c>
      <c r="D322">
        <v>445.68720000000002</v>
      </c>
      <c r="E322">
        <v>690.04979253112037</v>
      </c>
      <c r="F322">
        <v>164.10239999999999</v>
      </c>
      <c r="G322">
        <v>71.69489999999999</v>
      </c>
      <c r="H322">
        <v>9</v>
      </c>
      <c r="I322">
        <v>57</v>
      </c>
      <c r="J322">
        <v>3</v>
      </c>
      <c r="K322">
        <v>101</v>
      </c>
      <c r="L322">
        <v>56</v>
      </c>
      <c r="M322">
        <v>9</v>
      </c>
      <c r="N322">
        <v>1995</v>
      </c>
      <c r="O322">
        <v>0.27</v>
      </c>
      <c r="P322">
        <v>2.4700000000000002</v>
      </c>
      <c r="Q322">
        <v>1.4999999999999999E-2</v>
      </c>
      <c r="R322">
        <v>70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>
      <c r="A323">
        <v>369.41360412392697</v>
      </c>
      <c r="B323">
        <v>56</v>
      </c>
      <c r="C323">
        <v>4.6176700515490881</v>
      </c>
      <c r="D323">
        <v>428.80991999999998</v>
      </c>
      <c r="E323">
        <v>687.79152921465868</v>
      </c>
      <c r="F323">
        <v>164.77271999999999</v>
      </c>
      <c r="G323">
        <v>71.639279999999999</v>
      </c>
      <c r="H323">
        <v>8</v>
      </c>
      <c r="I323">
        <v>57</v>
      </c>
      <c r="J323">
        <v>4</v>
      </c>
      <c r="K323">
        <v>304</v>
      </c>
      <c r="L323">
        <v>49</v>
      </c>
      <c r="M323">
        <v>3</v>
      </c>
      <c r="N323">
        <v>1995</v>
      </c>
      <c r="O323">
        <v>0.27</v>
      </c>
      <c r="P323">
        <v>2.4700000000000002</v>
      </c>
      <c r="Q323">
        <v>1.4999999999999999E-2</v>
      </c>
      <c r="R323">
        <v>70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>
      <c r="A324">
        <v>369.19384572047352</v>
      </c>
      <c r="B324">
        <v>56</v>
      </c>
      <c r="C324">
        <v>4.6149230715059204</v>
      </c>
      <c r="D324">
        <v>385.86412000000001</v>
      </c>
      <c r="E324">
        <v>689.56016597510381</v>
      </c>
      <c r="F324">
        <v>161.08912000000001</v>
      </c>
      <c r="G324">
        <v>71.631259999999997</v>
      </c>
      <c r="H324">
        <v>9</v>
      </c>
      <c r="I324">
        <v>54</v>
      </c>
      <c r="J324">
        <v>3</v>
      </c>
      <c r="K324">
        <v>268</v>
      </c>
      <c r="L324">
        <v>59</v>
      </c>
      <c r="M324">
        <v>26</v>
      </c>
      <c r="N324">
        <v>1995</v>
      </c>
      <c r="O324">
        <v>0.27</v>
      </c>
      <c r="P324">
        <v>2.4700000000000002</v>
      </c>
      <c r="Q324">
        <v>1.4999999999999999E-2</v>
      </c>
      <c r="R324">
        <v>70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>
      <c r="A325">
        <v>369.05092282165913</v>
      </c>
      <c r="B325">
        <v>56.000000000000007</v>
      </c>
      <c r="C325">
        <v>4.6131365352707379</v>
      </c>
      <c r="D325">
        <v>401.06223999999997</v>
      </c>
      <c r="E325">
        <v>690.10788381742736</v>
      </c>
      <c r="F325">
        <v>165.74224000000001</v>
      </c>
      <c r="G325">
        <v>71.614240000000009</v>
      </c>
      <c r="H325">
        <v>6</v>
      </c>
      <c r="I325">
        <v>53</v>
      </c>
      <c r="J325">
        <v>6</v>
      </c>
      <c r="K325">
        <v>61</v>
      </c>
      <c r="L325">
        <v>58</v>
      </c>
      <c r="M325">
        <v>13</v>
      </c>
      <c r="N325">
        <v>1995</v>
      </c>
      <c r="O325">
        <v>0.27</v>
      </c>
      <c r="P325">
        <v>2.4700000000000002</v>
      </c>
      <c r="Q325">
        <v>1.4999999999999999E-2</v>
      </c>
      <c r="R325">
        <v>70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>
      <c r="A326">
        <v>368.99280141272391</v>
      </c>
      <c r="B326">
        <v>56</v>
      </c>
      <c r="C326">
        <v>4.612410017659049</v>
      </c>
      <c r="D326">
        <v>380.04919999999998</v>
      </c>
      <c r="E326">
        <v>692.53941908713705</v>
      </c>
      <c r="F326">
        <v>159.4367</v>
      </c>
      <c r="G326">
        <v>71.650499999999994</v>
      </c>
      <c r="H326">
        <v>9</v>
      </c>
      <c r="I326">
        <v>53</v>
      </c>
      <c r="J326">
        <v>3</v>
      </c>
      <c r="K326">
        <v>202</v>
      </c>
      <c r="L326">
        <v>60</v>
      </c>
      <c r="M326">
        <v>31</v>
      </c>
      <c r="N326">
        <v>1995</v>
      </c>
      <c r="O326">
        <v>0.27</v>
      </c>
      <c r="P326">
        <v>2.4700000000000002</v>
      </c>
      <c r="Q326">
        <v>1.4999999999999999E-2</v>
      </c>
      <c r="R326">
        <v>70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>
      <c r="A327">
        <v>368.97762066866312</v>
      </c>
      <c r="B327">
        <v>56</v>
      </c>
      <c r="C327">
        <v>4.6122202583582874</v>
      </c>
      <c r="D327">
        <v>417.80399999999997</v>
      </c>
      <c r="E327">
        <v>687.01244813278026</v>
      </c>
      <c r="F327">
        <v>163.11449999999999</v>
      </c>
      <c r="G327">
        <v>71.539500000000004</v>
      </c>
      <c r="H327">
        <v>9</v>
      </c>
      <c r="I327">
        <v>55</v>
      </c>
      <c r="J327">
        <v>3</v>
      </c>
      <c r="K327">
        <v>253</v>
      </c>
      <c r="L327">
        <v>58</v>
      </c>
      <c r="M327">
        <v>25</v>
      </c>
      <c r="N327">
        <v>1995</v>
      </c>
      <c r="O327">
        <v>0.27</v>
      </c>
      <c r="P327">
        <v>2.4700000000000002</v>
      </c>
      <c r="Q327">
        <v>1.4999999999999999E-2</v>
      </c>
      <c r="R327">
        <v>70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>
      <c r="A328">
        <v>368.80074775084842</v>
      </c>
      <c r="B328">
        <v>56</v>
      </c>
      <c r="C328">
        <v>4.6100093468856054</v>
      </c>
      <c r="D328">
        <v>386.16345000000001</v>
      </c>
      <c r="E328">
        <v>685.64315352697099</v>
      </c>
      <c r="F328">
        <v>161.38845000000001</v>
      </c>
      <c r="G328">
        <v>71.478450000000009</v>
      </c>
      <c r="H328">
        <v>9</v>
      </c>
      <c r="I328">
        <v>54</v>
      </c>
      <c r="J328">
        <v>3</v>
      </c>
      <c r="K328">
        <v>264</v>
      </c>
      <c r="L328">
        <v>59</v>
      </c>
      <c r="M328">
        <v>27</v>
      </c>
      <c r="N328">
        <v>1995</v>
      </c>
      <c r="O328">
        <v>0.27</v>
      </c>
      <c r="P328">
        <v>2.4700000000000002</v>
      </c>
      <c r="Q328">
        <v>1.4999999999999999E-2</v>
      </c>
      <c r="R328">
        <v>70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>
      <c r="A329">
        <v>368.78339011490209</v>
      </c>
      <c r="B329">
        <v>56</v>
      </c>
      <c r="C329">
        <v>4.6097923764362774</v>
      </c>
      <c r="D329">
        <v>422.01600000000002</v>
      </c>
      <c r="E329">
        <v>691.3195020746889</v>
      </c>
      <c r="F329">
        <v>164.38800000000001</v>
      </c>
      <c r="G329">
        <v>71.585999999999999</v>
      </c>
      <c r="H329">
        <v>9</v>
      </c>
      <c r="I329">
        <v>56</v>
      </c>
      <c r="J329">
        <v>3</v>
      </c>
      <c r="K329">
        <v>58</v>
      </c>
      <c r="L329">
        <v>57</v>
      </c>
      <c r="M329">
        <v>10</v>
      </c>
      <c r="N329">
        <v>1995</v>
      </c>
      <c r="O329">
        <v>0.27</v>
      </c>
      <c r="P329">
        <v>2.4700000000000002</v>
      </c>
      <c r="Q329">
        <v>1.4999999999999999E-2</v>
      </c>
      <c r="R329">
        <v>70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>
      <c r="A330">
        <v>368.61246243926331</v>
      </c>
      <c r="B330">
        <v>55.999999999999993</v>
      </c>
      <c r="C330">
        <v>4.6076557804907923</v>
      </c>
      <c r="D330">
        <v>417.63231999999999</v>
      </c>
      <c r="E330">
        <v>686.24232365145235</v>
      </c>
      <c r="F330">
        <v>163.02866</v>
      </c>
      <c r="G330">
        <v>71.453659999999999</v>
      </c>
      <c r="H330">
        <v>9</v>
      </c>
      <c r="I330">
        <v>55</v>
      </c>
      <c r="J330">
        <v>3</v>
      </c>
      <c r="K330">
        <v>255</v>
      </c>
      <c r="L330">
        <v>58</v>
      </c>
      <c r="M330">
        <v>23</v>
      </c>
      <c r="N330">
        <v>1995</v>
      </c>
      <c r="O330">
        <v>0.27</v>
      </c>
      <c r="P330">
        <v>2.4700000000000002</v>
      </c>
      <c r="Q330">
        <v>1.4999999999999999E-2</v>
      </c>
      <c r="R330">
        <v>70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>
      <c r="A331">
        <v>368.34785699498451</v>
      </c>
      <c r="B331">
        <v>56.000000000000007</v>
      </c>
      <c r="C331">
        <v>4.6043482124373059</v>
      </c>
      <c r="D331">
        <v>423.82352000000009</v>
      </c>
      <c r="E331">
        <v>691.07883817427387</v>
      </c>
      <c r="F331">
        <v>165.10676000000001</v>
      </c>
      <c r="G331">
        <v>71.496760000000009</v>
      </c>
      <c r="H331">
        <v>7</v>
      </c>
      <c r="I331">
        <v>55</v>
      </c>
      <c r="J331">
        <v>5</v>
      </c>
      <c r="K331">
        <v>331</v>
      </c>
      <c r="L331">
        <v>58</v>
      </c>
      <c r="M331">
        <v>10</v>
      </c>
      <c r="N331">
        <v>1995</v>
      </c>
      <c r="O331">
        <v>0.27</v>
      </c>
      <c r="P331">
        <v>2.4700000000000002</v>
      </c>
      <c r="Q331">
        <v>1.4999999999999999E-2</v>
      </c>
      <c r="R331">
        <v>70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>
      <c r="A332">
        <v>368.34175743299602</v>
      </c>
      <c r="B332">
        <v>56</v>
      </c>
      <c r="C332">
        <v>4.6042719679124504</v>
      </c>
      <c r="D332">
        <v>414.85728</v>
      </c>
      <c r="E332">
        <v>691.51867219917017</v>
      </c>
      <c r="F332">
        <v>162.12047999999999</v>
      </c>
      <c r="G332">
        <v>71.504159999999999</v>
      </c>
      <c r="H332">
        <v>8</v>
      </c>
      <c r="I332">
        <v>54</v>
      </c>
      <c r="J332">
        <v>4</v>
      </c>
      <c r="K332">
        <v>188</v>
      </c>
      <c r="L332">
        <v>59</v>
      </c>
      <c r="M332">
        <v>24</v>
      </c>
      <c r="N332">
        <v>1995</v>
      </c>
      <c r="O332">
        <v>0.27</v>
      </c>
      <c r="P332">
        <v>2.4700000000000002</v>
      </c>
      <c r="Q332">
        <v>1.4999999999999999E-2</v>
      </c>
      <c r="R332">
        <v>70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>
      <c r="A333">
        <v>368.25854658397151</v>
      </c>
      <c r="B333">
        <v>56</v>
      </c>
      <c r="C333">
        <v>4.6032318322996444</v>
      </c>
      <c r="D333">
        <v>428.95800000000008</v>
      </c>
      <c r="E333">
        <v>692.69709543568479</v>
      </c>
      <c r="F333">
        <v>166.82300000000001</v>
      </c>
      <c r="G333">
        <v>71.510999999999996</v>
      </c>
      <c r="H333">
        <v>7</v>
      </c>
      <c r="I333">
        <v>56</v>
      </c>
      <c r="J333">
        <v>5</v>
      </c>
      <c r="K333">
        <v>1</v>
      </c>
      <c r="L333">
        <v>50</v>
      </c>
      <c r="M333">
        <v>5</v>
      </c>
      <c r="N333">
        <v>1995</v>
      </c>
      <c r="O333">
        <v>0.27</v>
      </c>
      <c r="P333">
        <v>2.4700000000000002</v>
      </c>
      <c r="Q333">
        <v>1.4999999999999999E-2</v>
      </c>
      <c r="R333">
        <v>70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>
      <c r="A334">
        <v>367.98243511129732</v>
      </c>
      <c r="B334">
        <v>56</v>
      </c>
      <c r="C334">
        <v>4.5997804388912158</v>
      </c>
      <c r="D334">
        <v>433.93599999999998</v>
      </c>
      <c r="E334">
        <v>686.47146396891912</v>
      </c>
      <c r="F334">
        <v>159.39599999999999</v>
      </c>
      <c r="G334">
        <v>71.336000000000013</v>
      </c>
      <c r="H334">
        <v>7</v>
      </c>
      <c r="I334">
        <v>52</v>
      </c>
      <c r="J334">
        <v>5</v>
      </c>
      <c r="K334">
        <v>327</v>
      </c>
      <c r="L334">
        <v>61</v>
      </c>
      <c r="M334">
        <v>30</v>
      </c>
      <c r="N334">
        <v>1995</v>
      </c>
      <c r="O334">
        <v>0.27</v>
      </c>
      <c r="P334">
        <v>2.4700000000000002</v>
      </c>
      <c r="Q334">
        <v>1.4999999999999999E-2</v>
      </c>
      <c r="R334">
        <v>70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>
      <c r="A335">
        <v>367.83026534224427</v>
      </c>
      <c r="B335">
        <v>56</v>
      </c>
      <c r="C335">
        <v>4.5978783167780533</v>
      </c>
      <c r="D335">
        <v>419.916</v>
      </c>
      <c r="E335">
        <v>692.80826591423249</v>
      </c>
      <c r="F335">
        <v>163.78200000000001</v>
      </c>
      <c r="G335">
        <v>71.430000000000007</v>
      </c>
      <c r="H335">
        <v>6</v>
      </c>
      <c r="I335">
        <v>52</v>
      </c>
      <c r="J335">
        <v>6</v>
      </c>
      <c r="K335">
        <v>42</v>
      </c>
      <c r="L335">
        <v>61</v>
      </c>
      <c r="M335">
        <v>23</v>
      </c>
      <c r="N335">
        <v>1995</v>
      </c>
      <c r="O335">
        <v>0.27</v>
      </c>
      <c r="P335">
        <v>2.4700000000000002</v>
      </c>
      <c r="Q335">
        <v>1.4999999999999999E-2</v>
      </c>
      <c r="R335">
        <v>70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>
      <c r="A336">
        <v>367.68635822951779</v>
      </c>
      <c r="B336">
        <v>56.000000000000007</v>
      </c>
      <c r="C336">
        <v>4.5960794778689724</v>
      </c>
      <c r="D336">
        <v>385.60660000000001</v>
      </c>
      <c r="E336">
        <v>691.12697095435692</v>
      </c>
      <c r="F336">
        <v>160.83160000000001</v>
      </c>
      <c r="G336">
        <v>71.36930000000001</v>
      </c>
      <c r="H336">
        <v>9</v>
      </c>
      <c r="I336">
        <v>54</v>
      </c>
      <c r="J336">
        <v>3</v>
      </c>
      <c r="K336">
        <v>209</v>
      </c>
      <c r="L336">
        <v>59</v>
      </c>
      <c r="M336">
        <v>22</v>
      </c>
      <c r="N336">
        <v>1995</v>
      </c>
      <c r="O336">
        <v>0.27</v>
      </c>
      <c r="P336">
        <v>2.4700000000000002</v>
      </c>
      <c r="Q336">
        <v>1.4999999999999999E-2</v>
      </c>
      <c r="R336">
        <v>70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>
      <c r="A337">
        <v>367.68053008547213</v>
      </c>
      <c r="B337">
        <v>56</v>
      </c>
      <c r="C337">
        <v>4.5960066260684016</v>
      </c>
      <c r="D337">
        <v>387.97608000000002</v>
      </c>
      <c r="E337">
        <v>692.51452282157675</v>
      </c>
      <c r="F337">
        <v>161.53608</v>
      </c>
      <c r="G337">
        <v>71.395200000000017</v>
      </c>
      <c r="H337">
        <v>6</v>
      </c>
      <c r="I337">
        <v>51</v>
      </c>
      <c r="J337">
        <v>6</v>
      </c>
      <c r="K337">
        <v>263</v>
      </c>
      <c r="L337">
        <v>60</v>
      </c>
      <c r="M337">
        <v>24</v>
      </c>
      <c r="N337">
        <v>1995</v>
      </c>
      <c r="O337">
        <v>0.27</v>
      </c>
      <c r="P337">
        <v>2.4700000000000002</v>
      </c>
      <c r="Q337">
        <v>1.4999999999999999E-2</v>
      </c>
      <c r="R337">
        <v>70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>
      <c r="A338">
        <v>366.95822579008308</v>
      </c>
      <c r="B338">
        <v>56.000000000000007</v>
      </c>
      <c r="C338">
        <v>4.5869778223760376</v>
      </c>
      <c r="D338">
        <v>397.5872</v>
      </c>
      <c r="E338">
        <v>692.11618257261421</v>
      </c>
      <c r="F338">
        <v>164.4872</v>
      </c>
      <c r="G338">
        <v>71.247199999999992</v>
      </c>
      <c r="H338">
        <v>9</v>
      </c>
      <c r="I338">
        <v>56</v>
      </c>
      <c r="J338">
        <v>3</v>
      </c>
      <c r="K338">
        <v>190</v>
      </c>
      <c r="L338">
        <v>52</v>
      </c>
      <c r="M338">
        <v>8</v>
      </c>
      <c r="N338">
        <v>1995</v>
      </c>
      <c r="O338">
        <v>0.27</v>
      </c>
      <c r="P338">
        <v>2.4700000000000002</v>
      </c>
      <c r="Q338">
        <v>1.4999999999999999E-2</v>
      </c>
      <c r="R338">
        <v>70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>
      <c r="A339">
        <v>366.62050170023008</v>
      </c>
      <c r="B339">
        <v>56</v>
      </c>
      <c r="C339">
        <v>4.582756271252876</v>
      </c>
      <c r="D339">
        <v>411.14400000000001</v>
      </c>
      <c r="E339">
        <v>690.53941908713693</v>
      </c>
      <c r="F339">
        <v>160.61699999999999</v>
      </c>
      <c r="G339">
        <v>71.150999999999996</v>
      </c>
      <c r="H339">
        <v>9</v>
      </c>
      <c r="I339">
        <v>54</v>
      </c>
      <c r="J339">
        <v>3</v>
      </c>
      <c r="K339">
        <v>189</v>
      </c>
      <c r="L339">
        <v>59</v>
      </c>
      <c r="M339">
        <v>16</v>
      </c>
      <c r="N339">
        <v>1995</v>
      </c>
      <c r="O339">
        <v>0.27</v>
      </c>
      <c r="P339">
        <v>2.4700000000000002</v>
      </c>
      <c r="Q339">
        <v>1.4999999999999999E-2</v>
      </c>
      <c r="R339">
        <v>70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>
      <c r="A340">
        <v>366.25600395339859</v>
      </c>
      <c r="B340">
        <v>56</v>
      </c>
      <c r="C340">
        <v>4.5782000494174824</v>
      </c>
      <c r="D340">
        <v>444.88799999999998</v>
      </c>
      <c r="E340">
        <v>688.46473029045649</v>
      </c>
      <c r="F340">
        <v>163.83600000000001</v>
      </c>
      <c r="G340">
        <v>71.040000000000006</v>
      </c>
      <c r="H340">
        <v>9</v>
      </c>
      <c r="I340">
        <v>56</v>
      </c>
      <c r="J340">
        <v>3</v>
      </c>
      <c r="K340">
        <v>71</v>
      </c>
      <c r="L340">
        <v>55</v>
      </c>
      <c r="M340">
        <v>8</v>
      </c>
      <c r="N340">
        <v>1995</v>
      </c>
      <c r="O340">
        <v>0.27</v>
      </c>
      <c r="P340">
        <v>2.4700000000000002</v>
      </c>
      <c r="Q340">
        <v>1.4999999999999999E-2</v>
      </c>
      <c r="R340">
        <v>70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>
      <c r="A341">
        <v>365.92146405975342</v>
      </c>
      <c r="B341">
        <v>56</v>
      </c>
      <c r="C341">
        <v>4.5740183007469168</v>
      </c>
      <c r="D341">
        <v>495.76992000000013</v>
      </c>
      <c r="E341">
        <v>687.80082987551862</v>
      </c>
      <c r="F341">
        <v>164.93472</v>
      </c>
      <c r="G341">
        <v>70.962240000000008</v>
      </c>
      <c r="H341">
        <v>8</v>
      </c>
      <c r="I341">
        <v>56</v>
      </c>
      <c r="J341">
        <v>4</v>
      </c>
      <c r="K341">
        <v>156</v>
      </c>
      <c r="L341">
        <v>54</v>
      </c>
      <c r="M341">
        <v>4</v>
      </c>
      <c r="N341">
        <v>1995</v>
      </c>
      <c r="O341">
        <v>0.27</v>
      </c>
      <c r="P341">
        <v>2.4700000000000002</v>
      </c>
      <c r="Q341">
        <v>1.4999999999999999E-2</v>
      </c>
      <c r="R341">
        <v>70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>
      <c r="A342">
        <v>365.88360334023582</v>
      </c>
      <c r="B342">
        <v>56</v>
      </c>
      <c r="C342">
        <v>4.573545041752948</v>
      </c>
      <c r="D342">
        <v>381.78894000000003</v>
      </c>
      <c r="E342">
        <v>689.55684647302905</v>
      </c>
      <c r="F342">
        <v>159.78894</v>
      </c>
      <c r="G342">
        <v>70.988939999999999</v>
      </c>
      <c r="H342">
        <v>6</v>
      </c>
      <c r="I342">
        <v>50</v>
      </c>
      <c r="J342">
        <v>6</v>
      </c>
      <c r="K342">
        <v>203</v>
      </c>
      <c r="L342">
        <v>59</v>
      </c>
      <c r="M342">
        <v>29</v>
      </c>
      <c r="N342">
        <v>1995</v>
      </c>
      <c r="O342">
        <v>0.27</v>
      </c>
      <c r="P342">
        <v>2.4700000000000002</v>
      </c>
      <c r="Q342">
        <v>1.4999999999999999E-2</v>
      </c>
      <c r="R342">
        <v>70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>
      <c r="A343">
        <v>365.87666710414271</v>
      </c>
      <c r="B343">
        <v>56</v>
      </c>
      <c r="C343">
        <v>4.5734583388017844</v>
      </c>
      <c r="D343">
        <v>495.76992000000013</v>
      </c>
      <c r="E343">
        <v>688.24896265560164</v>
      </c>
      <c r="F343">
        <v>164.93472</v>
      </c>
      <c r="G343">
        <v>70.962240000000008</v>
      </c>
      <c r="H343">
        <v>8</v>
      </c>
      <c r="I343">
        <v>56</v>
      </c>
      <c r="J343">
        <v>4</v>
      </c>
      <c r="K343">
        <v>157</v>
      </c>
      <c r="L343">
        <v>54</v>
      </c>
      <c r="M343">
        <v>3</v>
      </c>
      <c r="N343">
        <v>1995</v>
      </c>
      <c r="O343">
        <v>0.27</v>
      </c>
      <c r="P343">
        <v>2.4700000000000002</v>
      </c>
      <c r="Q343">
        <v>1.4999999999999999E-2</v>
      </c>
      <c r="R343">
        <v>70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>
      <c r="A344">
        <v>365.40451289812353</v>
      </c>
      <c r="B344">
        <v>56.000000000000007</v>
      </c>
      <c r="C344">
        <v>4.5675564112265432</v>
      </c>
      <c r="D344">
        <v>408.29056000000003</v>
      </c>
      <c r="E344">
        <v>692.10290456431539</v>
      </c>
      <c r="F344">
        <v>159.74528000000001</v>
      </c>
      <c r="G344">
        <v>70.945279999999997</v>
      </c>
      <c r="H344">
        <v>6</v>
      </c>
      <c r="I344">
        <v>50</v>
      </c>
      <c r="J344">
        <v>6</v>
      </c>
      <c r="K344">
        <v>252</v>
      </c>
      <c r="L344">
        <v>59</v>
      </c>
      <c r="M344">
        <v>32</v>
      </c>
      <c r="N344">
        <v>1995</v>
      </c>
      <c r="O344">
        <v>0.27</v>
      </c>
      <c r="P344">
        <v>2.4700000000000002</v>
      </c>
      <c r="Q344">
        <v>1.4999999999999999E-2</v>
      </c>
      <c r="R344">
        <v>70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>
      <c r="A345">
        <v>365.21572220369762</v>
      </c>
      <c r="B345">
        <v>56.000000000000007</v>
      </c>
      <c r="C345">
        <v>4.5651965275462194</v>
      </c>
      <c r="D345">
        <v>387.91059000000001</v>
      </c>
      <c r="E345">
        <v>691.37759336099577</v>
      </c>
      <c r="F345">
        <v>161.47058999999999</v>
      </c>
      <c r="G345">
        <v>70.894589999999994</v>
      </c>
      <c r="H345">
        <v>6</v>
      </c>
      <c r="I345">
        <v>51</v>
      </c>
      <c r="J345">
        <v>6</v>
      </c>
      <c r="K345">
        <v>267</v>
      </c>
      <c r="L345">
        <v>59</v>
      </c>
      <c r="M345">
        <v>23</v>
      </c>
      <c r="N345">
        <v>1995</v>
      </c>
      <c r="O345">
        <v>0.27</v>
      </c>
      <c r="P345">
        <v>2.4700000000000002</v>
      </c>
      <c r="Q345">
        <v>1.4999999999999999E-2</v>
      </c>
      <c r="R345">
        <v>70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>
      <c r="A346">
        <v>365.17479760278701</v>
      </c>
      <c r="B346">
        <v>56</v>
      </c>
      <c r="C346">
        <v>4.564684970034838</v>
      </c>
      <c r="D346">
        <v>445.68720000000002</v>
      </c>
      <c r="E346">
        <v>690.12448132780082</v>
      </c>
      <c r="F346">
        <v>164.10239999999999</v>
      </c>
      <c r="G346">
        <v>70.862399999999994</v>
      </c>
      <c r="H346">
        <v>9</v>
      </c>
      <c r="I346">
        <v>56</v>
      </c>
      <c r="J346">
        <v>3</v>
      </c>
      <c r="K346">
        <v>70</v>
      </c>
      <c r="L346">
        <v>56</v>
      </c>
      <c r="M346">
        <v>9</v>
      </c>
      <c r="N346">
        <v>1995</v>
      </c>
      <c r="O346">
        <v>0.27</v>
      </c>
      <c r="P346">
        <v>2.4700000000000002</v>
      </c>
      <c r="Q346">
        <v>1.4999999999999999E-2</v>
      </c>
      <c r="R346">
        <v>70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>
      <c r="A347">
        <v>365.02299154294928</v>
      </c>
      <c r="B347">
        <v>56.000000000000007</v>
      </c>
      <c r="C347">
        <v>4.5627873942868664</v>
      </c>
      <c r="D347">
        <v>408.07744000000002</v>
      </c>
      <c r="E347">
        <v>690.42323651452284</v>
      </c>
      <c r="F347">
        <v>159.63872000000001</v>
      </c>
      <c r="G347">
        <v>70.838719999999995</v>
      </c>
      <c r="H347">
        <v>6</v>
      </c>
      <c r="I347">
        <v>50</v>
      </c>
      <c r="J347">
        <v>6</v>
      </c>
      <c r="K347">
        <v>242</v>
      </c>
      <c r="L347">
        <v>58</v>
      </c>
      <c r="M347">
        <v>22</v>
      </c>
      <c r="N347">
        <v>1995</v>
      </c>
      <c r="O347">
        <v>0.27</v>
      </c>
      <c r="P347">
        <v>2.4700000000000002</v>
      </c>
      <c r="Q347">
        <v>1.4999999999999999E-2</v>
      </c>
      <c r="R347">
        <v>70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>
      <c r="A348">
        <v>365.02299154294928</v>
      </c>
      <c r="B348">
        <v>56.000000000000007</v>
      </c>
      <c r="C348">
        <v>4.5627873942868664</v>
      </c>
      <c r="D348">
        <v>408.07744000000002</v>
      </c>
      <c r="E348">
        <v>690.42323651452284</v>
      </c>
      <c r="F348">
        <v>159.63872000000001</v>
      </c>
      <c r="G348">
        <v>70.838719999999995</v>
      </c>
      <c r="H348">
        <v>6</v>
      </c>
      <c r="I348">
        <v>50</v>
      </c>
      <c r="J348">
        <v>6</v>
      </c>
      <c r="K348">
        <v>243</v>
      </c>
      <c r="L348">
        <v>58</v>
      </c>
      <c r="M348">
        <v>22</v>
      </c>
      <c r="N348">
        <v>1995</v>
      </c>
      <c r="O348">
        <v>0.27</v>
      </c>
      <c r="P348">
        <v>2.4700000000000002</v>
      </c>
      <c r="Q348">
        <v>1.4999999999999999E-2</v>
      </c>
      <c r="R348">
        <v>70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>
      <c r="A349">
        <v>364.69037279542061</v>
      </c>
      <c r="B349">
        <v>56</v>
      </c>
      <c r="C349">
        <v>4.558629659942758</v>
      </c>
      <c r="D349">
        <v>379.62</v>
      </c>
      <c r="E349">
        <v>689.81929521516281</v>
      </c>
      <c r="F349">
        <v>159.00749999999999</v>
      </c>
      <c r="G349">
        <v>70.762500000000003</v>
      </c>
      <c r="H349">
        <v>9</v>
      </c>
      <c r="I349">
        <v>53</v>
      </c>
      <c r="J349">
        <v>3</v>
      </c>
      <c r="K349">
        <v>292</v>
      </c>
      <c r="L349">
        <v>60</v>
      </c>
      <c r="M349">
        <v>30</v>
      </c>
      <c r="N349">
        <v>1995</v>
      </c>
      <c r="O349">
        <v>0.27</v>
      </c>
      <c r="P349">
        <v>2.4700000000000002</v>
      </c>
      <c r="Q349">
        <v>1.4999999999999999E-2</v>
      </c>
      <c r="R349">
        <v>70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>
      <c r="A350">
        <v>361.03293806706881</v>
      </c>
      <c r="B350">
        <v>56</v>
      </c>
      <c r="C350">
        <v>4.51291172583836</v>
      </c>
      <c r="D350">
        <v>449.85599999999999</v>
      </c>
      <c r="E350">
        <v>688.73029045643159</v>
      </c>
      <c r="F350">
        <v>165.93600000000001</v>
      </c>
      <c r="G350">
        <v>70.031999999999996</v>
      </c>
      <c r="H350">
        <v>6</v>
      </c>
      <c r="I350">
        <v>54</v>
      </c>
      <c r="J350">
        <v>6</v>
      </c>
      <c r="K350">
        <v>176</v>
      </c>
      <c r="L350">
        <v>50</v>
      </c>
      <c r="M350">
        <v>4</v>
      </c>
      <c r="N350">
        <v>1995</v>
      </c>
      <c r="O350">
        <v>0.27</v>
      </c>
      <c r="P350">
        <v>2.4700000000000002</v>
      </c>
      <c r="Q350">
        <v>1.4999999999999999E-2</v>
      </c>
      <c r="R350">
        <v>70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>
      <c r="A351">
        <v>373.30183172619041</v>
      </c>
      <c r="B351">
        <v>58.100000000000009</v>
      </c>
      <c r="C351">
        <v>4.4976124304360283</v>
      </c>
      <c r="D351">
        <v>427.66080000000011</v>
      </c>
      <c r="E351">
        <v>691.0539419087138</v>
      </c>
      <c r="F351">
        <v>166.17439999999999</v>
      </c>
      <c r="G351">
        <v>72.45783999999999</v>
      </c>
      <c r="H351">
        <v>7</v>
      </c>
      <c r="I351">
        <v>56</v>
      </c>
      <c r="J351">
        <v>5</v>
      </c>
      <c r="K351">
        <v>91</v>
      </c>
      <c r="L351">
        <v>57</v>
      </c>
      <c r="M351">
        <v>7</v>
      </c>
      <c r="N351">
        <v>1995</v>
      </c>
      <c r="O351">
        <v>0.27</v>
      </c>
      <c r="P351">
        <v>2.4700000000000002</v>
      </c>
      <c r="Q351">
        <v>1.4999999999999999E-2</v>
      </c>
      <c r="R351">
        <v>70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>
      <c r="A352">
        <v>367.47097088060019</v>
      </c>
      <c r="B352">
        <v>58.074074074074083</v>
      </c>
      <c r="C352">
        <v>4.4293375954358067</v>
      </c>
      <c r="D352">
        <v>381.76664000000011</v>
      </c>
      <c r="E352">
        <v>688.75449398311389</v>
      </c>
      <c r="F352">
        <v>160.25538</v>
      </c>
      <c r="G352">
        <v>71.281300000000002</v>
      </c>
      <c r="H352">
        <v>7</v>
      </c>
      <c r="I352">
        <v>53</v>
      </c>
      <c r="J352">
        <v>5</v>
      </c>
      <c r="K352">
        <v>154</v>
      </c>
      <c r="L352">
        <v>59</v>
      </c>
      <c r="M352">
        <v>29</v>
      </c>
      <c r="N352">
        <v>1995</v>
      </c>
      <c r="O352">
        <v>0.27</v>
      </c>
      <c r="P352">
        <v>2.4700000000000002</v>
      </c>
      <c r="Q352">
        <v>1.4999999999999999E-2</v>
      </c>
      <c r="R352">
        <v>70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>
      <c r="A353">
        <v>431.92477371468851</v>
      </c>
      <c r="B353">
        <v>68.599999999999994</v>
      </c>
      <c r="C353">
        <v>4.4073956501498834</v>
      </c>
      <c r="D353">
        <v>501.56160000000011</v>
      </c>
      <c r="E353">
        <v>686.93311670276807</v>
      </c>
      <c r="F353">
        <v>193.0968</v>
      </c>
      <c r="G353">
        <v>83.742240000000024</v>
      </c>
      <c r="H353">
        <v>8</v>
      </c>
      <c r="I353">
        <v>55</v>
      </c>
      <c r="J353">
        <v>5</v>
      </c>
      <c r="K353">
        <v>325</v>
      </c>
      <c r="L353">
        <v>58</v>
      </c>
      <c r="M353">
        <v>24</v>
      </c>
      <c r="N353">
        <v>1995</v>
      </c>
      <c r="O353">
        <v>0.27</v>
      </c>
      <c r="P353">
        <v>2.4700000000000002</v>
      </c>
      <c r="Q353">
        <v>1.4999999999999999E-2</v>
      </c>
      <c r="R353">
        <v>70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>
      <c r="A354">
        <v>366.84159282213648</v>
      </c>
      <c r="B354">
        <v>58.52</v>
      </c>
      <c r="C354">
        <v>4.3880573304083317</v>
      </c>
      <c r="D354">
        <v>416.00778000000003</v>
      </c>
      <c r="E354">
        <v>686.01204473054986</v>
      </c>
      <c r="F354">
        <v>160.26197999999999</v>
      </c>
      <c r="G354">
        <v>71.105910000000009</v>
      </c>
      <c r="H354">
        <v>8</v>
      </c>
      <c r="I354">
        <v>54</v>
      </c>
      <c r="J354">
        <v>4</v>
      </c>
      <c r="K354">
        <v>302</v>
      </c>
      <c r="L354">
        <v>59</v>
      </c>
      <c r="M354">
        <v>22</v>
      </c>
      <c r="N354">
        <v>1995</v>
      </c>
      <c r="O354">
        <v>0.27</v>
      </c>
      <c r="P354">
        <v>2.4700000000000002</v>
      </c>
      <c r="Q354">
        <v>1.4999999999999999E-2</v>
      </c>
      <c r="R354">
        <v>70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>
      <c r="A355">
        <v>364.75092018592119</v>
      </c>
      <c r="B355">
        <v>58.625</v>
      </c>
      <c r="C355">
        <v>4.3552348678915962</v>
      </c>
      <c r="D355">
        <v>418.52032000000003</v>
      </c>
      <c r="E355">
        <v>687.64149377593355</v>
      </c>
      <c r="F355">
        <v>161.63968</v>
      </c>
      <c r="G355">
        <v>70.732160000000007</v>
      </c>
      <c r="H355">
        <v>6</v>
      </c>
      <c r="I355">
        <v>52</v>
      </c>
      <c r="J355">
        <v>6</v>
      </c>
      <c r="K355">
        <v>254</v>
      </c>
      <c r="L355">
        <v>61</v>
      </c>
      <c r="M355">
        <v>16</v>
      </c>
      <c r="N355">
        <v>1995</v>
      </c>
      <c r="O355">
        <v>0.27</v>
      </c>
      <c r="P355">
        <v>2.4700000000000002</v>
      </c>
      <c r="Q355">
        <v>1.4999999999999999E-2</v>
      </c>
      <c r="R355">
        <v>70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>
      <c r="A356">
        <v>413.82565537386341</v>
      </c>
      <c r="B356">
        <v>68.600000000000023</v>
      </c>
      <c r="C356">
        <v>4.2227107691210541</v>
      </c>
      <c r="D356">
        <v>475.03680000000003</v>
      </c>
      <c r="E356">
        <v>691.61996601730959</v>
      </c>
      <c r="F356">
        <v>183.1284</v>
      </c>
      <c r="G356">
        <v>80.335920000000002</v>
      </c>
      <c r="H356">
        <v>9</v>
      </c>
      <c r="I356">
        <v>49</v>
      </c>
      <c r="J356">
        <v>4</v>
      </c>
      <c r="K356">
        <v>325</v>
      </c>
      <c r="L356">
        <v>63</v>
      </c>
      <c r="M356">
        <v>22</v>
      </c>
      <c r="N356">
        <v>1995</v>
      </c>
      <c r="O356">
        <v>0.27</v>
      </c>
      <c r="P356">
        <v>2.4700000000000002</v>
      </c>
      <c r="Q356">
        <v>1.4999999999999999E-2</v>
      </c>
      <c r="R356">
        <v>70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>
      <c r="A357">
        <v>435.49300055130573</v>
      </c>
      <c r="B357">
        <v>73.381443298969074</v>
      </c>
      <c r="C357">
        <v>4.1542532646015253</v>
      </c>
      <c r="D357">
        <v>371.01054599999998</v>
      </c>
      <c r="E357">
        <v>693.68188019594243</v>
      </c>
      <c r="F357">
        <v>193.2845274</v>
      </c>
      <c r="G357">
        <v>84.589776000000015</v>
      </c>
      <c r="H357">
        <v>52</v>
      </c>
      <c r="I357">
        <v>57</v>
      </c>
      <c r="J357">
        <v>12</v>
      </c>
      <c r="K357">
        <v>79</v>
      </c>
      <c r="L357">
        <v>56</v>
      </c>
      <c r="M357">
        <v>27</v>
      </c>
      <c r="N357">
        <v>1995</v>
      </c>
      <c r="O357">
        <v>0.27</v>
      </c>
      <c r="P357">
        <v>2.4700000000000002</v>
      </c>
      <c r="Q357">
        <v>1.4999999999999999E-2</v>
      </c>
      <c r="R357">
        <v>70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>
      <c r="A358">
        <v>440.62580886718501</v>
      </c>
      <c r="B358">
        <v>74.666666666666671</v>
      </c>
      <c r="C358">
        <v>4.1308669581298592</v>
      </c>
      <c r="D358">
        <v>378.99599999999998</v>
      </c>
      <c r="E358">
        <v>690.73629936296857</v>
      </c>
      <c r="F358">
        <v>223.06800000000001</v>
      </c>
      <c r="G358">
        <v>85.518000000000001</v>
      </c>
      <c r="H358">
        <v>164</v>
      </c>
      <c r="I358">
        <v>51</v>
      </c>
      <c r="J358">
        <v>6</v>
      </c>
      <c r="K358">
        <v>82</v>
      </c>
      <c r="L358">
        <v>60</v>
      </c>
      <c r="M358">
        <v>40</v>
      </c>
      <c r="N358">
        <v>1995</v>
      </c>
      <c r="O358">
        <v>0.27</v>
      </c>
      <c r="P358">
        <v>2.4700000000000002</v>
      </c>
      <c r="Q358">
        <v>1.4999999999999999E-2</v>
      </c>
      <c r="R358">
        <v>70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>
      <c r="A359">
        <v>429.92005598988578</v>
      </c>
      <c r="B359">
        <v>73.381443298969089</v>
      </c>
      <c r="C359">
        <v>4.1010918518844113</v>
      </c>
      <c r="D359">
        <v>534.21370950000005</v>
      </c>
      <c r="E359">
        <v>688.99070511196396</v>
      </c>
      <c r="F359">
        <v>188.83642555</v>
      </c>
      <c r="G359">
        <v>83.400431999999995</v>
      </c>
      <c r="H359">
        <v>8</v>
      </c>
      <c r="I359">
        <v>54</v>
      </c>
      <c r="J359">
        <v>5</v>
      </c>
      <c r="K359">
        <v>79</v>
      </c>
      <c r="L359">
        <v>59</v>
      </c>
      <c r="M359">
        <v>26</v>
      </c>
      <c r="N359">
        <v>1995</v>
      </c>
      <c r="O359">
        <v>0.27</v>
      </c>
      <c r="P359">
        <v>2.4700000000000002</v>
      </c>
      <c r="Q359">
        <v>1.4999999999999999E-2</v>
      </c>
      <c r="R359">
        <v>70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>
      <c r="A360">
        <v>429.78087779125048</v>
      </c>
      <c r="B360">
        <v>73.381443298969089</v>
      </c>
      <c r="C360">
        <v>4.099764203712545</v>
      </c>
      <c r="D360">
        <v>534.21370950000005</v>
      </c>
      <c r="E360">
        <v>690.17635977265343</v>
      </c>
      <c r="F360">
        <v>188.83642555</v>
      </c>
      <c r="G360">
        <v>83.400431999999995</v>
      </c>
      <c r="H360">
        <v>8</v>
      </c>
      <c r="I360">
        <v>54</v>
      </c>
      <c r="J360">
        <v>5</v>
      </c>
      <c r="K360">
        <v>78</v>
      </c>
      <c r="L360">
        <v>59</v>
      </c>
      <c r="M360">
        <v>26</v>
      </c>
      <c r="N360">
        <v>1995</v>
      </c>
      <c r="O360">
        <v>0.27</v>
      </c>
      <c r="P360">
        <v>2.4700000000000002</v>
      </c>
      <c r="Q360">
        <v>1.4999999999999999E-2</v>
      </c>
      <c r="R360">
        <v>70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>
      <c r="A361">
        <v>401.18903275050741</v>
      </c>
      <c r="B361">
        <v>68.600000000000009</v>
      </c>
      <c r="C361">
        <v>4.0937656403112994</v>
      </c>
      <c r="D361">
        <v>445.24799999999999</v>
      </c>
      <c r="E361">
        <v>691.12816246522675</v>
      </c>
      <c r="F361">
        <v>172.00800000000001</v>
      </c>
      <c r="G361">
        <v>77.872320000000002</v>
      </c>
      <c r="H361">
        <v>6</v>
      </c>
      <c r="I361">
        <v>57</v>
      </c>
      <c r="J361">
        <v>6</v>
      </c>
      <c r="K361">
        <v>325</v>
      </c>
      <c r="L361">
        <v>56</v>
      </c>
      <c r="M361">
        <v>26</v>
      </c>
      <c r="N361">
        <v>1995</v>
      </c>
      <c r="O361">
        <v>0.27</v>
      </c>
      <c r="P361">
        <v>2.4700000000000002</v>
      </c>
      <c r="Q361">
        <v>1.4999999999999999E-2</v>
      </c>
      <c r="R361">
        <v>70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>
      <c r="A362">
        <v>428.60769966962857</v>
      </c>
      <c r="B362">
        <v>74</v>
      </c>
      <c r="C362">
        <v>4.0543971590370278</v>
      </c>
      <c r="D362">
        <v>529.54560000000015</v>
      </c>
      <c r="E362">
        <v>690.72358500066389</v>
      </c>
      <c r="F362">
        <v>187.74719999999999</v>
      </c>
      <c r="G362">
        <v>83.185200000000009</v>
      </c>
      <c r="H362">
        <v>8</v>
      </c>
      <c r="I362">
        <v>54</v>
      </c>
      <c r="J362">
        <v>5</v>
      </c>
      <c r="K362">
        <v>116</v>
      </c>
      <c r="L362">
        <v>59</v>
      </c>
      <c r="M362">
        <v>25</v>
      </c>
      <c r="N362">
        <v>1995</v>
      </c>
      <c r="O362">
        <v>0.27</v>
      </c>
      <c r="P362">
        <v>2.4700000000000002</v>
      </c>
      <c r="Q362">
        <v>1.4999999999999999E-2</v>
      </c>
      <c r="R362">
        <v>70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>
      <c r="A363">
        <v>412.7028601173626</v>
      </c>
      <c r="B363">
        <v>73.381443298969074</v>
      </c>
      <c r="C363">
        <v>3.9368536389391569</v>
      </c>
      <c r="D363">
        <v>498.01610625000001</v>
      </c>
      <c r="E363">
        <v>690.19534081790653</v>
      </c>
      <c r="F363">
        <v>175.32975812500001</v>
      </c>
      <c r="G363">
        <v>80.086799999999982</v>
      </c>
      <c r="H363">
        <v>9</v>
      </c>
      <c r="I363">
        <v>47</v>
      </c>
      <c r="J363">
        <v>4</v>
      </c>
      <c r="K363">
        <v>78</v>
      </c>
      <c r="L363">
        <v>64</v>
      </c>
      <c r="M363">
        <v>25</v>
      </c>
      <c r="N363">
        <v>1995</v>
      </c>
      <c r="O363">
        <v>0.27</v>
      </c>
      <c r="P363">
        <v>2.4700000000000002</v>
      </c>
      <c r="Q363">
        <v>1.4999999999999999E-2</v>
      </c>
      <c r="R363">
        <v>70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>
      <c r="A364">
        <v>410.45464610359022</v>
      </c>
      <c r="B364">
        <v>73.38144329896906</v>
      </c>
      <c r="C364">
        <v>3.9154074839047182</v>
      </c>
      <c r="D364">
        <v>506.20854600000001</v>
      </c>
      <c r="E364">
        <v>690.69432832872258</v>
      </c>
      <c r="F364">
        <v>178.4993274</v>
      </c>
      <c r="G364">
        <v>79.66137599999999</v>
      </c>
      <c r="H364">
        <v>9</v>
      </c>
      <c r="I364">
        <v>48</v>
      </c>
      <c r="J364">
        <v>4</v>
      </c>
      <c r="K364">
        <v>79</v>
      </c>
      <c r="L364">
        <v>63</v>
      </c>
      <c r="M364">
        <v>24</v>
      </c>
      <c r="N364">
        <v>1995</v>
      </c>
      <c r="O364">
        <v>0.27</v>
      </c>
      <c r="P364">
        <v>2.4700000000000002</v>
      </c>
      <c r="Q364">
        <v>1.4999999999999999E-2</v>
      </c>
      <c r="R364">
        <v>70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>
      <c r="A365">
        <v>406.93354001904811</v>
      </c>
      <c r="B365">
        <v>74</v>
      </c>
      <c r="C365">
        <v>3.8493713245045091</v>
      </c>
      <c r="D365">
        <v>503.24400000000003</v>
      </c>
      <c r="E365">
        <v>689.30307774903486</v>
      </c>
      <c r="F365">
        <v>177.80760000000001</v>
      </c>
      <c r="G365">
        <v>78.947999999999993</v>
      </c>
      <c r="H365">
        <v>9</v>
      </c>
      <c r="I365">
        <v>48</v>
      </c>
      <c r="J365">
        <v>4</v>
      </c>
      <c r="K365">
        <v>116</v>
      </c>
      <c r="L365">
        <v>62</v>
      </c>
      <c r="M365">
        <v>23</v>
      </c>
      <c r="N365">
        <v>1995</v>
      </c>
      <c r="O365">
        <v>0.27</v>
      </c>
      <c r="P365">
        <v>2.4700000000000002</v>
      </c>
      <c r="Q365">
        <v>1.4999999999999999E-2</v>
      </c>
      <c r="R365">
        <v>70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>
      <c r="A366">
        <v>422.40659046582721</v>
      </c>
      <c r="B366">
        <v>77.000000000000014</v>
      </c>
      <c r="C366">
        <v>3.840059913325701</v>
      </c>
      <c r="D366">
        <v>395.74200000000002</v>
      </c>
      <c r="E366">
        <v>692.48964579876315</v>
      </c>
      <c r="F366">
        <v>185.73480000000001</v>
      </c>
      <c r="G366">
        <v>82.021200000000007</v>
      </c>
      <c r="H366">
        <v>52</v>
      </c>
      <c r="I366">
        <v>55</v>
      </c>
      <c r="J366">
        <v>12</v>
      </c>
      <c r="K366">
        <v>87</v>
      </c>
      <c r="L366">
        <v>57</v>
      </c>
      <c r="M366">
        <v>28</v>
      </c>
      <c r="N366">
        <v>1995</v>
      </c>
      <c r="O366">
        <v>0.27</v>
      </c>
      <c r="P366">
        <v>2.4700000000000002</v>
      </c>
      <c r="Q366">
        <v>1.4999999999999999E-2</v>
      </c>
      <c r="R366">
        <v>70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>
      <c r="A367">
        <v>405.73205958846239</v>
      </c>
      <c r="B367">
        <v>74.152284263959388</v>
      </c>
      <c r="C367">
        <v>3.8301239743461779</v>
      </c>
      <c r="D367">
        <v>437.51184000000001</v>
      </c>
      <c r="E367">
        <v>689.63501312934329</v>
      </c>
      <c r="F367">
        <v>172.64116799999999</v>
      </c>
      <c r="G367">
        <v>78.722040000000007</v>
      </c>
      <c r="H367">
        <v>8</v>
      </c>
      <c r="I367">
        <v>49</v>
      </c>
      <c r="J367">
        <v>5</v>
      </c>
      <c r="K367">
        <v>152</v>
      </c>
      <c r="L367">
        <v>62</v>
      </c>
      <c r="M367">
        <v>31</v>
      </c>
      <c r="N367">
        <v>1995</v>
      </c>
      <c r="O367">
        <v>0.27</v>
      </c>
      <c r="P367">
        <v>2.4700000000000002</v>
      </c>
      <c r="Q367">
        <v>1.4999999999999999E-2</v>
      </c>
      <c r="R367">
        <v>70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>
      <c r="A368">
        <v>418.51790628174751</v>
      </c>
      <c r="B368">
        <v>77</v>
      </c>
      <c r="C368">
        <v>3.8047082389249778</v>
      </c>
      <c r="D368">
        <v>552.94080000000008</v>
      </c>
      <c r="E368">
        <v>690.36511828837047</v>
      </c>
      <c r="F368">
        <v>181.1088</v>
      </c>
      <c r="G368">
        <v>81.218999999999994</v>
      </c>
      <c r="H368">
        <v>8</v>
      </c>
      <c r="I368">
        <v>52</v>
      </c>
      <c r="J368">
        <v>5</v>
      </c>
      <c r="K368">
        <v>87</v>
      </c>
      <c r="L368">
        <v>61</v>
      </c>
      <c r="M368">
        <v>27</v>
      </c>
      <c r="N368">
        <v>1995</v>
      </c>
      <c r="O368">
        <v>0.27</v>
      </c>
      <c r="P368">
        <v>2.4700000000000002</v>
      </c>
      <c r="Q368">
        <v>1.4999999999999999E-2</v>
      </c>
      <c r="R368">
        <v>70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>
      <c r="A369">
        <v>371.63588507096898</v>
      </c>
      <c r="B369">
        <v>68.599999999999994</v>
      </c>
      <c r="C369">
        <v>3.7922029088874392</v>
      </c>
      <c r="D369">
        <v>946.08</v>
      </c>
      <c r="E369">
        <v>682.39610937320595</v>
      </c>
      <c r="F369">
        <v>156.024</v>
      </c>
      <c r="G369">
        <v>71.963999999999999</v>
      </c>
      <c r="H369">
        <v>2</v>
      </c>
      <c r="I369">
        <v>51</v>
      </c>
      <c r="J369">
        <v>8</v>
      </c>
      <c r="K369">
        <v>325</v>
      </c>
      <c r="L369">
        <v>57</v>
      </c>
      <c r="M369">
        <v>25</v>
      </c>
      <c r="N369">
        <v>1995</v>
      </c>
      <c r="O369">
        <v>0.27</v>
      </c>
      <c r="P369">
        <v>2.4700000000000002</v>
      </c>
      <c r="Q369">
        <v>1.4999999999999999E-2</v>
      </c>
      <c r="R369">
        <v>70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>
      <c r="A370">
        <v>394.95925109975173</v>
      </c>
      <c r="B370">
        <v>73.38144329896906</v>
      </c>
      <c r="C370">
        <v>3.7675938676135359</v>
      </c>
      <c r="D370">
        <v>477.79254600000002</v>
      </c>
      <c r="E370">
        <v>687.17990428657833</v>
      </c>
      <c r="F370">
        <v>167.84332739999999</v>
      </c>
      <c r="G370">
        <v>76.580472</v>
      </c>
      <c r="H370">
        <v>6</v>
      </c>
      <c r="I370">
        <v>56</v>
      </c>
      <c r="J370">
        <v>6</v>
      </c>
      <c r="K370">
        <v>79</v>
      </c>
      <c r="L370">
        <v>57</v>
      </c>
      <c r="M370">
        <v>27</v>
      </c>
      <c r="N370">
        <v>1995</v>
      </c>
      <c r="O370">
        <v>0.27</v>
      </c>
      <c r="P370">
        <v>2.4700000000000002</v>
      </c>
      <c r="Q370">
        <v>1.4999999999999999E-2</v>
      </c>
      <c r="R370">
        <v>70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>
      <c r="A371">
        <v>394.83091070376702</v>
      </c>
      <c r="B371">
        <v>73.38144329896906</v>
      </c>
      <c r="C371">
        <v>3.766369603369736</v>
      </c>
      <c r="D371">
        <v>477.79254600000002</v>
      </c>
      <c r="E371">
        <v>688.36942353221139</v>
      </c>
      <c r="F371">
        <v>167.84332739999999</v>
      </c>
      <c r="G371">
        <v>76.580472</v>
      </c>
      <c r="H371">
        <v>6</v>
      </c>
      <c r="I371">
        <v>56</v>
      </c>
      <c r="J371">
        <v>6</v>
      </c>
      <c r="K371">
        <v>78</v>
      </c>
      <c r="L371">
        <v>57</v>
      </c>
      <c r="M371">
        <v>27</v>
      </c>
      <c r="N371">
        <v>1995</v>
      </c>
      <c r="O371">
        <v>0.27</v>
      </c>
      <c r="P371">
        <v>2.4700000000000002</v>
      </c>
      <c r="Q371">
        <v>1.4999999999999999E-2</v>
      </c>
      <c r="R371">
        <v>70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>
      <c r="A372">
        <v>410.91519004394831</v>
      </c>
      <c r="B372">
        <v>77</v>
      </c>
      <c r="C372">
        <v>3.7355926367631662</v>
      </c>
      <c r="D372">
        <v>429.334</v>
      </c>
      <c r="E372">
        <v>687.73163809011896</v>
      </c>
      <c r="F372">
        <v>171.07276999999999</v>
      </c>
      <c r="G372">
        <v>79.686255000000003</v>
      </c>
      <c r="H372">
        <v>52</v>
      </c>
      <c r="I372">
        <v>54</v>
      </c>
      <c r="J372">
        <v>11</v>
      </c>
      <c r="K372">
        <v>82</v>
      </c>
      <c r="L372">
        <v>59</v>
      </c>
      <c r="M372">
        <v>41</v>
      </c>
      <c r="N372">
        <v>1995</v>
      </c>
      <c r="O372">
        <v>0.27</v>
      </c>
      <c r="P372">
        <v>2.4700000000000002</v>
      </c>
      <c r="Q372">
        <v>1.4999999999999999E-2</v>
      </c>
      <c r="R372">
        <v>70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>
      <c r="A373">
        <v>393.83574567938177</v>
      </c>
      <c r="B373">
        <v>74</v>
      </c>
      <c r="C373">
        <v>3.7254732699400979</v>
      </c>
      <c r="D373">
        <v>474.774</v>
      </c>
      <c r="E373">
        <v>689.16243636263334</v>
      </c>
      <c r="F373">
        <v>167.13900000000001</v>
      </c>
      <c r="G373">
        <v>76.403999999999996</v>
      </c>
      <c r="H373">
        <v>6</v>
      </c>
      <c r="I373">
        <v>56</v>
      </c>
      <c r="J373">
        <v>6</v>
      </c>
      <c r="K373">
        <v>116</v>
      </c>
      <c r="L373">
        <v>57</v>
      </c>
      <c r="M373">
        <v>26</v>
      </c>
      <c r="N373">
        <v>1995</v>
      </c>
      <c r="O373">
        <v>0.27</v>
      </c>
      <c r="P373">
        <v>2.4700000000000002</v>
      </c>
      <c r="Q373">
        <v>1.4999999999999999E-2</v>
      </c>
      <c r="R373">
        <v>70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>
      <c r="A374">
        <v>412.01880778875147</v>
      </c>
      <c r="B374">
        <v>77.63959390862945</v>
      </c>
      <c r="C374">
        <v>3.714769113701788</v>
      </c>
      <c r="D374">
        <v>444.61149599999999</v>
      </c>
      <c r="E374">
        <v>688.91557835661717</v>
      </c>
      <c r="F374">
        <v>174.8840472</v>
      </c>
      <c r="G374">
        <v>79.926118800000012</v>
      </c>
      <c r="H374">
        <v>8</v>
      </c>
      <c r="I374">
        <v>50</v>
      </c>
      <c r="J374">
        <v>5</v>
      </c>
      <c r="K374">
        <v>151</v>
      </c>
      <c r="L374">
        <v>63</v>
      </c>
      <c r="M374">
        <v>29</v>
      </c>
      <c r="N374">
        <v>1995</v>
      </c>
      <c r="O374">
        <v>0.27</v>
      </c>
      <c r="P374">
        <v>2.4700000000000002</v>
      </c>
      <c r="Q374">
        <v>1.4999999999999999E-2</v>
      </c>
      <c r="R374">
        <v>70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>
      <c r="A375">
        <v>408.25971512399371</v>
      </c>
      <c r="B375">
        <v>77.000000000000014</v>
      </c>
      <c r="C375">
        <v>3.7114519556726702</v>
      </c>
      <c r="D375">
        <v>377.262</v>
      </c>
      <c r="E375">
        <v>690.55647329202975</v>
      </c>
      <c r="F375">
        <v>174.64680000000001</v>
      </c>
      <c r="G375">
        <v>79.232399999999998</v>
      </c>
      <c r="H375">
        <v>53</v>
      </c>
      <c r="I375">
        <v>53</v>
      </c>
      <c r="J375">
        <v>12</v>
      </c>
      <c r="K375">
        <v>87</v>
      </c>
      <c r="L375">
        <v>59</v>
      </c>
      <c r="M375">
        <v>28</v>
      </c>
      <c r="N375">
        <v>1995</v>
      </c>
      <c r="O375">
        <v>0.27</v>
      </c>
      <c r="P375">
        <v>2.4700000000000002</v>
      </c>
      <c r="Q375">
        <v>1.4999999999999999E-2</v>
      </c>
      <c r="R375">
        <v>70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>
      <c r="A376">
        <v>388.32912238595179</v>
      </c>
      <c r="B376">
        <v>74.152284263959388</v>
      </c>
      <c r="C376">
        <v>3.6658396753164539</v>
      </c>
      <c r="D376">
        <v>407.42063999999999</v>
      </c>
      <c r="E376">
        <v>688.57838869818488</v>
      </c>
      <c r="F376">
        <v>161.817948</v>
      </c>
      <c r="G376">
        <v>75.323700000000002</v>
      </c>
      <c r="H376">
        <v>9</v>
      </c>
      <c r="I376">
        <v>57</v>
      </c>
      <c r="J376">
        <v>3</v>
      </c>
      <c r="K376">
        <v>152</v>
      </c>
      <c r="L376">
        <v>56</v>
      </c>
      <c r="M376">
        <v>35</v>
      </c>
      <c r="N376">
        <v>1995</v>
      </c>
      <c r="O376">
        <v>0.27</v>
      </c>
      <c r="P376">
        <v>2.4700000000000002</v>
      </c>
      <c r="Q376">
        <v>1.4999999999999999E-2</v>
      </c>
      <c r="R376">
        <v>70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>
      <c r="A377">
        <v>382.18238733173843</v>
      </c>
      <c r="B377">
        <v>73.38144329896906</v>
      </c>
      <c r="C377">
        <v>3.6457128547098958</v>
      </c>
      <c r="D377">
        <v>454.40854600000011</v>
      </c>
      <c r="E377">
        <v>688.43726447679933</v>
      </c>
      <c r="F377">
        <v>159.07432739999999</v>
      </c>
      <c r="G377">
        <v>74.128568000000001</v>
      </c>
      <c r="H377">
        <v>7</v>
      </c>
      <c r="I377">
        <v>55</v>
      </c>
      <c r="J377">
        <v>5</v>
      </c>
      <c r="K377">
        <v>79</v>
      </c>
      <c r="L377">
        <v>58</v>
      </c>
      <c r="M377">
        <v>27</v>
      </c>
      <c r="N377">
        <v>1995</v>
      </c>
      <c r="O377">
        <v>0.27</v>
      </c>
      <c r="P377">
        <v>2.4700000000000002</v>
      </c>
      <c r="Q377">
        <v>1.4999999999999999E-2</v>
      </c>
      <c r="R377">
        <v>70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>
      <c r="A378">
        <v>382.05606408742608</v>
      </c>
      <c r="B378">
        <v>73.38144329896906</v>
      </c>
      <c r="C378">
        <v>3.644507832472077</v>
      </c>
      <c r="D378">
        <v>454.19698900000009</v>
      </c>
      <c r="E378">
        <v>689.64765248112758</v>
      </c>
      <c r="F378">
        <v>159.02496410000001</v>
      </c>
      <c r="G378">
        <v>74.128568000000001</v>
      </c>
      <c r="H378">
        <v>7</v>
      </c>
      <c r="I378">
        <v>55</v>
      </c>
      <c r="J378">
        <v>5</v>
      </c>
      <c r="K378">
        <v>78</v>
      </c>
      <c r="L378">
        <v>58</v>
      </c>
      <c r="M378">
        <v>27</v>
      </c>
      <c r="N378">
        <v>1995</v>
      </c>
      <c r="O378">
        <v>0.27</v>
      </c>
      <c r="P378">
        <v>2.4700000000000002</v>
      </c>
      <c r="Q378">
        <v>1.4999999999999999E-2</v>
      </c>
      <c r="R378">
        <v>70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>
      <c r="A379">
        <v>399.81526885202078</v>
      </c>
      <c r="B379">
        <v>77.000000000000014</v>
      </c>
      <c r="C379">
        <v>3.6346842622910982</v>
      </c>
      <c r="D379">
        <v>419.41050000000001</v>
      </c>
      <c r="E379">
        <v>691.79507501143337</v>
      </c>
      <c r="F379">
        <v>163.97403</v>
      </c>
      <c r="G379">
        <v>77.619794999999996</v>
      </c>
      <c r="H379">
        <v>53</v>
      </c>
      <c r="I379">
        <v>53</v>
      </c>
      <c r="J379">
        <v>11</v>
      </c>
      <c r="K379">
        <v>82</v>
      </c>
      <c r="L379">
        <v>57</v>
      </c>
      <c r="M379">
        <v>43</v>
      </c>
      <c r="N379">
        <v>1995</v>
      </c>
      <c r="O379">
        <v>0.27</v>
      </c>
      <c r="P379">
        <v>2.4700000000000002</v>
      </c>
      <c r="Q379">
        <v>1.4999999999999999E-2</v>
      </c>
      <c r="R379">
        <v>70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>
      <c r="A380">
        <v>431.23579707953388</v>
      </c>
      <c r="B380">
        <v>84</v>
      </c>
      <c r="C380">
        <v>3.593631642329449</v>
      </c>
      <c r="D380">
        <v>539.49075000000005</v>
      </c>
      <c r="E380">
        <v>690.50399319063331</v>
      </c>
      <c r="F380">
        <v>188.65575000000001</v>
      </c>
      <c r="G380">
        <v>83.690250000000006</v>
      </c>
      <c r="H380">
        <v>8</v>
      </c>
      <c r="I380">
        <v>55</v>
      </c>
      <c r="J380">
        <v>5</v>
      </c>
      <c r="K380">
        <v>81</v>
      </c>
      <c r="L380">
        <v>57</v>
      </c>
      <c r="M380">
        <v>25</v>
      </c>
      <c r="N380">
        <v>1995</v>
      </c>
      <c r="O380">
        <v>0.27</v>
      </c>
      <c r="P380">
        <v>2.4700000000000002</v>
      </c>
      <c r="Q380">
        <v>1.4999999999999999E-2</v>
      </c>
      <c r="R380">
        <v>70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>
      <c r="A381">
        <v>377.70610055268389</v>
      </c>
      <c r="B381">
        <v>74</v>
      </c>
      <c r="C381">
        <v>3.572895545768632</v>
      </c>
      <c r="D381">
        <v>458.19799999999998</v>
      </c>
      <c r="E381">
        <v>690.7187486570167</v>
      </c>
      <c r="F381">
        <v>160.923</v>
      </c>
      <c r="G381">
        <v>73.305999999999997</v>
      </c>
      <c r="H381">
        <v>7</v>
      </c>
      <c r="I381">
        <v>56</v>
      </c>
      <c r="J381">
        <v>5</v>
      </c>
      <c r="K381">
        <v>116</v>
      </c>
      <c r="L381">
        <v>57</v>
      </c>
      <c r="M381">
        <v>25</v>
      </c>
      <c r="N381">
        <v>1995</v>
      </c>
      <c r="O381">
        <v>0.27</v>
      </c>
      <c r="P381">
        <v>2.4700000000000002</v>
      </c>
      <c r="Q381">
        <v>1.4999999999999999E-2</v>
      </c>
      <c r="R381">
        <v>70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>
      <c r="A382">
        <v>373.71212456949439</v>
      </c>
      <c r="B382">
        <v>73.500000000000014</v>
      </c>
      <c r="C382">
        <v>3.5591630911380419</v>
      </c>
      <c r="D382">
        <v>487.87200000000001</v>
      </c>
      <c r="E382">
        <v>687.90873293569268</v>
      </c>
      <c r="F382">
        <v>203.71680000000001</v>
      </c>
      <c r="G382">
        <v>72.475200000000001</v>
      </c>
      <c r="H382">
        <v>22</v>
      </c>
      <c r="I382">
        <v>56</v>
      </c>
      <c r="J382">
        <v>3</v>
      </c>
      <c r="K382">
        <v>87</v>
      </c>
      <c r="L382">
        <v>57</v>
      </c>
      <c r="M382">
        <v>28</v>
      </c>
      <c r="N382">
        <v>1995</v>
      </c>
      <c r="O382">
        <v>0.27</v>
      </c>
      <c r="P382">
        <v>2.4700000000000002</v>
      </c>
      <c r="Q382">
        <v>1.4999999999999999E-2</v>
      </c>
      <c r="R382">
        <v>70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>
      <c r="A383">
        <v>394.37524779480441</v>
      </c>
      <c r="B383">
        <v>77.63959390862945</v>
      </c>
      <c r="C383">
        <v>3.555694453802126</v>
      </c>
      <c r="D383">
        <v>424.70567999999997</v>
      </c>
      <c r="E383">
        <v>692.50881375854169</v>
      </c>
      <c r="F383">
        <v>167.42397600000001</v>
      </c>
      <c r="G383">
        <v>76.578587999999996</v>
      </c>
      <c r="H383">
        <v>9</v>
      </c>
      <c r="I383">
        <v>45</v>
      </c>
      <c r="J383">
        <v>4</v>
      </c>
      <c r="K383">
        <v>151</v>
      </c>
      <c r="L383">
        <v>59</v>
      </c>
      <c r="M383">
        <v>30</v>
      </c>
      <c r="N383">
        <v>1995</v>
      </c>
      <c r="O383">
        <v>0.27</v>
      </c>
      <c r="P383">
        <v>2.4700000000000002</v>
      </c>
      <c r="Q383">
        <v>1.4999999999999999E-2</v>
      </c>
      <c r="R383">
        <v>70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>
      <c r="A384">
        <v>391.06486816854579</v>
      </c>
      <c r="B384">
        <v>77</v>
      </c>
      <c r="C384">
        <v>3.5551351651685978</v>
      </c>
      <c r="D384">
        <v>545.22299999999996</v>
      </c>
      <c r="E384">
        <v>687.29370011718834</v>
      </c>
      <c r="F384">
        <v>157.04402999999999</v>
      </c>
      <c r="G384">
        <v>75.827730000000003</v>
      </c>
      <c r="H384">
        <v>9</v>
      </c>
      <c r="I384">
        <v>55</v>
      </c>
      <c r="J384">
        <v>3</v>
      </c>
      <c r="K384">
        <v>82</v>
      </c>
      <c r="L384">
        <v>58</v>
      </c>
      <c r="M384">
        <v>43</v>
      </c>
      <c r="N384">
        <v>1995</v>
      </c>
      <c r="O384">
        <v>0.27</v>
      </c>
      <c r="P384">
        <v>2.4700000000000002</v>
      </c>
      <c r="Q384">
        <v>1.4999999999999999E-2</v>
      </c>
      <c r="R384">
        <v>70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>
      <c r="A385">
        <v>372.2291741373906</v>
      </c>
      <c r="B385">
        <v>74.152284263959416</v>
      </c>
      <c r="C385">
        <v>3.5138556348265428</v>
      </c>
      <c r="D385">
        <v>395.36471999999998</v>
      </c>
      <c r="E385">
        <v>688.46614185697445</v>
      </c>
      <c r="F385">
        <v>156.69770399999999</v>
      </c>
      <c r="G385">
        <v>72.198599999999999</v>
      </c>
      <c r="H385">
        <v>6</v>
      </c>
      <c r="I385">
        <v>52</v>
      </c>
      <c r="J385">
        <v>6</v>
      </c>
      <c r="K385">
        <v>152</v>
      </c>
      <c r="L385">
        <v>61</v>
      </c>
      <c r="M385">
        <v>30</v>
      </c>
      <c r="N385">
        <v>1995</v>
      </c>
      <c r="O385">
        <v>0.27</v>
      </c>
      <c r="P385">
        <v>2.4700000000000002</v>
      </c>
      <c r="Q385">
        <v>1.4999999999999999E-2</v>
      </c>
      <c r="R385">
        <v>70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>
      <c r="A386">
        <v>369.19302922482922</v>
      </c>
      <c r="B386">
        <v>74.13959390862945</v>
      </c>
      <c r="C386">
        <v>3.4857908822090269</v>
      </c>
      <c r="D386">
        <v>384.74567999999999</v>
      </c>
      <c r="E386">
        <v>687.1312203975458</v>
      </c>
      <c r="F386">
        <v>197.39397600000001</v>
      </c>
      <c r="G386">
        <v>71.583588000000006</v>
      </c>
      <c r="H386">
        <v>22</v>
      </c>
      <c r="I386">
        <v>54</v>
      </c>
      <c r="J386">
        <v>3</v>
      </c>
      <c r="K386">
        <v>151</v>
      </c>
      <c r="L386">
        <v>59</v>
      </c>
      <c r="M386">
        <v>30</v>
      </c>
      <c r="N386">
        <v>1995</v>
      </c>
      <c r="O386">
        <v>0.27</v>
      </c>
      <c r="P386">
        <v>2.4700000000000002</v>
      </c>
      <c r="Q386">
        <v>1.4999999999999999E-2</v>
      </c>
      <c r="R386">
        <v>70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>
      <c r="A387">
        <v>517.64171785034966</v>
      </c>
      <c r="B387">
        <v>105</v>
      </c>
      <c r="C387">
        <v>3.4509447856689981</v>
      </c>
      <c r="D387">
        <v>438.49919999999997</v>
      </c>
      <c r="E387">
        <v>689.08381742738584</v>
      </c>
      <c r="F387">
        <v>155.8432</v>
      </c>
      <c r="G387">
        <v>100.42016</v>
      </c>
      <c r="H387">
        <v>39</v>
      </c>
      <c r="I387">
        <v>55</v>
      </c>
      <c r="J387">
        <v>11</v>
      </c>
      <c r="K387">
        <v>320</v>
      </c>
      <c r="L387">
        <v>56</v>
      </c>
      <c r="M387">
        <v>41</v>
      </c>
      <c r="N387">
        <v>1995</v>
      </c>
      <c r="O387">
        <v>0.27</v>
      </c>
      <c r="P387">
        <v>2.4700000000000002</v>
      </c>
      <c r="Q387">
        <v>1.4999999999999999E-2</v>
      </c>
      <c r="R387">
        <v>70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>
      <c r="A388">
        <v>379.64662810913762</v>
      </c>
      <c r="B388">
        <v>77.63959390862945</v>
      </c>
      <c r="C388">
        <v>3.4229009490846729</v>
      </c>
      <c r="D388">
        <v>401.61768000000001</v>
      </c>
      <c r="E388">
        <v>691.21420794941287</v>
      </c>
      <c r="F388">
        <v>158.76597599999999</v>
      </c>
      <c r="G388">
        <v>73.692588000000001</v>
      </c>
      <c r="H388">
        <v>6</v>
      </c>
      <c r="I388">
        <v>53</v>
      </c>
      <c r="J388">
        <v>6</v>
      </c>
      <c r="K388">
        <v>151</v>
      </c>
      <c r="L388">
        <v>59</v>
      </c>
      <c r="M388">
        <v>30</v>
      </c>
      <c r="N388">
        <v>1995</v>
      </c>
      <c r="O388">
        <v>0.27</v>
      </c>
      <c r="P388">
        <v>2.4700000000000002</v>
      </c>
      <c r="Q388">
        <v>1.4999999999999999E-2</v>
      </c>
      <c r="R388">
        <v>70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>
      <c r="A389">
        <v>409.59212468249461</v>
      </c>
      <c r="B389">
        <v>84</v>
      </c>
      <c r="C389">
        <v>3.413267705687455</v>
      </c>
      <c r="D389">
        <v>502.12349999999998</v>
      </c>
      <c r="E389">
        <v>685.32719275908278</v>
      </c>
      <c r="F389">
        <v>175.01669999999999</v>
      </c>
      <c r="G389">
        <v>79.377499999999998</v>
      </c>
      <c r="H389">
        <v>9</v>
      </c>
      <c r="I389">
        <v>48</v>
      </c>
      <c r="J389">
        <v>4</v>
      </c>
      <c r="K389">
        <v>81</v>
      </c>
      <c r="L389">
        <v>65</v>
      </c>
      <c r="M389">
        <v>22</v>
      </c>
      <c r="N389">
        <v>1995</v>
      </c>
      <c r="O389">
        <v>0.27</v>
      </c>
      <c r="P389">
        <v>2.4700000000000002</v>
      </c>
      <c r="Q389">
        <v>1.4999999999999999E-2</v>
      </c>
      <c r="R389">
        <v>70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>
      <c r="A390">
        <v>369.77435566113439</v>
      </c>
      <c r="B390">
        <v>77</v>
      </c>
      <c r="C390">
        <v>3.361585051464858</v>
      </c>
      <c r="D390">
        <v>482.32799999999997</v>
      </c>
      <c r="E390">
        <v>690.41300707042649</v>
      </c>
      <c r="F390">
        <v>155.06639999999999</v>
      </c>
      <c r="G390">
        <v>71.760600000000011</v>
      </c>
      <c r="H390">
        <v>7</v>
      </c>
      <c r="I390">
        <v>54</v>
      </c>
      <c r="J390">
        <v>5</v>
      </c>
      <c r="K390">
        <v>87</v>
      </c>
      <c r="L390">
        <v>59</v>
      </c>
      <c r="M390">
        <v>27</v>
      </c>
      <c r="N390">
        <v>1995</v>
      </c>
      <c r="O390">
        <v>0.27</v>
      </c>
      <c r="P390">
        <v>2.4700000000000002</v>
      </c>
      <c r="Q390">
        <v>1.4999999999999999E-2</v>
      </c>
      <c r="R390">
        <v>70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>
      <c r="A391">
        <v>467.63404853844139</v>
      </c>
      <c r="B391">
        <v>98</v>
      </c>
      <c r="C391">
        <v>3.3402432038460108</v>
      </c>
      <c r="D391">
        <v>497.69207999999998</v>
      </c>
      <c r="E391">
        <v>689.82572614107892</v>
      </c>
      <c r="F391">
        <v>195.63767999999999</v>
      </c>
      <c r="G391">
        <v>90.737279999999998</v>
      </c>
      <c r="H391">
        <v>8</v>
      </c>
      <c r="I391">
        <v>48</v>
      </c>
      <c r="J391">
        <v>6</v>
      </c>
      <c r="K391">
        <v>320</v>
      </c>
      <c r="L391">
        <v>60</v>
      </c>
      <c r="M391">
        <v>39</v>
      </c>
      <c r="N391">
        <v>1995</v>
      </c>
      <c r="O391">
        <v>0.27</v>
      </c>
      <c r="P391">
        <v>2.4700000000000002</v>
      </c>
      <c r="Q391">
        <v>1.4999999999999999E-2</v>
      </c>
      <c r="R391">
        <v>70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>
      <c r="A392">
        <v>397.6634966050346</v>
      </c>
      <c r="B392">
        <v>84</v>
      </c>
      <c r="C392">
        <v>3.3138624717086218</v>
      </c>
      <c r="D392">
        <v>483.22050000000002</v>
      </c>
      <c r="E392">
        <v>691.12816246522675</v>
      </c>
      <c r="F392">
        <v>167.50649999999999</v>
      </c>
      <c r="G392">
        <v>77.188000000000002</v>
      </c>
      <c r="H392">
        <v>6</v>
      </c>
      <c r="I392">
        <v>57</v>
      </c>
      <c r="J392">
        <v>6</v>
      </c>
      <c r="K392">
        <v>81</v>
      </c>
      <c r="L392">
        <v>56</v>
      </c>
      <c r="M392">
        <v>26</v>
      </c>
      <c r="N392">
        <v>1995</v>
      </c>
      <c r="O392">
        <v>0.27</v>
      </c>
      <c r="P392">
        <v>2.4700000000000002</v>
      </c>
      <c r="Q392">
        <v>1.4999999999999999E-2</v>
      </c>
      <c r="R392">
        <v>70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>
      <c r="A393">
        <v>425.15437068873121</v>
      </c>
      <c r="B393">
        <v>90.63384615384615</v>
      </c>
      <c r="C393">
        <v>3.283630477039869</v>
      </c>
      <c r="D393">
        <v>451.43759999999997</v>
      </c>
      <c r="E393">
        <v>689.96955156061881</v>
      </c>
      <c r="F393">
        <v>173.27879999999999</v>
      </c>
      <c r="G393">
        <v>82.497984000000002</v>
      </c>
      <c r="H393">
        <v>8</v>
      </c>
      <c r="I393">
        <v>50</v>
      </c>
      <c r="J393">
        <v>5</v>
      </c>
      <c r="K393">
        <v>150</v>
      </c>
      <c r="L393">
        <v>64</v>
      </c>
      <c r="M393">
        <v>44</v>
      </c>
      <c r="N393">
        <v>1995</v>
      </c>
      <c r="O393">
        <v>0.27</v>
      </c>
      <c r="P393">
        <v>2.4700000000000002</v>
      </c>
      <c r="Q393">
        <v>1.4999999999999999E-2</v>
      </c>
      <c r="R393">
        <v>70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>
      <c r="A394">
        <v>445.44595500491431</v>
      </c>
      <c r="B394">
        <v>98</v>
      </c>
      <c r="C394">
        <v>3.1817568214636731</v>
      </c>
      <c r="D394">
        <v>467.02584000000002</v>
      </c>
      <c r="E394">
        <v>689.78091286307063</v>
      </c>
      <c r="F394">
        <v>183.97584000000001</v>
      </c>
      <c r="G394">
        <v>86.430960000000013</v>
      </c>
      <c r="H394">
        <v>9</v>
      </c>
      <c r="I394">
        <v>51</v>
      </c>
      <c r="J394">
        <v>4</v>
      </c>
      <c r="K394">
        <v>320</v>
      </c>
      <c r="L394">
        <v>59</v>
      </c>
      <c r="M394">
        <v>39</v>
      </c>
      <c r="N394">
        <v>1995</v>
      </c>
      <c r="O394">
        <v>0.27</v>
      </c>
      <c r="P394">
        <v>2.4700000000000002</v>
      </c>
      <c r="Q394">
        <v>1.4999999999999999E-2</v>
      </c>
      <c r="R394">
        <v>70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>
      <c r="A395">
        <v>379.99870019681219</v>
      </c>
      <c r="B395">
        <v>84</v>
      </c>
      <c r="C395">
        <v>3.1666558349734348</v>
      </c>
      <c r="D395">
        <v>459.26675000000012</v>
      </c>
      <c r="E395">
        <v>686.31312182133888</v>
      </c>
      <c r="F395">
        <v>158.57175000000001</v>
      </c>
      <c r="G395">
        <v>73.66225</v>
      </c>
      <c r="H395">
        <v>7</v>
      </c>
      <c r="I395">
        <v>56</v>
      </c>
      <c r="J395">
        <v>5</v>
      </c>
      <c r="K395">
        <v>81</v>
      </c>
      <c r="L395">
        <v>57</v>
      </c>
      <c r="M395">
        <v>25</v>
      </c>
      <c r="N395">
        <v>1995</v>
      </c>
      <c r="O395">
        <v>0.27</v>
      </c>
      <c r="P395">
        <v>2.4700000000000002</v>
      </c>
      <c r="Q395">
        <v>1.4999999999999999E-2</v>
      </c>
      <c r="R395">
        <v>70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>
      <c r="A396">
        <v>439.0652132080703</v>
      </c>
      <c r="B396">
        <v>99.714285714285708</v>
      </c>
      <c r="C396">
        <v>3.082262958050924</v>
      </c>
      <c r="D396">
        <v>487.94074999999998</v>
      </c>
      <c r="E396">
        <v>690.58091286307047</v>
      </c>
      <c r="F396">
        <v>186.02168750000001</v>
      </c>
      <c r="G396">
        <v>85.211500000000001</v>
      </c>
      <c r="H396">
        <v>8</v>
      </c>
      <c r="I396">
        <v>55</v>
      </c>
      <c r="J396">
        <v>5</v>
      </c>
      <c r="K396">
        <v>321</v>
      </c>
      <c r="L396">
        <v>55</v>
      </c>
      <c r="M396">
        <v>26</v>
      </c>
      <c r="N396">
        <v>1995</v>
      </c>
      <c r="O396">
        <v>0.27</v>
      </c>
      <c r="P396">
        <v>2.4700000000000002</v>
      </c>
      <c r="Q396">
        <v>1.4999999999999999E-2</v>
      </c>
      <c r="R396">
        <v>70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>
      <c r="A397">
        <v>415.92258733501069</v>
      </c>
      <c r="B397">
        <v>94.500000000000014</v>
      </c>
      <c r="C397">
        <v>3.0809080543334129</v>
      </c>
      <c r="D397">
        <v>431.01983999999999</v>
      </c>
      <c r="E397">
        <v>691.79253112033189</v>
      </c>
      <c r="F397">
        <v>222.33984000000001</v>
      </c>
      <c r="G397">
        <v>80.746800000000007</v>
      </c>
      <c r="H397">
        <v>22</v>
      </c>
      <c r="I397">
        <v>47</v>
      </c>
      <c r="J397">
        <v>4</v>
      </c>
      <c r="K397">
        <v>320</v>
      </c>
      <c r="L397">
        <v>63</v>
      </c>
      <c r="M397">
        <v>35</v>
      </c>
      <c r="N397">
        <v>1995</v>
      </c>
      <c r="O397">
        <v>0.27</v>
      </c>
      <c r="P397">
        <v>2.4700000000000002</v>
      </c>
      <c r="Q397">
        <v>1.4999999999999999E-2</v>
      </c>
      <c r="R397">
        <v>70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>
      <c r="A398">
        <v>383.45037065529408</v>
      </c>
      <c r="B398">
        <v>87.13384615384615</v>
      </c>
      <c r="C398">
        <v>3.0804936463470671</v>
      </c>
      <c r="D398">
        <v>391.93200000000002</v>
      </c>
      <c r="E398">
        <v>690.44212519459234</v>
      </c>
      <c r="F398">
        <v>195.96600000000001</v>
      </c>
      <c r="G398">
        <v>74.415239999999997</v>
      </c>
      <c r="H398">
        <v>22</v>
      </c>
      <c r="I398">
        <v>54</v>
      </c>
      <c r="J398">
        <v>3</v>
      </c>
      <c r="K398">
        <v>150</v>
      </c>
      <c r="L398">
        <v>60</v>
      </c>
      <c r="M398">
        <v>46</v>
      </c>
      <c r="N398">
        <v>1995</v>
      </c>
      <c r="O398">
        <v>0.27</v>
      </c>
      <c r="P398">
        <v>2.4700000000000002</v>
      </c>
      <c r="Q398">
        <v>1.4999999999999999E-2</v>
      </c>
      <c r="R398">
        <v>70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>
      <c r="A399">
        <v>428.49441562468951</v>
      </c>
      <c r="B399">
        <v>98</v>
      </c>
      <c r="C399">
        <v>3.060674397319211</v>
      </c>
      <c r="D399">
        <v>445.25792000000001</v>
      </c>
      <c r="E399">
        <v>691.79419087136921</v>
      </c>
      <c r="F399">
        <v>175.89792</v>
      </c>
      <c r="G399">
        <v>83.187520000000006</v>
      </c>
      <c r="H399">
        <v>6</v>
      </c>
      <c r="I399">
        <v>52</v>
      </c>
      <c r="J399">
        <v>7</v>
      </c>
      <c r="K399">
        <v>320</v>
      </c>
      <c r="L399">
        <v>58</v>
      </c>
      <c r="M399">
        <v>39</v>
      </c>
      <c r="N399">
        <v>1995</v>
      </c>
      <c r="O399">
        <v>0.27</v>
      </c>
      <c r="P399">
        <v>2.4700000000000002</v>
      </c>
      <c r="Q399">
        <v>1.4999999999999999E-2</v>
      </c>
      <c r="R399">
        <v>70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>
      <c r="A400">
        <v>435.70572349624229</v>
      </c>
      <c r="B400">
        <v>100.5846153846154</v>
      </c>
      <c r="C400">
        <v>3.0322132791494369</v>
      </c>
      <c r="D400">
        <v>472.77120000000008</v>
      </c>
      <c r="E400">
        <v>689.32005113439197</v>
      </c>
      <c r="F400">
        <v>180.79920000000001</v>
      </c>
      <c r="G400">
        <v>84.5304</v>
      </c>
      <c r="H400">
        <v>8</v>
      </c>
      <c r="I400">
        <v>53</v>
      </c>
      <c r="J400">
        <v>5</v>
      </c>
      <c r="K400">
        <v>149</v>
      </c>
      <c r="L400">
        <v>60</v>
      </c>
      <c r="M400">
        <v>40</v>
      </c>
      <c r="N400">
        <v>1995</v>
      </c>
      <c r="O400">
        <v>0.27</v>
      </c>
      <c r="P400">
        <v>2.4700000000000002</v>
      </c>
      <c r="Q400">
        <v>1.4999999999999999E-2</v>
      </c>
      <c r="R400">
        <v>70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>
      <c r="A401">
        <v>420.85252420627648</v>
      </c>
      <c r="B401">
        <v>98</v>
      </c>
      <c r="C401">
        <v>3.0060894586162612</v>
      </c>
      <c r="D401">
        <v>462.25630000000012</v>
      </c>
      <c r="E401">
        <v>688.10201734541181</v>
      </c>
      <c r="F401">
        <v>176.59055000000001</v>
      </c>
      <c r="G401">
        <v>81.621600000000001</v>
      </c>
      <c r="H401">
        <v>8</v>
      </c>
      <c r="I401">
        <v>52</v>
      </c>
      <c r="J401">
        <v>5</v>
      </c>
      <c r="K401">
        <v>66</v>
      </c>
      <c r="L401">
        <v>61</v>
      </c>
      <c r="M401">
        <v>24</v>
      </c>
      <c r="N401">
        <v>1995</v>
      </c>
      <c r="O401">
        <v>0.27</v>
      </c>
      <c r="P401">
        <v>2.4700000000000002</v>
      </c>
      <c r="Q401">
        <v>1.4999999999999999E-2</v>
      </c>
      <c r="R401">
        <v>70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>
      <c r="A402">
        <v>419.28941680648569</v>
      </c>
      <c r="B402">
        <v>98</v>
      </c>
      <c r="C402">
        <v>2.9949244057606119</v>
      </c>
      <c r="D402">
        <v>516.45480000000009</v>
      </c>
      <c r="E402">
        <v>685.27314116671346</v>
      </c>
      <c r="F402">
        <v>176.9718</v>
      </c>
      <c r="G402">
        <v>81.255600000000001</v>
      </c>
      <c r="H402">
        <v>8</v>
      </c>
      <c r="I402">
        <v>52</v>
      </c>
      <c r="J402">
        <v>5</v>
      </c>
      <c r="K402">
        <v>83</v>
      </c>
      <c r="L402">
        <v>61</v>
      </c>
      <c r="M402">
        <v>30</v>
      </c>
      <c r="N402">
        <v>1995</v>
      </c>
      <c r="O402">
        <v>0.27</v>
      </c>
      <c r="P402">
        <v>2.4700000000000002</v>
      </c>
      <c r="Q402">
        <v>1.4999999999999999E-2</v>
      </c>
      <c r="R402">
        <v>70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>
      <c r="A403">
        <v>431.7963175963668</v>
      </c>
      <c r="B403">
        <v>102.2352941176471</v>
      </c>
      <c r="C403">
        <v>2.956488020366379</v>
      </c>
      <c r="D403">
        <v>533.29200000000003</v>
      </c>
      <c r="E403">
        <v>689.84701375022519</v>
      </c>
      <c r="F403">
        <v>185.26140000000001</v>
      </c>
      <c r="G403">
        <v>83.784000000000006</v>
      </c>
      <c r="H403">
        <v>8</v>
      </c>
      <c r="I403">
        <v>55</v>
      </c>
      <c r="J403">
        <v>5</v>
      </c>
      <c r="K403">
        <v>110</v>
      </c>
      <c r="L403">
        <v>58</v>
      </c>
      <c r="M403">
        <v>25</v>
      </c>
      <c r="N403">
        <v>1995</v>
      </c>
      <c r="O403">
        <v>0.27</v>
      </c>
      <c r="P403">
        <v>2.4700000000000002</v>
      </c>
      <c r="Q403">
        <v>1.4999999999999999E-2</v>
      </c>
      <c r="R403">
        <v>70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>
      <c r="A404">
        <v>413.38093475711622</v>
      </c>
      <c r="B404">
        <v>98</v>
      </c>
      <c r="C404">
        <v>2.9527209625508299</v>
      </c>
      <c r="D404">
        <v>508.06439999999998</v>
      </c>
      <c r="E404">
        <v>689.6664847158072</v>
      </c>
      <c r="F404">
        <v>173.8254</v>
      </c>
      <c r="G404">
        <v>80.206800000000001</v>
      </c>
      <c r="H404">
        <v>8</v>
      </c>
      <c r="I404">
        <v>51</v>
      </c>
      <c r="J404">
        <v>5</v>
      </c>
      <c r="K404">
        <v>80</v>
      </c>
      <c r="L404">
        <v>61</v>
      </c>
      <c r="M404">
        <v>30</v>
      </c>
      <c r="N404">
        <v>1995</v>
      </c>
      <c r="O404">
        <v>0.27</v>
      </c>
      <c r="P404">
        <v>2.4700000000000002</v>
      </c>
      <c r="Q404">
        <v>1.4999999999999999E-2</v>
      </c>
      <c r="R404">
        <v>70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>
      <c r="A405">
        <v>412.89225452009367</v>
      </c>
      <c r="B405">
        <v>98.000000000000014</v>
      </c>
      <c r="C405">
        <v>2.9492303894292409</v>
      </c>
      <c r="D405">
        <v>507.74160000000012</v>
      </c>
      <c r="E405">
        <v>689.08215947233828</v>
      </c>
      <c r="F405">
        <v>173.77160000000001</v>
      </c>
      <c r="G405">
        <v>80.09920000000001</v>
      </c>
      <c r="H405">
        <v>8</v>
      </c>
      <c r="I405">
        <v>51</v>
      </c>
      <c r="J405">
        <v>5</v>
      </c>
      <c r="K405">
        <v>64</v>
      </c>
      <c r="L405">
        <v>62</v>
      </c>
      <c r="M405">
        <v>29</v>
      </c>
      <c r="N405">
        <v>1995</v>
      </c>
      <c r="O405">
        <v>0.27</v>
      </c>
      <c r="P405">
        <v>2.4700000000000002</v>
      </c>
      <c r="Q405">
        <v>1.4999999999999999E-2</v>
      </c>
      <c r="R405">
        <v>70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>
      <c r="A406">
        <v>412.89225452009367</v>
      </c>
      <c r="B406">
        <v>98.000000000000014</v>
      </c>
      <c r="C406">
        <v>2.9492303894292409</v>
      </c>
      <c r="D406">
        <v>454.52080000000012</v>
      </c>
      <c r="E406">
        <v>689.08215947233828</v>
      </c>
      <c r="F406">
        <v>173.77160000000001</v>
      </c>
      <c r="G406">
        <v>80.09920000000001</v>
      </c>
      <c r="H406">
        <v>8</v>
      </c>
      <c r="I406">
        <v>51</v>
      </c>
      <c r="J406">
        <v>5</v>
      </c>
      <c r="K406">
        <v>72</v>
      </c>
      <c r="L406">
        <v>62</v>
      </c>
      <c r="M406">
        <v>29</v>
      </c>
      <c r="N406">
        <v>1995</v>
      </c>
      <c r="O406">
        <v>0.27</v>
      </c>
      <c r="P406">
        <v>2.4700000000000002</v>
      </c>
      <c r="Q406">
        <v>1.4999999999999999E-2</v>
      </c>
      <c r="R406">
        <v>70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>
      <c r="A407">
        <v>417.46105769867762</v>
      </c>
      <c r="B407">
        <v>100.5846153846154</v>
      </c>
      <c r="C407">
        <v>2.905242906896579</v>
      </c>
      <c r="D407">
        <v>444.92520000000002</v>
      </c>
      <c r="E407">
        <v>691.61905391112032</v>
      </c>
      <c r="F407">
        <v>170.29259999999999</v>
      </c>
      <c r="G407">
        <v>81.041640000000001</v>
      </c>
      <c r="H407">
        <v>9</v>
      </c>
      <c r="I407">
        <v>47</v>
      </c>
      <c r="J407">
        <v>4</v>
      </c>
      <c r="K407">
        <v>149</v>
      </c>
      <c r="L407">
        <v>63</v>
      </c>
      <c r="M407">
        <v>38</v>
      </c>
      <c r="N407">
        <v>1995</v>
      </c>
      <c r="O407">
        <v>0.27</v>
      </c>
      <c r="P407">
        <v>2.4700000000000002</v>
      </c>
      <c r="Q407">
        <v>1.4999999999999999E-2</v>
      </c>
      <c r="R407">
        <v>70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>
      <c r="A408">
        <v>413.83352041257012</v>
      </c>
      <c r="B408">
        <v>99.714285714285708</v>
      </c>
      <c r="C408">
        <v>2.9051350286842319</v>
      </c>
      <c r="D408">
        <v>460.95350000000002</v>
      </c>
      <c r="E408">
        <v>686.42323651452284</v>
      </c>
      <c r="F408">
        <v>175.82841500000001</v>
      </c>
      <c r="G408">
        <v>80.223500000000001</v>
      </c>
      <c r="H408">
        <v>9</v>
      </c>
      <c r="I408">
        <v>49</v>
      </c>
      <c r="J408">
        <v>4</v>
      </c>
      <c r="K408">
        <v>321</v>
      </c>
      <c r="L408">
        <v>61</v>
      </c>
      <c r="M408">
        <v>22</v>
      </c>
      <c r="N408">
        <v>1995</v>
      </c>
      <c r="O408">
        <v>0.27</v>
      </c>
      <c r="P408">
        <v>2.4700000000000002</v>
      </c>
      <c r="Q408">
        <v>1.4999999999999999E-2</v>
      </c>
      <c r="R408">
        <v>70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>
      <c r="A409">
        <v>396.06934307367919</v>
      </c>
      <c r="B409">
        <v>97.08461538461539</v>
      </c>
      <c r="C409">
        <v>2.8557412423504331</v>
      </c>
      <c r="D409">
        <v>401.63670000000002</v>
      </c>
      <c r="E409">
        <v>690.5521090370994</v>
      </c>
      <c r="F409">
        <v>200.81835000000001</v>
      </c>
      <c r="G409">
        <v>76.86648000000001</v>
      </c>
      <c r="H409">
        <v>22</v>
      </c>
      <c r="I409">
        <v>56</v>
      </c>
      <c r="J409">
        <v>3</v>
      </c>
      <c r="K409">
        <v>149</v>
      </c>
      <c r="L409">
        <v>57</v>
      </c>
      <c r="M409">
        <v>44</v>
      </c>
      <c r="N409">
        <v>1995</v>
      </c>
      <c r="O409">
        <v>0.27</v>
      </c>
      <c r="P409">
        <v>2.4700000000000002</v>
      </c>
      <c r="Q409">
        <v>1.4999999999999999E-2</v>
      </c>
      <c r="R409">
        <v>70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>
      <c r="A410">
        <v>398.00976491858012</v>
      </c>
      <c r="B410">
        <v>98.000000000000014</v>
      </c>
      <c r="C410">
        <v>2.8429268922755719</v>
      </c>
      <c r="D410">
        <v>473.12639999999999</v>
      </c>
      <c r="E410">
        <v>691.16552931343813</v>
      </c>
      <c r="F410">
        <v>160.2544</v>
      </c>
      <c r="G410">
        <v>77.256</v>
      </c>
      <c r="H410">
        <v>9</v>
      </c>
      <c r="I410">
        <v>44</v>
      </c>
      <c r="J410">
        <v>4</v>
      </c>
      <c r="K410">
        <v>64</v>
      </c>
      <c r="L410">
        <v>60</v>
      </c>
      <c r="M410">
        <v>32</v>
      </c>
      <c r="N410">
        <v>1995</v>
      </c>
      <c r="O410">
        <v>0.27</v>
      </c>
      <c r="P410">
        <v>2.4700000000000002</v>
      </c>
      <c r="Q410">
        <v>1.4999999999999999E-2</v>
      </c>
      <c r="R410">
        <v>70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>
      <c r="A411">
        <v>389.68632070856592</v>
      </c>
      <c r="B411">
        <v>96.214285714285708</v>
      </c>
      <c r="C411">
        <v>2.8351343303221581</v>
      </c>
      <c r="D411">
        <v>425.27949999999998</v>
      </c>
      <c r="E411">
        <v>690.63900414937768</v>
      </c>
      <c r="F411">
        <v>212.38295500000001</v>
      </c>
      <c r="G411">
        <v>75.629499999999993</v>
      </c>
      <c r="H411">
        <v>22</v>
      </c>
      <c r="I411">
        <v>45</v>
      </c>
      <c r="J411">
        <v>4</v>
      </c>
      <c r="K411">
        <v>321</v>
      </c>
      <c r="L411">
        <v>58</v>
      </c>
      <c r="M411">
        <v>23</v>
      </c>
      <c r="N411">
        <v>1995</v>
      </c>
      <c r="O411">
        <v>0.27</v>
      </c>
      <c r="P411">
        <v>2.4700000000000002</v>
      </c>
      <c r="Q411">
        <v>1.4999999999999999E-2</v>
      </c>
      <c r="R411">
        <v>70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>
      <c r="A412">
        <v>396.64390129025332</v>
      </c>
      <c r="B412">
        <v>98</v>
      </c>
      <c r="C412">
        <v>2.83317072350181</v>
      </c>
      <c r="D412">
        <v>426.66919999999999</v>
      </c>
      <c r="E412">
        <v>692.5131796778636</v>
      </c>
      <c r="F412">
        <v>163.38460000000001</v>
      </c>
      <c r="G412">
        <v>77.019199999999998</v>
      </c>
      <c r="H412">
        <v>9</v>
      </c>
      <c r="I412">
        <v>45</v>
      </c>
      <c r="J412">
        <v>4</v>
      </c>
      <c r="K412">
        <v>72</v>
      </c>
      <c r="L412">
        <v>59</v>
      </c>
      <c r="M412">
        <v>31</v>
      </c>
      <c r="N412">
        <v>1995</v>
      </c>
      <c r="O412">
        <v>0.27</v>
      </c>
      <c r="P412">
        <v>2.4700000000000002</v>
      </c>
      <c r="Q412">
        <v>1.4999999999999999E-2</v>
      </c>
      <c r="R412">
        <v>70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>
      <c r="A413">
        <v>380.22825281761561</v>
      </c>
      <c r="B413">
        <v>94.5</v>
      </c>
      <c r="C413">
        <v>2.8165055764267821</v>
      </c>
      <c r="D413">
        <v>448.68779999999998</v>
      </c>
      <c r="E413">
        <v>687.56157839270463</v>
      </c>
      <c r="F413">
        <v>196.88130000000001</v>
      </c>
      <c r="G413">
        <v>73.731899999999996</v>
      </c>
      <c r="H413">
        <v>22</v>
      </c>
      <c r="I413">
        <v>55</v>
      </c>
      <c r="J413">
        <v>3</v>
      </c>
      <c r="K413">
        <v>83</v>
      </c>
      <c r="L413">
        <v>58</v>
      </c>
      <c r="M413">
        <v>33</v>
      </c>
      <c r="N413">
        <v>1995</v>
      </c>
      <c r="O413">
        <v>0.27</v>
      </c>
      <c r="P413">
        <v>2.4700000000000002</v>
      </c>
      <c r="Q413">
        <v>1.4999999999999999E-2</v>
      </c>
      <c r="R413">
        <v>70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>
      <c r="A414">
        <v>410.82419517554098</v>
      </c>
      <c r="B414">
        <v>102.2352941176471</v>
      </c>
      <c r="C414">
        <v>2.812892935896973</v>
      </c>
      <c r="D414">
        <v>506.08319999999998</v>
      </c>
      <c r="E414">
        <v>690.73574898221909</v>
      </c>
      <c r="F414">
        <v>175.233744</v>
      </c>
      <c r="G414">
        <v>79.733999999999995</v>
      </c>
      <c r="H414">
        <v>9</v>
      </c>
      <c r="I414">
        <v>49</v>
      </c>
      <c r="J414">
        <v>4</v>
      </c>
      <c r="K414">
        <v>110</v>
      </c>
      <c r="L414">
        <v>64</v>
      </c>
      <c r="M414">
        <v>22</v>
      </c>
      <c r="N414">
        <v>1995</v>
      </c>
      <c r="O414">
        <v>0.27</v>
      </c>
      <c r="P414">
        <v>2.4700000000000002</v>
      </c>
      <c r="Q414">
        <v>1.4999999999999999E-2</v>
      </c>
      <c r="R414">
        <v>70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>
      <c r="A415">
        <v>400.16511496667118</v>
      </c>
      <c r="B415">
        <v>99.714285714285708</v>
      </c>
      <c r="C415">
        <v>2.8091820391643112</v>
      </c>
      <c r="D415">
        <v>431.98399999999998</v>
      </c>
      <c r="E415">
        <v>691.0539419087138</v>
      </c>
      <c r="F415">
        <v>164.96928</v>
      </c>
      <c r="G415">
        <v>77.671999999999997</v>
      </c>
      <c r="H415">
        <v>6</v>
      </c>
      <c r="I415">
        <v>50</v>
      </c>
      <c r="J415">
        <v>7</v>
      </c>
      <c r="K415">
        <v>321</v>
      </c>
      <c r="L415">
        <v>56</v>
      </c>
      <c r="M415">
        <v>24</v>
      </c>
      <c r="N415">
        <v>1995</v>
      </c>
      <c r="O415">
        <v>0.27</v>
      </c>
      <c r="P415">
        <v>2.4700000000000002</v>
      </c>
      <c r="Q415">
        <v>1.4999999999999999E-2</v>
      </c>
      <c r="R415">
        <v>70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>
      <c r="A416">
        <v>403.09956411839181</v>
      </c>
      <c r="B416">
        <v>100.5846153846154</v>
      </c>
      <c r="C416">
        <v>2.8052967524299222</v>
      </c>
      <c r="D416">
        <v>419.22120000000001</v>
      </c>
      <c r="E416">
        <v>689.95756974373148</v>
      </c>
      <c r="F416">
        <v>160.7706</v>
      </c>
      <c r="G416">
        <v>78.218159999999997</v>
      </c>
      <c r="H416">
        <v>6</v>
      </c>
      <c r="I416">
        <v>55</v>
      </c>
      <c r="J416">
        <v>6</v>
      </c>
      <c r="K416">
        <v>149</v>
      </c>
      <c r="L416">
        <v>58</v>
      </c>
      <c r="M416">
        <v>42</v>
      </c>
      <c r="N416">
        <v>1995</v>
      </c>
      <c r="O416">
        <v>0.27</v>
      </c>
      <c r="P416">
        <v>2.4700000000000002</v>
      </c>
      <c r="Q416">
        <v>1.4999999999999999E-2</v>
      </c>
      <c r="R416">
        <v>70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>
      <c r="A417">
        <v>376.47297924384861</v>
      </c>
      <c r="B417">
        <v>94.5</v>
      </c>
      <c r="C417">
        <v>2.788688735139619</v>
      </c>
      <c r="D417">
        <v>399.32249999999999</v>
      </c>
      <c r="E417">
        <v>686.49893234827573</v>
      </c>
      <c r="F417">
        <v>199.66125</v>
      </c>
      <c r="G417">
        <v>72.982500000000002</v>
      </c>
      <c r="H417">
        <v>22</v>
      </c>
      <c r="I417">
        <v>56</v>
      </c>
      <c r="J417">
        <v>3</v>
      </c>
      <c r="K417">
        <v>66</v>
      </c>
      <c r="L417">
        <v>57</v>
      </c>
      <c r="M417">
        <v>25</v>
      </c>
      <c r="N417">
        <v>1995</v>
      </c>
      <c r="O417">
        <v>0.27</v>
      </c>
      <c r="P417">
        <v>2.4700000000000002</v>
      </c>
      <c r="Q417">
        <v>1.4999999999999999E-2</v>
      </c>
      <c r="R417">
        <v>70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>
      <c r="A418">
        <v>389.24138479866701</v>
      </c>
      <c r="B418">
        <v>98.000000000000014</v>
      </c>
      <c r="C418">
        <v>2.780295605704763</v>
      </c>
      <c r="D418">
        <v>466.31040000000002</v>
      </c>
      <c r="E418">
        <v>689.3614525451419</v>
      </c>
      <c r="F418">
        <v>157.63839999999999</v>
      </c>
      <c r="G418">
        <v>75.516800000000003</v>
      </c>
      <c r="H418">
        <v>6</v>
      </c>
      <c r="I418">
        <v>54</v>
      </c>
      <c r="J418">
        <v>6</v>
      </c>
      <c r="K418">
        <v>83</v>
      </c>
      <c r="L418">
        <v>59</v>
      </c>
      <c r="M418">
        <v>32</v>
      </c>
      <c r="N418">
        <v>1995</v>
      </c>
      <c r="O418">
        <v>0.27</v>
      </c>
      <c r="P418">
        <v>2.4700000000000002</v>
      </c>
      <c r="Q418">
        <v>1.4999999999999999E-2</v>
      </c>
      <c r="R418">
        <v>70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>
      <c r="A419">
        <v>373.67651858298609</v>
      </c>
      <c r="B419">
        <v>94.500000000000014</v>
      </c>
      <c r="C419">
        <v>2.7679742117258228</v>
      </c>
      <c r="D419">
        <v>439.75020000000001</v>
      </c>
      <c r="E419">
        <v>690.51014188959925</v>
      </c>
      <c r="F419">
        <v>193.17169999999999</v>
      </c>
      <c r="G419">
        <v>72.519800000000004</v>
      </c>
      <c r="H419">
        <v>22</v>
      </c>
      <c r="I419">
        <v>54</v>
      </c>
      <c r="J419">
        <v>3</v>
      </c>
      <c r="K419">
        <v>80</v>
      </c>
      <c r="L419">
        <v>59</v>
      </c>
      <c r="M419">
        <v>32</v>
      </c>
      <c r="N419">
        <v>1995</v>
      </c>
      <c r="O419">
        <v>0.27</v>
      </c>
      <c r="P419">
        <v>2.4700000000000002</v>
      </c>
      <c r="Q419">
        <v>1.4999999999999999E-2</v>
      </c>
      <c r="R419">
        <v>70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>
      <c r="A420">
        <v>387.43954412680068</v>
      </c>
      <c r="B420">
        <v>98</v>
      </c>
      <c r="C420">
        <v>2.7674253151914341</v>
      </c>
      <c r="D420">
        <v>417.08249999999998</v>
      </c>
      <c r="E420">
        <v>691.0798452113462</v>
      </c>
      <c r="F420">
        <v>159.70124999999999</v>
      </c>
      <c r="G420">
        <v>75.202500000000001</v>
      </c>
      <c r="H420">
        <v>6</v>
      </c>
      <c r="I420">
        <v>55</v>
      </c>
      <c r="J420">
        <v>6</v>
      </c>
      <c r="K420">
        <v>66</v>
      </c>
      <c r="L420">
        <v>57</v>
      </c>
      <c r="M420">
        <v>25</v>
      </c>
      <c r="N420">
        <v>1995</v>
      </c>
      <c r="O420">
        <v>0.27</v>
      </c>
      <c r="P420">
        <v>2.4700000000000002</v>
      </c>
      <c r="Q420">
        <v>1.4999999999999999E-2</v>
      </c>
      <c r="R420">
        <v>70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>
      <c r="A421">
        <v>371.46504658410481</v>
      </c>
      <c r="B421">
        <v>94.5</v>
      </c>
      <c r="C421">
        <v>2.7515929376600359</v>
      </c>
      <c r="D421">
        <v>440.8476</v>
      </c>
      <c r="E421">
        <v>687.13558631686783</v>
      </c>
      <c r="F421">
        <v>193.3546</v>
      </c>
      <c r="G421">
        <v>72.024199999999993</v>
      </c>
      <c r="H421">
        <v>22</v>
      </c>
      <c r="I421">
        <v>54</v>
      </c>
      <c r="J421">
        <v>3</v>
      </c>
      <c r="K421">
        <v>64</v>
      </c>
      <c r="L421">
        <v>59</v>
      </c>
      <c r="M421">
        <v>31</v>
      </c>
      <c r="N421">
        <v>1995</v>
      </c>
      <c r="O421">
        <v>0.27</v>
      </c>
      <c r="P421">
        <v>2.4700000000000002</v>
      </c>
      <c r="Q421">
        <v>1.4999999999999999E-2</v>
      </c>
      <c r="R421">
        <v>70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>
      <c r="A422">
        <v>371.46504658410481</v>
      </c>
      <c r="B422">
        <v>94.5</v>
      </c>
      <c r="C422">
        <v>2.7515929376600359</v>
      </c>
      <c r="D422">
        <v>386.70920000000001</v>
      </c>
      <c r="E422">
        <v>687.13558631686783</v>
      </c>
      <c r="F422">
        <v>193.3546</v>
      </c>
      <c r="G422">
        <v>72.024199999999993</v>
      </c>
      <c r="H422">
        <v>22</v>
      </c>
      <c r="I422">
        <v>54</v>
      </c>
      <c r="J422">
        <v>3</v>
      </c>
      <c r="K422">
        <v>72</v>
      </c>
      <c r="L422">
        <v>59</v>
      </c>
      <c r="M422">
        <v>31</v>
      </c>
      <c r="N422">
        <v>1995</v>
      </c>
      <c r="O422">
        <v>0.27</v>
      </c>
      <c r="P422">
        <v>2.4700000000000002</v>
      </c>
      <c r="Q422">
        <v>1.4999999999999999E-2</v>
      </c>
      <c r="R422">
        <v>70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>
      <c r="A423">
        <v>382.83794236739561</v>
      </c>
      <c r="B423">
        <v>98.000000000000014</v>
      </c>
      <c r="C423">
        <v>2.7345567311956831</v>
      </c>
      <c r="D423">
        <v>440.35235999999998</v>
      </c>
      <c r="E423">
        <v>684.86307053941914</v>
      </c>
      <c r="F423">
        <v>158.75241</v>
      </c>
      <c r="G423">
        <v>74.183220000000006</v>
      </c>
      <c r="H423">
        <v>8</v>
      </c>
      <c r="I423">
        <v>58</v>
      </c>
      <c r="J423">
        <v>4</v>
      </c>
      <c r="K423">
        <v>256</v>
      </c>
      <c r="L423">
        <v>55</v>
      </c>
      <c r="M423">
        <v>19</v>
      </c>
      <c r="N423">
        <v>1995</v>
      </c>
      <c r="O423">
        <v>0.27</v>
      </c>
      <c r="P423">
        <v>2.4700000000000002</v>
      </c>
      <c r="Q423">
        <v>1.4999999999999999E-2</v>
      </c>
      <c r="R423">
        <v>70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>
      <c r="A424">
        <v>396.15329407399793</v>
      </c>
      <c r="B424">
        <v>102.2352941176471</v>
      </c>
      <c r="C424">
        <v>2.7124420020026321</v>
      </c>
      <c r="D424">
        <v>477</v>
      </c>
      <c r="E424">
        <v>687.75206105851782</v>
      </c>
      <c r="F424">
        <v>164.10024000000001</v>
      </c>
      <c r="G424">
        <v>76.823999999999998</v>
      </c>
      <c r="H424">
        <v>6</v>
      </c>
      <c r="I424">
        <v>57</v>
      </c>
      <c r="J424">
        <v>6</v>
      </c>
      <c r="K424">
        <v>110</v>
      </c>
      <c r="L424">
        <v>56</v>
      </c>
      <c r="M424">
        <v>26</v>
      </c>
      <c r="N424">
        <v>1995</v>
      </c>
      <c r="O424">
        <v>0.27</v>
      </c>
      <c r="P424">
        <v>2.4700000000000002</v>
      </c>
      <c r="Q424">
        <v>1.4999999999999999E-2</v>
      </c>
      <c r="R424">
        <v>70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>
      <c r="A425">
        <v>385.69741894382258</v>
      </c>
      <c r="B425">
        <v>99.714285714285708</v>
      </c>
      <c r="C425">
        <v>2.7076179839895862</v>
      </c>
      <c r="D425">
        <v>418.01280000000003</v>
      </c>
      <c r="E425">
        <v>692.31535269709548</v>
      </c>
      <c r="F425">
        <v>159.73007999999999</v>
      </c>
      <c r="G425">
        <v>74.889600000000002</v>
      </c>
      <c r="H425">
        <v>7</v>
      </c>
      <c r="I425">
        <v>48</v>
      </c>
      <c r="J425">
        <v>6</v>
      </c>
      <c r="K425">
        <v>321</v>
      </c>
      <c r="L425">
        <v>56</v>
      </c>
      <c r="M425">
        <v>24</v>
      </c>
      <c r="N425">
        <v>1995</v>
      </c>
      <c r="O425">
        <v>0.27</v>
      </c>
      <c r="P425">
        <v>2.4700000000000002</v>
      </c>
      <c r="Q425">
        <v>1.4999999999999999E-2</v>
      </c>
      <c r="R425">
        <v>70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>
      <c r="A426">
        <v>388.48874003071887</v>
      </c>
      <c r="B426">
        <v>100.52</v>
      </c>
      <c r="C426">
        <v>2.705353342832304</v>
      </c>
      <c r="D426">
        <v>407.02179999999998</v>
      </c>
      <c r="E426">
        <v>690.78008298755185</v>
      </c>
      <c r="F426">
        <v>160.5538</v>
      </c>
      <c r="G426">
        <v>75.399980000000014</v>
      </c>
      <c r="H426">
        <v>8</v>
      </c>
      <c r="I426">
        <v>47</v>
      </c>
      <c r="J426">
        <v>5</v>
      </c>
      <c r="K426">
        <v>322</v>
      </c>
      <c r="L426">
        <v>58</v>
      </c>
      <c r="M426">
        <v>23</v>
      </c>
      <c r="N426">
        <v>1995</v>
      </c>
      <c r="O426">
        <v>0.27</v>
      </c>
      <c r="P426">
        <v>2.4700000000000002</v>
      </c>
      <c r="Q426">
        <v>1.4999999999999999E-2</v>
      </c>
      <c r="R426">
        <v>70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>
      <c r="A427">
        <v>365.95419327084068</v>
      </c>
      <c r="B427">
        <v>95.666666666666671</v>
      </c>
      <c r="C427">
        <v>2.6777136092988338</v>
      </c>
      <c r="D427">
        <v>535.03200000000004</v>
      </c>
      <c r="E427">
        <v>681.95305836984176</v>
      </c>
      <c r="F427">
        <v>179.9496</v>
      </c>
      <c r="G427">
        <v>70.855199999999996</v>
      </c>
      <c r="H427">
        <v>164</v>
      </c>
      <c r="I427">
        <v>63</v>
      </c>
      <c r="J427">
        <v>4</v>
      </c>
      <c r="K427">
        <v>219</v>
      </c>
      <c r="L427">
        <v>51</v>
      </c>
      <c r="M427">
        <v>4</v>
      </c>
      <c r="N427">
        <v>1995</v>
      </c>
      <c r="O427">
        <v>0.27</v>
      </c>
      <c r="P427">
        <v>2.4700000000000002</v>
      </c>
      <c r="Q427">
        <v>1.4999999999999999E-2</v>
      </c>
      <c r="R427">
        <v>70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>
      <c r="A428">
        <v>388.58161733749557</v>
      </c>
      <c r="B428">
        <v>103.1219512195122</v>
      </c>
      <c r="C428">
        <v>2.6377228991452522</v>
      </c>
      <c r="D428">
        <v>444.82272</v>
      </c>
      <c r="E428">
        <v>691.45394190871366</v>
      </c>
      <c r="F428">
        <v>159.77408</v>
      </c>
      <c r="G428">
        <v>75.431880000000007</v>
      </c>
      <c r="H428">
        <v>8</v>
      </c>
      <c r="I428">
        <v>47</v>
      </c>
      <c r="J428">
        <v>5</v>
      </c>
      <c r="K428">
        <v>257</v>
      </c>
      <c r="L428">
        <v>58</v>
      </c>
      <c r="M428">
        <v>14</v>
      </c>
      <c r="N428">
        <v>1995</v>
      </c>
      <c r="O428">
        <v>0.27</v>
      </c>
      <c r="P428">
        <v>2.4700000000000002</v>
      </c>
      <c r="Q428">
        <v>1.4999999999999999E-2</v>
      </c>
      <c r="R428">
        <v>70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>
      <c r="A429">
        <v>383.16764482674751</v>
      </c>
      <c r="B429">
        <v>102.2352941176471</v>
      </c>
      <c r="C429">
        <v>2.6235299041647271</v>
      </c>
      <c r="D429">
        <v>453.06799999999998</v>
      </c>
      <c r="E429">
        <v>689.04461045945914</v>
      </c>
      <c r="F429">
        <v>155.17740000000001</v>
      </c>
      <c r="G429">
        <v>74.331999999999994</v>
      </c>
      <c r="H429">
        <v>7</v>
      </c>
      <c r="I429">
        <v>56</v>
      </c>
      <c r="J429">
        <v>5</v>
      </c>
      <c r="K429">
        <v>110</v>
      </c>
      <c r="L429">
        <v>57</v>
      </c>
      <c r="M429">
        <v>26</v>
      </c>
      <c r="N429">
        <v>1995</v>
      </c>
      <c r="O429">
        <v>0.27</v>
      </c>
      <c r="P429">
        <v>2.4700000000000002</v>
      </c>
      <c r="Q429">
        <v>1.4999999999999999E-2</v>
      </c>
      <c r="R429">
        <v>70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>
      <c r="A430">
        <v>429.40012622528758</v>
      </c>
      <c r="B430">
        <v>154</v>
      </c>
      <c r="C430">
        <v>1.951818755569489</v>
      </c>
      <c r="D430">
        <v>512.77200000000005</v>
      </c>
      <c r="E430">
        <v>690.50399319063331</v>
      </c>
      <c r="F430">
        <v>180.74700000000001</v>
      </c>
      <c r="G430">
        <v>83.334000000000003</v>
      </c>
      <c r="H430">
        <v>8</v>
      </c>
      <c r="I430">
        <v>55</v>
      </c>
      <c r="J430">
        <v>5</v>
      </c>
      <c r="K430">
        <v>318</v>
      </c>
      <c r="L430">
        <v>57</v>
      </c>
      <c r="M430">
        <v>25</v>
      </c>
      <c r="N430">
        <v>1995</v>
      </c>
      <c r="O430">
        <v>0.27</v>
      </c>
      <c r="P430">
        <v>2.4700000000000002</v>
      </c>
      <c r="Q430">
        <v>1.4999999999999999E-2</v>
      </c>
      <c r="R430">
        <v>70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>
      <c r="A431">
        <v>407.74740565539003</v>
      </c>
      <c r="B431">
        <v>154</v>
      </c>
      <c r="C431">
        <v>1.8533972984335909</v>
      </c>
      <c r="D431">
        <v>476.928</v>
      </c>
      <c r="E431">
        <v>685.32719275908278</v>
      </c>
      <c r="F431">
        <v>167.44319999999999</v>
      </c>
      <c r="G431">
        <v>79.02</v>
      </c>
      <c r="H431">
        <v>9</v>
      </c>
      <c r="I431">
        <v>48</v>
      </c>
      <c r="J431">
        <v>4</v>
      </c>
      <c r="K431">
        <v>318</v>
      </c>
      <c r="L431">
        <v>65</v>
      </c>
      <c r="M431">
        <v>22</v>
      </c>
      <c r="N431">
        <v>1995</v>
      </c>
      <c r="O431">
        <v>0.27</v>
      </c>
      <c r="P431">
        <v>2.4700000000000002</v>
      </c>
      <c r="Q431">
        <v>1.4999999999999999E-2</v>
      </c>
      <c r="R431">
        <v>70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>
      <c r="A432">
        <v>395.78821142127242</v>
      </c>
      <c r="B432">
        <v>154</v>
      </c>
      <c r="C432">
        <v>1.7990373246421481</v>
      </c>
      <c r="D432">
        <v>456.40800000000002</v>
      </c>
      <c r="E432">
        <v>691.12816246522675</v>
      </c>
      <c r="F432">
        <v>159.57</v>
      </c>
      <c r="G432">
        <v>76.823999999999998</v>
      </c>
      <c r="H432">
        <v>6</v>
      </c>
      <c r="I432">
        <v>57</v>
      </c>
      <c r="J432">
        <v>6</v>
      </c>
      <c r="K432">
        <v>318</v>
      </c>
      <c r="L432">
        <v>56</v>
      </c>
      <c r="M432">
        <v>26</v>
      </c>
      <c r="N432">
        <v>1995</v>
      </c>
      <c r="O432">
        <v>0.27</v>
      </c>
      <c r="P432">
        <v>2.4700000000000002</v>
      </c>
      <c r="Q432">
        <v>1.4999999999999999E-2</v>
      </c>
      <c r="R432">
        <v>70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>
      <c r="A433">
        <v>365.66885333095598</v>
      </c>
      <c r="B433">
        <v>217.119</v>
      </c>
      <c r="C433">
        <v>1.178930435989799</v>
      </c>
      <c r="D433">
        <v>578.59199999999998</v>
      </c>
      <c r="E433">
        <v>689.69960581254145</v>
      </c>
      <c r="F433">
        <v>377.3904</v>
      </c>
      <c r="G433">
        <v>70.950039999999987</v>
      </c>
      <c r="H433">
        <v>94</v>
      </c>
      <c r="I433">
        <v>52</v>
      </c>
      <c r="J433">
        <v>5</v>
      </c>
      <c r="K433">
        <v>40</v>
      </c>
      <c r="L433">
        <v>63</v>
      </c>
      <c r="M433">
        <v>6</v>
      </c>
      <c r="N433">
        <v>1995</v>
      </c>
      <c r="O433">
        <v>0.27</v>
      </c>
      <c r="P433">
        <v>2.4700000000000002</v>
      </c>
      <c r="Q433">
        <v>1.4999999999999999E-2</v>
      </c>
      <c r="R433">
        <v>70</v>
      </c>
      <c r="S433">
        <v>700</v>
      </c>
      <c r="T433">
        <v>475</v>
      </c>
      <c r="U433">
        <v>275</v>
      </c>
      <c r="V433">
        <v>370</v>
      </c>
      <c r="W433">
        <v>155</v>
      </c>
    </row>
  </sheetData>
  <sortState xmlns:xlrd2="http://schemas.microsoft.com/office/spreadsheetml/2017/richdata2" ref="A2:W433">
    <sortCondition descending="1" ref="C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1C0C9-C921-471A-881B-FF22A75AA3B6}">
  <sheetPr codeName="Sheet10"/>
  <dimension ref="A1:W25"/>
  <sheetViews>
    <sheetView workbookViewId="0">
      <selection activeCell="F36" sqref="F36:G36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383.44721772978693</v>
      </c>
      <c r="B2">
        <v>14</v>
      </c>
      <c r="C2">
        <v>19.17236088648934</v>
      </c>
      <c r="D2">
        <v>371.036</v>
      </c>
      <c r="E2">
        <v>680.23236514522819</v>
      </c>
      <c r="F2">
        <v>222.6216</v>
      </c>
      <c r="G2">
        <v>74.207200000000014</v>
      </c>
      <c r="H2">
        <v>52</v>
      </c>
      <c r="I2">
        <v>109</v>
      </c>
      <c r="J2">
        <v>8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70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366.69062316135478</v>
      </c>
      <c r="B3">
        <v>14</v>
      </c>
      <c r="C3">
        <v>18.33453115806774</v>
      </c>
      <c r="D3">
        <v>563.83488</v>
      </c>
      <c r="E3">
        <v>655.26970954356841</v>
      </c>
      <c r="F3">
        <v>211.43808000000001</v>
      </c>
      <c r="G3">
        <v>70.479360000000014</v>
      </c>
      <c r="H3">
        <v>8</v>
      </c>
      <c r="I3">
        <v>112</v>
      </c>
      <c r="J3">
        <v>3</v>
      </c>
      <c r="K3">
        <v>0</v>
      </c>
      <c r="L3">
        <v>0</v>
      </c>
      <c r="M3">
        <v>0</v>
      </c>
      <c r="N3">
        <v>1995</v>
      </c>
      <c r="O3">
        <v>0.27</v>
      </c>
      <c r="P3">
        <v>2.4700000000000002</v>
      </c>
      <c r="Q3">
        <v>1.4999999999999999E-2</v>
      </c>
      <c r="R3">
        <v>70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403.88925253096892</v>
      </c>
      <c r="B4">
        <v>21</v>
      </c>
      <c r="C4">
        <v>13.462975084365629</v>
      </c>
      <c r="D4">
        <v>1119.6569999999999</v>
      </c>
      <c r="E4">
        <v>673.18506224066391</v>
      </c>
      <c r="F4">
        <v>156.02493000000001</v>
      </c>
      <c r="G4">
        <v>78.012464999999992</v>
      </c>
      <c r="H4">
        <v>142</v>
      </c>
      <c r="I4">
        <v>111</v>
      </c>
      <c r="J4">
        <v>29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70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387.53168548020273</v>
      </c>
      <c r="B5">
        <v>22.4</v>
      </c>
      <c r="C5">
        <v>12.11036517125634</v>
      </c>
      <c r="D5">
        <v>474.88920000000002</v>
      </c>
      <c r="E5">
        <v>691.6182572614108</v>
      </c>
      <c r="F5">
        <v>271.27719999999988</v>
      </c>
      <c r="G5">
        <v>75.231440000000006</v>
      </c>
      <c r="H5">
        <v>8</v>
      </c>
      <c r="I5">
        <v>61</v>
      </c>
      <c r="J5">
        <v>4</v>
      </c>
      <c r="K5">
        <v>163</v>
      </c>
      <c r="L5">
        <v>52</v>
      </c>
      <c r="M5">
        <v>5</v>
      </c>
      <c r="N5">
        <v>1995</v>
      </c>
      <c r="O5">
        <v>0.27</v>
      </c>
      <c r="P5">
        <v>2.4700000000000002</v>
      </c>
      <c r="Q5">
        <v>1.4999999999999999E-2</v>
      </c>
      <c r="R5">
        <v>70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368.65469039318452</v>
      </c>
      <c r="B6">
        <v>22.4</v>
      </c>
      <c r="C6">
        <v>11.52045907478702</v>
      </c>
      <c r="D6">
        <v>445.11</v>
      </c>
      <c r="E6">
        <v>688.32365145228221</v>
      </c>
      <c r="F6">
        <v>260.11</v>
      </c>
      <c r="G6">
        <v>71.502499999999998</v>
      </c>
      <c r="H6">
        <v>9</v>
      </c>
      <c r="I6">
        <v>57</v>
      </c>
      <c r="J6">
        <v>3</v>
      </c>
      <c r="K6">
        <v>163</v>
      </c>
      <c r="L6">
        <v>52</v>
      </c>
      <c r="M6">
        <v>5</v>
      </c>
      <c r="N6">
        <v>1995</v>
      </c>
      <c r="O6">
        <v>0.27</v>
      </c>
      <c r="P6">
        <v>2.4700000000000002</v>
      </c>
      <c r="Q6">
        <v>1.4999999999999999E-2</v>
      </c>
      <c r="R6">
        <v>70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365.37574905718748</v>
      </c>
      <c r="B7">
        <v>22.4</v>
      </c>
      <c r="C7">
        <v>11.41799215803711</v>
      </c>
      <c r="D7">
        <v>1164.9449999999999</v>
      </c>
      <c r="E7">
        <v>680.08298755186718</v>
      </c>
      <c r="F7">
        <v>302.03100000000001</v>
      </c>
      <c r="G7">
        <v>70.706999999999994</v>
      </c>
      <c r="H7">
        <v>163</v>
      </c>
      <c r="I7">
        <v>54</v>
      </c>
      <c r="J7">
        <v>9</v>
      </c>
      <c r="K7">
        <v>161</v>
      </c>
      <c r="L7">
        <v>58</v>
      </c>
      <c r="M7">
        <v>25</v>
      </c>
      <c r="N7">
        <v>1995</v>
      </c>
      <c r="O7">
        <v>0.27</v>
      </c>
      <c r="P7">
        <v>2.4700000000000002</v>
      </c>
      <c r="Q7">
        <v>1.4999999999999999E-2</v>
      </c>
      <c r="R7">
        <v>70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371.01226445820902</v>
      </c>
      <c r="B8">
        <v>23.744</v>
      </c>
      <c r="C8">
        <v>10.9378615701123</v>
      </c>
      <c r="D8">
        <v>724.23839999999996</v>
      </c>
      <c r="E8">
        <v>685.8572614107884</v>
      </c>
      <c r="F8">
        <v>458.8168</v>
      </c>
      <c r="G8">
        <v>71.911280000000005</v>
      </c>
      <c r="H8">
        <v>39</v>
      </c>
      <c r="I8">
        <v>59</v>
      </c>
      <c r="J8">
        <v>7</v>
      </c>
      <c r="K8">
        <v>40</v>
      </c>
      <c r="L8">
        <v>61</v>
      </c>
      <c r="M8">
        <v>6</v>
      </c>
      <c r="N8">
        <v>1995</v>
      </c>
      <c r="O8">
        <v>0.27</v>
      </c>
      <c r="P8">
        <v>2.4700000000000002</v>
      </c>
      <c r="Q8">
        <v>1.4999999999999999E-2</v>
      </c>
      <c r="R8">
        <v>70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396.77411779127277</v>
      </c>
      <c r="B9">
        <v>25.666666666666661</v>
      </c>
      <c r="C9">
        <v>10.821112303398349</v>
      </c>
      <c r="D9">
        <v>490.65120000000002</v>
      </c>
      <c r="E9">
        <v>690.18213167021497</v>
      </c>
      <c r="F9">
        <v>238.9392</v>
      </c>
      <c r="G9">
        <v>76.995480000000015</v>
      </c>
      <c r="H9">
        <v>8</v>
      </c>
      <c r="I9">
        <v>62</v>
      </c>
      <c r="J9">
        <v>4</v>
      </c>
      <c r="K9">
        <v>164</v>
      </c>
      <c r="L9">
        <v>45</v>
      </c>
      <c r="M9">
        <v>3</v>
      </c>
      <c r="N9">
        <v>1995</v>
      </c>
      <c r="O9">
        <v>0.27</v>
      </c>
      <c r="P9">
        <v>2.4700000000000002</v>
      </c>
      <c r="Q9">
        <v>1.4999999999999999E-2</v>
      </c>
      <c r="R9">
        <v>70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379.87852763191262</v>
      </c>
      <c r="B10">
        <v>24.73863636363636</v>
      </c>
      <c r="C10">
        <v>10.74897441530814</v>
      </c>
      <c r="D10">
        <v>493.97760000000011</v>
      </c>
      <c r="E10">
        <v>687.87542174645182</v>
      </c>
      <c r="F10">
        <v>242.26560000000001</v>
      </c>
      <c r="G10">
        <v>73.670400000000001</v>
      </c>
      <c r="H10">
        <v>8</v>
      </c>
      <c r="I10">
        <v>60</v>
      </c>
      <c r="J10">
        <v>4</v>
      </c>
      <c r="K10">
        <v>95</v>
      </c>
      <c r="L10">
        <v>48</v>
      </c>
      <c r="M10">
        <v>3</v>
      </c>
      <c r="N10">
        <v>1995</v>
      </c>
      <c r="O10">
        <v>0.27</v>
      </c>
      <c r="P10">
        <v>2.4700000000000002</v>
      </c>
      <c r="Q10">
        <v>1.4999999999999999E-2</v>
      </c>
      <c r="R10">
        <v>70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385.997013206796</v>
      </c>
      <c r="B11">
        <v>25.666666666666671</v>
      </c>
      <c r="C11">
        <v>10.527191269276249</v>
      </c>
      <c r="D11">
        <v>375.13560000000001</v>
      </c>
      <c r="E11">
        <v>688.66914942196081</v>
      </c>
      <c r="F11">
        <v>255.1446</v>
      </c>
      <c r="G11">
        <v>74.873199999999997</v>
      </c>
      <c r="H11">
        <v>164</v>
      </c>
      <c r="I11">
        <v>55</v>
      </c>
      <c r="J11">
        <v>5</v>
      </c>
      <c r="K11">
        <v>7</v>
      </c>
      <c r="L11">
        <v>47</v>
      </c>
      <c r="M11">
        <v>3</v>
      </c>
      <c r="N11">
        <v>1995</v>
      </c>
      <c r="O11">
        <v>0.27</v>
      </c>
      <c r="P11">
        <v>2.4700000000000002</v>
      </c>
      <c r="Q11">
        <v>1.4999999999999999E-2</v>
      </c>
      <c r="R11">
        <v>70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383.21490406435407</v>
      </c>
      <c r="B12">
        <v>25.666666666666661</v>
      </c>
      <c r="C12">
        <v>10.45131556539148</v>
      </c>
      <c r="D12">
        <v>1213.1856</v>
      </c>
      <c r="E12">
        <v>677.19847457985759</v>
      </c>
      <c r="F12">
        <v>251.16192000000001</v>
      </c>
      <c r="G12">
        <v>74.100639999999999</v>
      </c>
      <c r="H12">
        <v>164</v>
      </c>
      <c r="I12">
        <v>52</v>
      </c>
      <c r="J12">
        <v>5</v>
      </c>
      <c r="K12">
        <v>161</v>
      </c>
      <c r="L12">
        <v>61</v>
      </c>
      <c r="M12">
        <v>24</v>
      </c>
      <c r="N12">
        <v>1995</v>
      </c>
      <c r="O12">
        <v>0.27</v>
      </c>
      <c r="P12">
        <v>2.4700000000000002</v>
      </c>
      <c r="Q12">
        <v>1.4999999999999999E-2</v>
      </c>
      <c r="R12">
        <v>70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363.30497156609368</v>
      </c>
      <c r="B13">
        <v>24.73863636363636</v>
      </c>
      <c r="C13">
        <v>10.280012057175639</v>
      </c>
      <c r="D13">
        <v>372</v>
      </c>
      <c r="E13">
        <v>690.77078221125851</v>
      </c>
      <c r="F13">
        <v>254.34</v>
      </c>
      <c r="G13">
        <v>70.512</v>
      </c>
      <c r="H13">
        <v>95</v>
      </c>
      <c r="I13">
        <v>58</v>
      </c>
      <c r="J13">
        <v>5</v>
      </c>
      <c r="K13">
        <v>6</v>
      </c>
      <c r="L13">
        <v>53</v>
      </c>
      <c r="M13">
        <v>3</v>
      </c>
      <c r="N13">
        <v>1995</v>
      </c>
      <c r="O13">
        <v>0.27</v>
      </c>
      <c r="P13">
        <v>2.4700000000000002</v>
      </c>
      <c r="Q13">
        <v>1.4999999999999999E-2</v>
      </c>
      <c r="R13">
        <v>70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376.71791111504388</v>
      </c>
      <c r="B14">
        <v>25.666666666666661</v>
      </c>
      <c r="C14">
        <v>10.274124848592111</v>
      </c>
      <c r="D14">
        <v>649.35</v>
      </c>
      <c r="E14">
        <v>685.04692912611881</v>
      </c>
      <c r="F14">
        <v>241.75800000000001</v>
      </c>
      <c r="G14">
        <v>73.001000000000005</v>
      </c>
      <c r="H14">
        <v>164</v>
      </c>
      <c r="I14">
        <v>53</v>
      </c>
      <c r="J14">
        <v>5</v>
      </c>
      <c r="K14">
        <v>2</v>
      </c>
      <c r="L14">
        <v>54</v>
      </c>
      <c r="M14">
        <v>4</v>
      </c>
      <c r="N14">
        <v>1995</v>
      </c>
      <c r="O14">
        <v>0.27</v>
      </c>
      <c r="P14">
        <v>2.4700000000000002</v>
      </c>
      <c r="Q14">
        <v>1.4999999999999999E-2</v>
      </c>
      <c r="R14">
        <v>70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429.78842144221647</v>
      </c>
      <c r="B15">
        <v>29.4</v>
      </c>
      <c r="C15">
        <v>10.23305765338611</v>
      </c>
      <c r="D15">
        <v>425.35320000000002</v>
      </c>
      <c r="E15">
        <v>689.20165975103748</v>
      </c>
      <c r="F15">
        <v>237.98439999999999</v>
      </c>
      <c r="G15">
        <v>83.379700000000014</v>
      </c>
      <c r="H15">
        <v>39</v>
      </c>
      <c r="I15">
        <v>56</v>
      </c>
      <c r="J15">
        <v>9</v>
      </c>
      <c r="K15">
        <v>163</v>
      </c>
      <c r="L15">
        <v>53</v>
      </c>
      <c r="M15">
        <v>5</v>
      </c>
      <c r="N15">
        <v>1995</v>
      </c>
      <c r="O15">
        <v>0.27</v>
      </c>
      <c r="P15">
        <v>2.4700000000000002</v>
      </c>
      <c r="Q15">
        <v>1.4999999999999999E-2</v>
      </c>
      <c r="R15">
        <v>70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384.38849184332901</v>
      </c>
      <c r="B16">
        <v>28</v>
      </c>
      <c r="C16">
        <v>9.6097122960832255</v>
      </c>
      <c r="D16">
        <v>521.87919999999997</v>
      </c>
      <c r="E16">
        <v>690.37344398340247</v>
      </c>
      <c r="F16">
        <v>222.5112</v>
      </c>
      <c r="G16">
        <v>74.595900000000015</v>
      </c>
      <c r="H16">
        <v>8</v>
      </c>
      <c r="I16">
        <v>48</v>
      </c>
      <c r="J16">
        <v>5</v>
      </c>
      <c r="K16">
        <v>52</v>
      </c>
      <c r="L16">
        <v>57</v>
      </c>
      <c r="M16">
        <v>5</v>
      </c>
      <c r="N16">
        <v>1995</v>
      </c>
      <c r="O16">
        <v>0.27</v>
      </c>
      <c r="P16">
        <v>2.4700000000000002</v>
      </c>
      <c r="Q16">
        <v>1.4999999999999999E-2</v>
      </c>
      <c r="R16">
        <v>70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382.64828728598502</v>
      </c>
      <c r="B17">
        <v>28</v>
      </c>
      <c r="C17">
        <v>9.5662071821496237</v>
      </c>
      <c r="D17">
        <v>371.4205</v>
      </c>
      <c r="E17">
        <v>691.65145228215761</v>
      </c>
      <c r="F17">
        <v>222.85230000000001</v>
      </c>
      <c r="G17">
        <v>74.284100000000009</v>
      </c>
      <c r="H17">
        <v>52</v>
      </c>
      <c r="I17">
        <v>56</v>
      </c>
      <c r="J17">
        <v>11</v>
      </c>
      <c r="K17">
        <v>53</v>
      </c>
      <c r="L17">
        <v>53</v>
      </c>
      <c r="M17">
        <v>5</v>
      </c>
      <c r="N17">
        <v>1995</v>
      </c>
      <c r="O17">
        <v>0.27</v>
      </c>
      <c r="P17">
        <v>2.4700000000000002</v>
      </c>
      <c r="Q17">
        <v>1.4999999999999999E-2</v>
      </c>
      <c r="R17">
        <v>70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376.12925942920168</v>
      </c>
      <c r="B18">
        <v>28</v>
      </c>
      <c r="C18">
        <v>9.4032314857300445</v>
      </c>
      <c r="D18">
        <v>497.16492000000011</v>
      </c>
      <c r="E18">
        <v>686.6721991701246</v>
      </c>
      <c r="F18">
        <v>213.72371999999999</v>
      </c>
      <c r="G18">
        <v>72.919320000000013</v>
      </c>
      <c r="H18">
        <v>8</v>
      </c>
      <c r="I18">
        <v>58</v>
      </c>
      <c r="J18">
        <v>4</v>
      </c>
      <c r="K18">
        <v>53</v>
      </c>
      <c r="L18">
        <v>49</v>
      </c>
      <c r="M18">
        <v>6</v>
      </c>
      <c r="N18">
        <v>1995</v>
      </c>
      <c r="O18">
        <v>0.27</v>
      </c>
      <c r="P18">
        <v>2.4700000000000002</v>
      </c>
      <c r="Q18">
        <v>1.4999999999999999E-2</v>
      </c>
      <c r="R18">
        <v>70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367.24367904409678</v>
      </c>
      <c r="B19">
        <v>28</v>
      </c>
      <c r="C19">
        <v>9.1810919761024206</v>
      </c>
      <c r="D19">
        <v>492.1</v>
      </c>
      <c r="E19">
        <v>690.97925311203323</v>
      </c>
      <c r="F19">
        <v>211.34399999999999</v>
      </c>
      <c r="G19">
        <v>71.280500000000004</v>
      </c>
      <c r="H19">
        <v>9</v>
      </c>
      <c r="I19">
        <v>57</v>
      </c>
      <c r="J19">
        <v>3</v>
      </c>
      <c r="K19">
        <v>52</v>
      </c>
      <c r="L19">
        <v>56</v>
      </c>
      <c r="M19">
        <v>5</v>
      </c>
      <c r="N19">
        <v>1995</v>
      </c>
      <c r="O19">
        <v>0.27</v>
      </c>
      <c r="P19">
        <v>2.4700000000000002</v>
      </c>
      <c r="Q19">
        <v>1.4999999999999999E-2</v>
      </c>
      <c r="R19">
        <v>70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384.64309279818582</v>
      </c>
      <c r="B20">
        <v>29.400000000000009</v>
      </c>
      <c r="C20">
        <v>9.158168876147279</v>
      </c>
      <c r="D20">
        <v>499.26559999999989</v>
      </c>
      <c r="E20">
        <v>685.96182572614111</v>
      </c>
      <c r="F20">
        <v>227.01060000000001</v>
      </c>
      <c r="G20">
        <v>74.555399999999992</v>
      </c>
      <c r="H20">
        <v>39</v>
      </c>
      <c r="I20">
        <v>52</v>
      </c>
      <c r="J20">
        <v>8</v>
      </c>
      <c r="K20">
        <v>96</v>
      </c>
      <c r="L20">
        <v>58</v>
      </c>
      <c r="M20">
        <v>22</v>
      </c>
      <c r="N20">
        <v>1995</v>
      </c>
      <c r="O20">
        <v>0.27</v>
      </c>
      <c r="P20">
        <v>2.4700000000000002</v>
      </c>
      <c r="Q20">
        <v>1.4999999999999999E-2</v>
      </c>
      <c r="R20">
        <v>70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365.74234202291791</v>
      </c>
      <c r="B21">
        <v>28</v>
      </c>
      <c r="C21">
        <v>9.1435585505729478</v>
      </c>
      <c r="D21">
        <v>567.69792000000007</v>
      </c>
      <c r="E21">
        <v>689.59336099585062</v>
      </c>
      <c r="F21">
        <v>212.88672</v>
      </c>
      <c r="G21">
        <v>70.962240000000008</v>
      </c>
      <c r="H21">
        <v>8</v>
      </c>
      <c r="I21">
        <v>56</v>
      </c>
      <c r="J21">
        <v>4</v>
      </c>
      <c r="K21">
        <v>6</v>
      </c>
      <c r="L21">
        <v>54</v>
      </c>
      <c r="M21">
        <v>3</v>
      </c>
      <c r="N21">
        <v>1995</v>
      </c>
      <c r="O21">
        <v>0.27</v>
      </c>
      <c r="P21">
        <v>2.4700000000000002</v>
      </c>
      <c r="Q21">
        <v>1.4999999999999999E-2</v>
      </c>
      <c r="R21">
        <v>70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363.8266424332358</v>
      </c>
      <c r="B22">
        <v>28</v>
      </c>
      <c r="C22">
        <v>9.0956660608308955</v>
      </c>
      <c r="D22">
        <v>564.26112000000001</v>
      </c>
      <c r="E22">
        <v>686.58921161825731</v>
      </c>
      <c r="F22">
        <v>211.59791999999999</v>
      </c>
      <c r="G22">
        <v>70.532640000000001</v>
      </c>
      <c r="H22">
        <v>9</v>
      </c>
      <c r="I22">
        <v>56</v>
      </c>
      <c r="J22">
        <v>3</v>
      </c>
      <c r="K22">
        <v>8</v>
      </c>
      <c r="L22">
        <v>57</v>
      </c>
      <c r="M22">
        <v>2</v>
      </c>
      <c r="N22">
        <v>1995</v>
      </c>
      <c r="O22">
        <v>0.27</v>
      </c>
      <c r="P22">
        <v>2.4700000000000002</v>
      </c>
      <c r="Q22">
        <v>1.4999999999999999E-2</v>
      </c>
      <c r="R22">
        <v>70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380.41416980633119</v>
      </c>
      <c r="B23">
        <v>29.400000000000009</v>
      </c>
      <c r="C23">
        <v>9.0574802334840747</v>
      </c>
      <c r="D23">
        <v>989.78700000000015</v>
      </c>
      <c r="E23">
        <v>683.10373443983406</v>
      </c>
      <c r="F23">
        <v>196.80670000000001</v>
      </c>
      <c r="G23">
        <v>73.678100000000001</v>
      </c>
      <c r="H23">
        <v>142</v>
      </c>
      <c r="I23">
        <v>59</v>
      </c>
      <c r="J23">
        <v>40</v>
      </c>
      <c r="K23">
        <v>96</v>
      </c>
      <c r="L23">
        <v>54</v>
      </c>
      <c r="M23">
        <v>15</v>
      </c>
      <c r="N23">
        <v>1995</v>
      </c>
      <c r="O23">
        <v>0.27</v>
      </c>
      <c r="P23">
        <v>2.4700000000000002</v>
      </c>
      <c r="Q23">
        <v>1.4999999999999999E-2</v>
      </c>
      <c r="R23">
        <v>70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422.53525954831701</v>
      </c>
      <c r="B24">
        <v>32.666666666666671</v>
      </c>
      <c r="C24">
        <v>9.0543269903210764</v>
      </c>
      <c r="D24">
        <v>583.31610000000012</v>
      </c>
      <c r="E24">
        <v>686.46649706936148</v>
      </c>
      <c r="F24">
        <v>254.39868000000001</v>
      </c>
      <c r="G24">
        <v>81.911339999999996</v>
      </c>
      <c r="H24">
        <v>164</v>
      </c>
      <c r="I24">
        <v>51</v>
      </c>
      <c r="J24">
        <v>6</v>
      </c>
      <c r="K24">
        <v>142</v>
      </c>
      <c r="L24">
        <v>58</v>
      </c>
      <c r="M24">
        <v>18</v>
      </c>
      <c r="N24">
        <v>1995</v>
      </c>
      <c r="O24">
        <v>0.27</v>
      </c>
      <c r="P24">
        <v>2.4700000000000002</v>
      </c>
      <c r="Q24">
        <v>1.4999999999999999E-2</v>
      </c>
      <c r="R24">
        <v>70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428.17195206295708</v>
      </c>
      <c r="B25">
        <v>35</v>
      </c>
      <c r="C25">
        <v>8.5634390412591426</v>
      </c>
      <c r="D25">
        <v>472.34320000000002</v>
      </c>
      <c r="E25">
        <v>691.60829875518675</v>
      </c>
      <c r="F25">
        <v>189.2184</v>
      </c>
      <c r="G25">
        <v>83.120700000000014</v>
      </c>
      <c r="H25">
        <v>39</v>
      </c>
      <c r="I25">
        <v>56</v>
      </c>
      <c r="J25">
        <v>9</v>
      </c>
      <c r="K25">
        <v>52</v>
      </c>
      <c r="L25">
        <v>57</v>
      </c>
      <c r="M25">
        <v>5</v>
      </c>
      <c r="N25">
        <v>1995</v>
      </c>
      <c r="O25">
        <v>0.27</v>
      </c>
      <c r="P25">
        <v>2.4700000000000002</v>
      </c>
      <c r="Q25">
        <v>1.4999999999999999E-2</v>
      </c>
      <c r="R25">
        <v>70</v>
      </c>
      <c r="S25">
        <v>700</v>
      </c>
      <c r="T25">
        <v>475</v>
      </c>
      <c r="U25">
        <v>275</v>
      </c>
      <c r="V25">
        <v>370</v>
      </c>
      <c r="W25">
        <v>155</v>
      </c>
    </row>
  </sheetData>
  <sortState xmlns:xlrd2="http://schemas.microsoft.com/office/spreadsheetml/2017/richdata2" ref="A2:W2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3EB73-F967-43B4-A5C3-693F579ACFC0}">
  <sheetPr codeName="Sheet11"/>
  <dimension ref="A1:W204"/>
  <sheetViews>
    <sheetView workbookViewId="0">
      <selection activeCell="H1" sqref="H1:H1048576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391.99155701678649</v>
      </c>
      <c r="B2">
        <v>14</v>
      </c>
      <c r="C2">
        <v>19.599577850839321</v>
      </c>
      <c r="D2">
        <v>381.24799999999999</v>
      </c>
      <c r="E2">
        <v>698.95435684647305</v>
      </c>
      <c r="F2">
        <v>228.74879999999999</v>
      </c>
      <c r="G2">
        <v>76.249600000000001</v>
      </c>
      <c r="H2">
        <v>52</v>
      </c>
      <c r="I2">
        <v>112</v>
      </c>
      <c r="J2">
        <v>8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75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409.80301659181089</v>
      </c>
      <c r="B3">
        <v>21</v>
      </c>
      <c r="C3">
        <v>13.66010055306036</v>
      </c>
      <c r="D3">
        <v>1191.2714249999999</v>
      </c>
      <c r="E3">
        <v>685.31452282157682</v>
      </c>
      <c r="F3">
        <v>158.83618999999999</v>
      </c>
      <c r="G3">
        <v>79.418095000000008</v>
      </c>
      <c r="H3">
        <v>142</v>
      </c>
      <c r="I3">
        <v>113</v>
      </c>
      <c r="J3">
        <v>29</v>
      </c>
      <c r="K3">
        <v>0</v>
      </c>
      <c r="L3">
        <v>0</v>
      </c>
      <c r="M3">
        <v>0</v>
      </c>
      <c r="N3">
        <v>1995</v>
      </c>
      <c r="O3">
        <v>0.27</v>
      </c>
      <c r="P3">
        <v>2.4700000000000002</v>
      </c>
      <c r="Q3">
        <v>1.4999999999999999E-2</v>
      </c>
      <c r="R3">
        <v>75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408.67949197084567</v>
      </c>
      <c r="B4">
        <v>21</v>
      </c>
      <c r="C4">
        <v>13.622649732361531</v>
      </c>
      <c r="D4">
        <v>458.32319999999987</v>
      </c>
      <c r="E4">
        <v>620.12614107883826</v>
      </c>
      <c r="F4">
        <v>155.57759999999999</v>
      </c>
      <c r="G4">
        <v>77.788799999999995</v>
      </c>
      <c r="H4">
        <v>39</v>
      </c>
      <c r="I4">
        <v>111</v>
      </c>
      <c r="J4">
        <v>6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75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395.6573110127224</v>
      </c>
      <c r="B5">
        <v>25.666666666666661</v>
      </c>
      <c r="C5">
        <v>10.79065393671061</v>
      </c>
      <c r="D5">
        <v>494.6472</v>
      </c>
      <c r="E5">
        <v>686.97087244776412</v>
      </c>
      <c r="F5">
        <v>242.93520000000001</v>
      </c>
      <c r="G5">
        <v>76.711439999999996</v>
      </c>
      <c r="H5">
        <v>8</v>
      </c>
      <c r="I5">
        <v>61</v>
      </c>
      <c r="J5">
        <v>4</v>
      </c>
      <c r="K5">
        <v>164</v>
      </c>
      <c r="L5">
        <v>46</v>
      </c>
      <c r="M5">
        <v>3</v>
      </c>
      <c r="N5">
        <v>1995</v>
      </c>
      <c r="O5">
        <v>0.27</v>
      </c>
      <c r="P5">
        <v>2.4700000000000002</v>
      </c>
      <c r="Q5">
        <v>1.4999999999999999E-2</v>
      </c>
      <c r="R5">
        <v>75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394.66002781807589</v>
      </c>
      <c r="B6">
        <v>25.666666666666661</v>
      </c>
      <c r="C6">
        <v>10.763455304129341</v>
      </c>
      <c r="D6">
        <v>385.61399999999998</v>
      </c>
      <c r="E6">
        <v>692.17952286594414</v>
      </c>
      <c r="F6">
        <v>259.07400000000001</v>
      </c>
      <c r="G6">
        <v>76.626999999999995</v>
      </c>
      <c r="H6">
        <v>164</v>
      </c>
      <c r="I6">
        <v>55</v>
      </c>
      <c r="J6">
        <v>5</v>
      </c>
      <c r="K6">
        <v>6</v>
      </c>
      <c r="L6">
        <v>58</v>
      </c>
      <c r="M6">
        <v>3</v>
      </c>
      <c r="N6">
        <v>1995</v>
      </c>
      <c r="O6">
        <v>0.27</v>
      </c>
      <c r="P6">
        <v>2.4700000000000002</v>
      </c>
      <c r="Q6">
        <v>1.4999999999999999E-2</v>
      </c>
      <c r="R6">
        <v>75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429.78842144221647</v>
      </c>
      <c r="B7">
        <v>29.4</v>
      </c>
      <c r="C7">
        <v>10.23305765338611</v>
      </c>
      <c r="D7">
        <v>426.74069999999989</v>
      </c>
      <c r="E7">
        <v>689.20165975103748</v>
      </c>
      <c r="F7">
        <v>240.29689999999999</v>
      </c>
      <c r="G7">
        <v>83.379700000000014</v>
      </c>
      <c r="H7">
        <v>39</v>
      </c>
      <c r="I7">
        <v>56</v>
      </c>
      <c r="J7">
        <v>9</v>
      </c>
      <c r="K7">
        <v>163</v>
      </c>
      <c r="L7">
        <v>53</v>
      </c>
      <c r="M7">
        <v>5</v>
      </c>
      <c r="N7">
        <v>1995</v>
      </c>
      <c r="O7">
        <v>0.27</v>
      </c>
      <c r="P7">
        <v>2.4700000000000002</v>
      </c>
      <c r="Q7">
        <v>1.4999999999999999E-2</v>
      </c>
      <c r="R7">
        <v>75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398.23070159109852</v>
      </c>
      <c r="B8">
        <v>29.4</v>
      </c>
      <c r="C8">
        <v>9.4816833712166311</v>
      </c>
      <c r="D8">
        <v>557.36152500000003</v>
      </c>
      <c r="E8">
        <v>682.56597510373444</v>
      </c>
      <c r="F8">
        <v>304.08487000000002</v>
      </c>
      <c r="G8">
        <v>77.117435</v>
      </c>
      <c r="H8">
        <v>163</v>
      </c>
      <c r="I8">
        <v>54</v>
      </c>
      <c r="J8">
        <v>10</v>
      </c>
      <c r="K8">
        <v>142</v>
      </c>
      <c r="L8">
        <v>59</v>
      </c>
      <c r="M8">
        <v>19</v>
      </c>
      <c r="N8">
        <v>1995</v>
      </c>
      <c r="O8">
        <v>0.27</v>
      </c>
      <c r="P8">
        <v>2.4700000000000002</v>
      </c>
      <c r="Q8">
        <v>1.4999999999999999E-2</v>
      </c>
      <c r="R8">
        <v>75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422.88636660226098</v>
      </c>
      <c r="B9">
        <v>32.666666666666671</v>
      </c>
      <c r="C9">
        <v>9.0618507129055939</v>
      </c>
      <c r="D9">
        <v>610.22249999999997</v>
      </c>
      <c r="E9">
        <v>688.1845630048075</v>
      </c>
      <c r="F9">
        <v>251.0598</v>
      </c>
      <c r="G9">
        <v>82.017899999999997</v>
      </c>
      <c r="H9">
        <v>164</v>
      </c>
      <c r="I9">
        <v>49</v>
      </c>
      <c r="J9">
        <v>6</v>
      </c>
      <c r="K9">
        <v>142</v>
      </c>
      <c r="L9">
        <v>57</v>
      </c>
      <c r="M9">
        <v>20</v>
      </c>
      <c r="N9">
        <v>1995</v>
      </c>
      <c r="O9">
        <v>0.27</v>
      </c>
      <c r="P9">
        <v>2.4700000000000002</v>
      </c>
      <c r="Q9">
        <v>1.4999999999999999E-2</v>
      </c>
      <c r="R9">
        <v>75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425.4921247639283</v>
      </c>
      <c r="B10">
        <v>35.000000000000007</v>
      </c>
      <c r="C10">
        <v>8.5098424952785656</v>
      </c>
      <c r="D10">
        <v>452.82119999999998</v>
      </c>
      <c r="E10">
        <v>688.41161825726158</v>
      </c>
      <c r="F10">
        <v>184.9804</v>
      </c>
      <c r="G10">
        <v>82.528399999999991</v>
      </c>
      <c r="H10">
        <v>39</v>
      </c>
      <c r="I10">
        <v>61</v>
      </c>
      <c r="J10">
        <v>8</v>
      </c>
      <c r="K10">
        <v>52</v>
      </c>
      <c r="L10">
        <v>50</v>
      </c>
      <c r="M10">
        <v>6</v>
      </c>
      <c r="N10">
        <v>1995</v>
      </c>
      <c r="O10">
        <v>0.27</v>
      </c>
      <c r="P10">
        <v>2.4700000000000002</v>
      </c>
      <c r="Q10">
        <v>1.4999999999999999E-2</v>
      </c>
      <c r="R10">
        <v>75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417.02683110431911</v>
      </c>
      <c r="B11">
        <v>35</v>
      </c>
      <c r="C11">
        <v>8.3405366220863826</v>
      </c>
      <c r="D11">
        <v>456.34620000000001</v>
      </c>
      <c r="E11">
        <v>690.16431535269703</v>
      </c>
      <c r="F11">
        <v>187.09540000000001</v>
      </c>
      <c r="G11">
        <v>80.925200000000004</v>
      </c>
      <c r="H11">
        <v>39</v>
      </c>
      <c r="I11">
        <v>58</v>
      </c>
      <c r="J11">
        <v>8</v>
      </c>
      <c r="K11">
        <v>53</v>
      </c>
      <c r="L11">
        <v>54</v>
      </c>
      <c r="M11">
        <v>6</v>
      </c>
      <c r="N11">
        <v>1995</v>
      </c>
      <c r="O11">
        <v>0.27</v>
      </c>
      <c r="P11">
        <v>2.4700000000000002</v>
      </c>
      <c r="Q11">
        <v>1.4999999999999999E-2</v>
      </c>
      <c r="R11">
        <v>75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423.11864681368581</v>
      </c>
      <c r="B12">
        <v>36.400000000000013</v>
      </c>
      <c r="C12">
        <v>8.1368970541093404</v>
      </c>
      <c r="D12">
        <v>421.13400000000001</v>
      </c>
      <c r="E12">
        <v>692.94176054454419</v>
      </c>
      <c r="F12">
        <v>304.55439999999999</v>
      </c>
      <c r="G12">
        <v>82.169600000000003</v>
      </c>
      <c r="H12">
        <v>163</v>
      </c>
      <c r="I12">
        <v>56</v>
      </c>
      <c r="J12">
        <v>10</v>
      </c>
      <c r="K12">
        <v>323</v>
      </c>
      <c r="L12">
        <v>57</v>
      </c>
      <c r="M12">
        <v>37</v>
      </c>
      <c r="N12">
        <v>1995</v>
      </c>
      <c r="O12">
        <v>0.27</v>
      </c>
      <c r="P12">
        <v>2.4700000000000002</v>
      </c>
      <c r="Q12">
        <v>1.4999999999999999E-2</v>
      </c>
      <c r="R12">
        <v>75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400.0705744010059</v>
      </c>
      <c r="B13">
        <v>35</v>
      </c>
      <c r="C13">
        <v>8.0014114880201195</v>
      </c>
      <c r="D13">
        <v>556.91519999999991</v>
      </c>
      <c r="E13">
        <v>686.37178423236514</v>
      </c>
      <c r="F13">
        <v>202.41919999999999</v>
      </c>
      <c r="G13">
        <v>77.554400000000015</v>
      </c>
      <c r="H13">
        <v>8</v>
      </c>
      <c r="I13">
        <v>49</v>
      </c>
      <c r="J13">
        <v>5</v>
      </c>
      <c r="K13">
        <v>39</v>
      </c>
      <c r="L13">
        <v>56</v>
      </c>
      <c r="M13">
        <v>4</v>
      </c>
      <c r="N13">
        <v>1995</v>
      </c>
      <c r="O13">
        <v>0.27</v>
      </c>
      <c r="P13">
        <v>2.4700000000000002</v>
      </c>
      <c r="Q13">
        <v>1.4999999999999999E-2</v>
      </c>
      <c r="R13">
        <v>75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573.4665479786338</v>
      </c>
      <c r="B14">
        <v>50.400000000000013</v>
      </c>
      <c r="C14">
        <v>7.9648131663699129</v>
      </c>
      <c r="D14">
        <v>623.30200000000002</v>
      </c>
      <c r="E14">
        <v>688.40829875518671</v>
      </c>
      <c r="F14">
        <v>200.76939999999999</v>
      </c>
      <c r="G14">
        <v>111.2294</v>
      </c>
      <c r="H14">
        <v>111</v>
      </c>
      <c r="I14">
        <v>58</v>
      </c>
      <c r="J14">
        <v>37</v>
      </c>
      <c r="K14">
        <v>96</v>
      </c>
      <c r="L14">
        <v>55</v>
      </c>
      <c r="M14">
        <v>20</v>
      </c>
      <c r="N14">
        <v>1995</v>
      </c>
      <c r="O14">
        <v>0.27</v>
      </c>
      <c r="P14">
        <v>2.4700000000000002</v>
      </c>
      <c r="Q14">
        <v>1.4999999999999999E-2</v>
      </c>
      <c r="R14">
        <v>75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394.64275709520291</v>
      </c>
      <c r="B15">
        <v>35</v>
      </c>
      <c r="C15">
        <v>7.8928551419040591</v>
      </c>
      <c r="D15">
        <v>662.40637500000003</v>
      </c>
      <c r="E15">
        <v>686.19087136929454</v>
      </c>
      <c r="F15">
        <v>201.50385</v>
      </c>
      <c r="G15">
        <v>76.498424999999997</v>
      </c>
      <c r="H15">
        <v>52</v>
      </c>
      <c r="I15">
        <v>57</v>
      </c>
      <c r="J15">
        <v>10</v>
      </c>
      <c r="K15">
        <v>142</v>
      </c>
      <c r="L15">
        <v>55</v>
      </c>
      <c r="M15">
        <v>21</v>
      </c>
      <c r="N15">
        <v>1995</v>
      </c>
      <c r="O15">
        <v>0.27</v>
      </c>
      <c r="P15">
        <v>2.4700000000000002</v>
      </c>
      <c r="Q15">
        <v>1.4999999999999999E-2</v>
      </c>
      <c r="R15">
        <v>75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392.79271622109928</v>
      </c>
      <c r="B16">
        <v>35</v>
      </c>
      <c r="C16">
        <v>7.8558543244219861</v>
      </c>
      <c r="D16">
        <v>480.43920000000003</v>
      </c>
      <c r="E16">
        <v>691.12033195020751</v>
      </c>
      <c r="F16">
        <v>202.8272</v>
      </c>
      <c r="G16">
        <v>76.242400000000004</v>
      </c>
      <c r="H16">
        <v>8</v>
      </c>
      <c r="I16">
        <v>48</v>
      </c>
      <c r="J16">
        <v>5</v>
      </c>
      <c r="K16">
        <v>55</v>
      </c>
      <c r="L16">
        <v>56</v>
      </c>
      <c r="M16">
        <v>5</v>
      </c>
      <c r="N16">
        <v>1995</v>
      </c>
      <c r="O16">
        <v>0.27</v>
      </c>
      <c r="P16">
        <v>2.4700000000000002</v>
      </c>
      <c r="Q16">
        <v>1.4999999999999999E-2</v>
      </c>
      <c r="R16">
        <v>75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391.12587605658098</v>
      </c>
      <c r="B17">
        <v>35</v>
      </c>
      <c r="C17">
        <v>7.8225175211316209</v>
      </c>
      <c r="D17">
        <v>802.47361500000011</v>
      </c>
      <c r="E17">
        <v>686.19087136929465</v>
      </c>
      <c r="F17">
        <v>199.45868999999999</v>
      </c>
      <c r="G17">
        <v>75.816704999999999</v>
      </c>
      <c r="H17">
        <v>8</v>
      </c>
      <c r="I17">
        <v>57</v>
      </c>
      <c r="J17">
        <v>4</v>
      </c>
      <c r="K17">
        <v>142</v>
      </c>
      <c r="L17">
        <v>55</v>
      </c>
      <c r="M17">
        <v>21</v>
      </c>
      <c r="N17">
        <v>1995</v>
      </c>
      <c r="O17">
        <v>0.27</v>
      </c>
      <c r="P17">
        <v>2.4700000000000002</v>
      </c>
      <c r="Q17">
        <v>1.4999999999999999E-2</v>
      </c>
      <c r="R17">
        <v>75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443.26162024008443</v>
      </c>
      <c r="B18">
        <v>39.666666666666671</v>
      </c>
      <c r="C18">
        <v>7.8222638865897247</v>
      </c>
      <c r="D18">
        <v>460.83600000000001</v>
      </c>
      <c r="E18">
        <v>688.88129859005153</v>
      </c>
      <c r="F18">
        <v>247.86</v>
      </c>
      <c r="G18">
        <v>85.986000000000004</v>
      </c>
      <c r="H18">
        <v>164</v>
      </c>
      <c r="I18">
        <v>51</v>
      </c>
      <c r="J18">
        <v>6</v>
      </c>
      <c r="K18">
        <v>323</v>
      </c>
      <c r="L18">
        <v>60</v>
      </c>
      <c r="M18">
        <v>34</v>
      </c>
      <c r="N18">
        <v>1995</v>
      </c>
      <c r="O18">
        <v>0.27</v>
      </c>
      <c r="P18">
        <v>2.4700000000000002</v>
      </c>
      <c r="Q18">
        <v>1.4999999999999999E-2</v>
      </c>
      <c r="R18">
        <v>75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448.38465039194062</v>
      </c>
      <c r="B19">
        <v>41.06666666666667</v>
      </c>
      <c r="C19">
        <v>7.6429201771353519</v>
      </c>
      <c r="D19">
        <v>385.88400000000001</v>
      </c>
      <c r="E19">
        <v>687.76207308669495</v>
      </c>
      <c r="F19">
        <v>251.964</v>
      </c>
      <c r="G19">
        <v>86.953199999999995</v>
      </c>
      <c r="H19">
        <v>164</v>
      </c>
      <c r="I19">
        <v>53</v>
      </c>
      <c r="J19">
        <v>6</v>
      </c>
      <c r="K19">
        <v>126</v>
      </c>
      <c r="L19">
        <v>60</v>
      </c>
      <c r="M19">
        <v>31</v>
      </c>
      <c r="N19">
        <v>1995</v>
      </c>
      <c r="O19">
        <v>0.27</v>
      </c>
      <c r="P19">
        <v>2.4700000000000002</v>
      </c>
      <c r="Q19">
        <v>1.4999999999999999E-2</v>
      </c>
      <c r="R19">
        <v>75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537.31491040445007</v>
      </c>
      <c r="B20">
        <v>50.4</v>
      </c>
      <c r="C20">
        <v>7.4627070889506957</v>
      </c>
      <c r="D20">
        <v>451.79520000000002</v>
      </c>
      <c r="E20">
        <v>664.69709543568456</v>
      </c>
      <c r="F20">
        <v>204.31904</v>
      </c>
      <c r="G20">
        <v>103.5424</v>
      </c>
      <c r="H20">
        <v>112</v>
      </c>
      <c r="I20">
        <v>55</v>
      </c>
      <c r="J20">
        <v>8</v>
      </c>
      <c r="K20">
        <v>163</v>
      </c>
      <c r="L20">
        <v>56</v>
      </c>
      <c r="M20">
        <v>5</v>
      </c>
      <c r="N20">
        <v>1995</v>
      </c>
      <c r="O20">
        <v>0.27</v>
      </c>
      <c r="P20">
        <v>2.4700000000000002</v>
      </c>
      <c r="Q20">
        <v>1.4999999999999999E-2</v>
      </c>
      <c r="R20">
        <v>75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436.56442107872402</v>
      </c>
      <c r="B21">
        <v>42</v>
      </c>
      <c r="C21">
        <v>7.2760736846454002</v>
      </c>
      <c r="D21">
        <v>430.90320000000003</v>
      </c>
      <c r="E21">
        <v>692.3551867219918</v>
      </c>
      <c r="F21">
        <v>169.53440000000001</v>
      </c>
      <c r="G21">
        <v>84.767200000000017</v>
      </c>
      <c r="H21">
        <v>39</v>
      </c>
      <c r="I21">
        <v>56</v>
      </c>
      <c r="J21">
        <v>9</v>
      </c>
      <c r="K21">
        <v>55</v>
      </c>
      <c r="L21">
        <v>56</v>
      </c>
      <c r="M21">
        <v>5</v>
      </c>
      <c r="N21">
        <v>1995</v>
      </c>
      <c r="O21">
        <v>0.27</v>
      </c>
      <c r="P21">
        <v>2.4700000000000002</v>
      </c>
      <c r="Q21">
        <v>1.4999999999999999E-2</v>
      </c>
      <c r="R21">
        <v>75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580.05001186966047</v>
      </c>
      <c r="B22">
        <v>56</v>
      </c>
      <c r="C22">
        <v>7.250625148370756</v>
      </c>
      <c r="D22">
        <v>1347.018</v>
      </c>
      <c r="E22">
        <v>676.44979253112035</v>
      </c>
      <c r="F22">
        <v>157.07159999999999</v>
      </c>
      <c r="G22">
        <v>112.1388</v>
      </c>
      <c r="H22">
        <v>111</v>
      </c>
      <c r="I22">
        <v>57</v>
      </c>
      <c r="J22">
        <v>38</v>
      </c>
      <c r="K22">
        <v>161</v>
      </c>
      <c r="L22">
        <v>55</v>
      </c>
      <c r="M22">
        <v>23</v>
      </c>
      <c r="N22">
        <v>1995</v>
      </c>
      <c r="O22">
        <v>0.27</v>
      </c>
      <c r="P22">
        <v>2.4700000000000002</v>
      </c>
      <c r="Q22">
        <v>1.4999999999999999E-2</v>
      </c>
      <c r="R22">
        <v>75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461.35738654415798</v>
      </c>
      <c r="B23">
        <v>44.744000000000007</v>
      </c>
      <c r="C23">
        <v>7.2177313289136098</v>
      </c>
      <c r="D23">
        <v>765.17100000000005</v>
      </c>
      <c r="E23">
        <v>682.19751037344395</v>
      </c>
      <c r="F23">
        <v>453.24180000000001</v>
      </c>
      <c r="G23">
        <v>89.332920000000016</v>
      </c>
      <c r="H23">
        <v>112</v>
      </c>
      <c r="I23">
        <v>60</v>
      </c>
      <c r="J23">
        <v>6</v>
      </c>
      <c r="K23">
        <v>40</v>
      </c>
      <c r="L23">
        <v>57</v>
      </c>
      <c r="M23">
        <v>7</v>
      </c>
      <c r="N23">
        <v>1995</v>
      </c>
      <c r="O23">
        <v>0.27</v>
      </c>
      <c r="P23">
        <v>2.4700000000000002</v>
      </c>
      <c r="Q23">
        <v>1.4999999999999999E-2</v>
      </c>
      <c r="R23">
        <v>75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432.90182226179769</v>
      </c>
      <c r="B24">
        <v>42</v>
      </c>
      <c r="C24">
        <v>7.2150303710299628</v>
      </c>
      <c r="D24">
        <v>748.100325</v>
      </c>
      <c r="E24">
        <v>686.95767634854781</v>
      </c>
      <c r="F24">
        <v>167.86447000000001</v>
      </c>
      <c r="G24">
        <v>83.932235000000006</v>
      </c>
      <c r="H24">
        <v>39</v>
      </c>
      <c r="I24">
        <v>54</v>
      </c>
      <c r="J24">
        <v>9</v>
      </c>
      <c r="K24">
        <v>142</v>
      </c>
      <c r="L24">
        <v>59</v>
      </c>
      <c r="M24">
        <v>19</v>
      </c>
      <c r="N24">
        <v>1995</v>
      </c>
      <c r="O24">
        <v>0.27</v>
      </c>
      <c r="P24">
        <v>2.4700000000000002</v>
      </c>
      <c r="Q24">
        <v>1.4999999999999999E-2</v>
      </c>
      <c r="R24">
        <v>75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410.78655124585941</v>
      </c>
      <c r="B25">
        <v>40.138636363636373</v>
      </c>
      <c r="C25">
        <v>7.1639350990161761</v>
      </c>
      <c r="D25">
        <v>375.58080000000012</v>
      </c>
      <c r="E25">
        <v>686.71584837868375</v>
      </c>
      <c r="F25">
        <v>241.66079999999999</v>
      </c>
      <c r="G25">
        <v>79.639200000000002</v>
      </c>
      <c r="H25">
        <v>95</v>
      </c>
      <c r="I25">
        <v>53</v>
      </c>
      <c r="J25">
        <v>6</v>
      </c>
      <c r="K25">
        <v>126</v>
      </c>
      <c r="L25">
        <v>60</v>
      </c>
      <c r="M25">
        <v>31</v>
      </c>
      <c r="N25">
        <v>1995</v>
      </c>
      <c r="O25">
        <v>0.27</v>
      </c>
      <c r="P25">
        <v>2.4700000000000002</v>
      </c>
      <c r="Q25">
        <v>1.4999999999999999E-2</v>
      </c>
      <c r="R25">
        <v>75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449.57133620842279</v>
      </c>
      <c r="B26">
        <v>44.744000000000007</v>
      </c>
      <c r="C26">
        <v>7.0333438080166264</v>
      </c>
      <c r="D26">
        <v>534.85919999999999</v>
      </c>
      <c r="E26">
        <v>681.83900414937762</v>
      </c>
      <c r="F26">
        <v>455.26319999999998</v>
      </c>
      <c r="G26">
        <v>87.042240000000007</v>
      </c>
      <c r="H26">
        <v>135</v>
      </c>
      <c r="I26">
        <v>54</v>
      </c>
      <c r="J26">
        <v>4</v>
      </c>
      <c r="K26">
        <v>40</v>
      </c>
      <c r="L26">
        <v>68</v>
      </c>
      <c r="M26">
        <v>6</v>
      </c>
      <c r="N26">
        <v>1995</v>
      </c>
      <c r="O26">
        <v>0.27</v>
      </c>
      <c r="P26">
        <v>2.4700000000000002</v>
      </c>
      <c r="Q26">
        <v>1.4999999999999999E-2</v>
      </c>
      <c r="R26">
        <v>75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415.53365302785448</v>
      </c>
      <c r="B27">
        <v>42</v>
      </c>
      <c r="C27">
        <v>6.9255608837975764</v>
      </c>
      <c r="D27">
        <v>515.83500000000004</v>
      </c>
      <c r="E27">
        <v>689.30838874709843</v>
      </c>
      <c r="F27">
        <v>196.749</v>
      </c>
      <c r="G27">
        <v>80.616600000000005</v>
      </c>
      <c r="H27">
        <v>52</v>
      </c>
      <c r="I27">
        <v>54</v>
      </c>
      <c r="J27">
        <v>11</v>
      </c>
      <c r="K27">
        <v>323</v>
      </c>
      <c r="L27">
        <v>58</v>
      </c>
      <c r="M27">
        <v>36</v>
      </c>
      <c r="N27">
        <v>1995</v>
      </c>
      <c r="O27">
        <v>0.27</v>
      </c>
      <c r="P27">
        <v>2.4700000000000002</v>
      </c>
      <c r="Q27">
        <v>1.4999999999999999E-2</v>
      </c>
      <c r="R27">
        <v>75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414.00187483625069</v>
      </c>
      <c r="B28">
        <v>42</v>
      </c>
      <c r="C28">
        <v>6.9000312472708458</v>
      </c>
      <c r="D28">
        <v>477.80194999999998</v>
      </c>
      <c r="E28">
        <v>691.500093968746</v>
      </c>
      <c r="F28">
        <v>196.06485000000001</v>
      </c>
      <c r="G28">
        <v>80.367500000000007</v>
      </c>
      <c r="H28">
        <v>8</v>
      </c>
      <c r="I28">
        <v>48</v>
      </c>
      <c r="J28">
        <v>5</v>
      </c>
      <c r="K28">
        <v>84</v>
      </c>
      <c r="L28">
        <v>59</v>
      </c>
      <c r="M28">
        <v>35</v>
      </c>
      <c r="N28">
        <v>1995</v>
      </c>
      <c r="O28">
        <v>0.27</v>
      </c>
      <c r="P28">
        <v>2.4700000000000002</v>
      </c>
      <c r="Q28">
        <v>1.4999999999999999E-2</v>
      </c>
      <c r="R28">
        <v>75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413.26382388900231</v>
      </c>
      <c r="B29">
        <v>42</v>
      </c>
      <c r="C29">
        <v>6.8877303981500377</v>
      </c>
      <c r="D29">
        <v>566.48752500000001</v>
      </c>
      <c r="E29">
        <v>688.54107883817426</v>
      </c>
      <c r="F29">
        <v>160.31887</v>
      </c>
      <c r="G29">
        <v>80.159435000000016</v>
      </c>
      <c r="H29">
        <v>54</v>
      </c>
      <c r="I29">
        <v>48</v>
      </c>
      <c r="J29">
        <v>5</v>
      </c>
      <c r="K29">
        <v>142</v>
      </c>
      <c r="L29">
        <v>59</v>
      </c>
      <c r="M29">
        <v>19</v>
      </c>
      <c r="N29">
        <v>1995</v>
      </c>
      <c r="O29">
        <v>0.27</v>
      </c>
      <c r="P29">
        <v>2.4700000000000002</v>
      </c>
      <c r="Q29">
        <v>1.4999999999999999E-2</v>
      </c>
      <c r="R29">
        <v>75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409.93955338212561</v>
      </c>
      <c r="B30">
        <v>42</v>
      </c>
      <c r="C30">
        <v>6.8323258897020942</v>
      </c>
      <c r="D30">
        <v>569.81849999999997</v>
      </c>
      <c r="E30">
        <v>684.54771784232366</v>
      </c>
      <c r="F30">
        <v>158.85579999999999</v>
      </c>
      <c r="G30">
        <v>79.427899999999994</v>
      </c>
      <c r="H30">
        <v>55</v>
      </c>
      <c r="I30">
        <v>56</v>
      </c>
      <c r="J30">
        <v>10</v>
      </c>
      <c r="K30">
        <v>142</v>
      </c>
      <c r="L30">
        <v>57</v>
      </c>
      <c r="M30">
        <v>20</v>
      </c>
      <c r="N30">
        <v>1995</v>
      </c>
      <c r="O30">
        <v>0.27</v>
      </c>
      <c r="P30">
        <v>2.4700000000000002</v>
      </c>
      <c r="Q30">
        <v>1.4999999999999999E-2</v>
      </c>
      <c r="R30">
        <v>75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421.13547939094042</v>
      </c>
      <c r="B31">
        <v>43.400000000000013</v>
      </c>
      <c r="C31">
        <v>6.7925077321119414</v>
      </c>
      <c r="D31">
        <v>443.50479999999999</v>
      </c>
      <c r="E31">
        <v>690.2389577102158</v>
      </c>
      <c r="F31">
        <v>199.12559999999999</v>
      </c>
      <c r="G31">
        <v>81.724159999999998</v>
      </c>
      <c r="H31">
        <v>52</v>
      </c>
      <c r="I31">
        <v>56</v>
      </c>
      <c r="J31">
        <v>11</v>
      </c>
      <c r="K31">
        <v>126</v>
      </c>
      <c r="L31">
        <v>57</v>
      </c>
      <c r="M31">
        <v>34</v>
      </c>
      <c r="N31">
        <v>1995</v>
      </c>
      <c r="O31">
        <v>0.27</v>
      </c>
      <c r="P31">
        <v>2.4700000000000002</v>
      </c>
      <c r="Q31">
        <v>1.4999999999999999E-2</v>
      </c>
      <c r="R31">
        <v>75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404.55777762814938</v>
      </c>
      <c r="B32">
        <v>42</v>
      </c>
      <c r="C32">
        <v>6.742629627135825</v>
      </c>
      <c r="D32">
        <v>406.30279999999999</v>
      </c>
      <c r="E32">
        <v>692.27551867219927</v>
      </c>
      <c r="F32">
        <v>155.2328</v>
      </c>
      <c r="G32">
        <v>78.55080000000001</v>
      </c>
      <c r="H32">
        <v>33</v>
      </c>
      <c r="I32">
        <v>52</v>
      </c>
      <c r="J32">
        <v>5</v>
      </c>
      <c r="K32">
        <v>39</v>
      </c>
      <c r="L32">
        <v>59</v>
      </c>
      <c r="M32">
        <v>4</v>
      </c>
      <c r="N32">
        <v>1995</v>
      </c>
      <c r="O32">
        <v>0.27</v>
      </c>
      <c r="P32">
        <v>2.4700000000000002</v>
      </c>
      <c r="Q32">
        <v>1.4999999999999999E-2</v>
      </c>
      <c r="R32">
        <v>75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404.55777762814938</v>
      </c>
      <c r="B33">
        <v>42</v>
      </c>
      <c r="C33">
        <v>6.742629627135825</v>
      </c>
      <c r="D33">
        <v>406.30279999999999</v>
      </c>
      <c r="E33">
        <v>692.27551867219927</v>
      </c>
      <c r="F33">
        <v>155.2328</v>
      </c>
      <c r="G33">
        <v>78.55080000000001</v>
      </c>
      <c r="H33">
        <v>332</v>
      </c>
      <c r="I33">
        <v>52</v>
      </c>
      <c r="J33">
        <v>5</v>
      </c>
      <c r="K33">
        <v>39</v>
      </c>
      <c r="L33">
        <v>59</v>
      </c>
      <c r="M33">
        <v>4</v>
      </c>
      <c r="N33">
        <v>1995</v>
      </c>
      <c r="O33">
        <v>0.27</v>
      </c>
      <c r="P33">
        <v>2.4700000000000002</v>
      </c>
      <c r="Q33">
        <v>1.4999999999999999E-2</v>
      </c>
      <c r="R33">
        <v>75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537.81294188995901</v>
      </c>
      <c r="B34">
        <v>56</v>
      </c>
      <c r="C34">
        <v>6.7226617736244876</v>
      </c>
      <c r="D34">
        <v>505.27019999999987</v>
      </c>
      <c r="E34">
        <v>690.45643153526953</v>
      </c>
      <c r="F34">
        <v>156.42071999999999</v>
      </c>
      <c r="G34">
        <v>104.3724</v>
      </c>
      <c r="H34">
        <v>112</v>
      </c>
      <c r="I34">
        <v>55</v>
      </c>
      <c r="J34">
        <v>8</v>
      </c>
      <c r="K34">
        <v>53</v>
      </c>
      <c r="L34">
        <v>54</v>
      </c>
      <c r="M34">
        <v>6</v>
      </c>
      <c r="N34">
        <v>1995</v>
      </c>
      <c r="O34">
        <v>0.27</v>
      </c>
      <c r="P34">
        <v>2.4700000000000002</v>
      </c>
      <c r="Q34">
        <v>1.4999999999999999E-2</v>
      </c>
      <c r="R34">
        <v>75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483.32457865984179</v>
      </c>
      <c r="B35">
        <v>50.400000000000013</v>
      </c>
      <c r="C35">
        <v>6.7128413702755818</v>
      </c>
      <c r="D35">
        <v>550.04369999999994</v>
      </c>
      <c r="E35">
        <v>690.29709543568458</v>
      </c>
      <c r="F35">
        <v>204.66066000000001</v>
      </c>
      <c r="G35">
        <v>93.793860000000009</v>
      </c>
      <c r="H35">
        <v>112</v>
      </c>
      <c r="I35">
        <v>53</v>
      </c>
      <c r="J35">
        <v>7</v>
      </c>
      <c r="K35">
        <v>96</v>
      </c>
      <c r="L35">
        <v>58</v>
      </c>
      <c r="M35">
        <v>24</v>
      </c>
      <c r="N35">
        <v>1995</v>
      </c>
      <c r="O35">
        <v>0.27</v>
      </c>
      <c r="P35">
        <v>2.4700000000000002</v>
      </c>
      <c r="Q35">
        <v>1.4999999999999999E-2</v>
      </c>
      <c r="R35">
        <v>75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402.67588618171987</v>
      </c>
      <c r="B36">
        <v>42.000000000000007</v>
      </c>
      <c r="C36">
        <v>6.7112647696953296</v>
      </c>
      <c r="D36">
        <v>501.68400000000003</v>
      </c>
      <c r="E36">
        <v>687.91642490293634</v>
      </c>
      <c r="F36">
        <v>187.12440000000001</v>
      </c>
      <c r="G36">
        <v>78.092399999999998</v>
      </c>
      <c r="H36">
        <v>53</v>
      </c>
      <c r="I36">
        <v>52</v>
      </c>
      <c r="J36">
        <v>11</v>
      </c>
      <c r="K36">
        <v>323</v>
      </c>
      <c r="L36">
        <v>58</v>
      </c>
      <c r="M36">
        <v>37</v>
      </c>
      <c r="N36">
        <v>1995</v>
      </c>
      <c r="O36">
        <v>0.27</v>
      </c>
      <c r="P36">
        <v>2.4700000000000002</v>
      </c>
      <c r="Q36">
        <v>1.4999999999999999E-2</v>
      </c>
      <c r="R36">
        <v>75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415.31386300975453</v>
      </c>
      <c r="B37">
        <v>43.400000000000013</v>
      </c>
      <c r="C37">
        <v>6.6986106937057164</v>
      </c>
      <c r="D37">
        <v>593.6160000000001</v>
      </c>
      <c r="E37">
        <v>688.81945108141042</v>
      </c>
      <c r="F37">
        <v>197.49600000000001</v>
      </c>
      <c r="G37">
        <v>80.563200000000009</v>
      </c>
      <c r="H37">
        <v>8</v>
      </c>
      <c r="I37">
        <v>50</v>
      </c>
      <c r="J37">
        <v>5</v>
      </c>
      <c r="K37">
        <v>126</v>
      </c>
      <c r="L37">
        <v>60</v>
      </c>
      <c r="M37">
        <v>31</v>
      </c>
      <c r="N37">
        <v>1995</v>
      </c>
      <c r="O37">
        <v>0.27</v>
      </c>
      <c r="P37">
        <v>2.4700000000000002</v>
      </c>
      <c r="Q37">
        <v>1.4999999999999999E-2</v>
      </c>
      <c r="R37">
        <v>75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424.94349913577418</v>
      </c>
      <c r="B38">
        <v>44.744</v>
      </c>
      <c r="C38">
        <v>6.6480522392955921</v>
      </c>
      <c r="D38">
        <v>536.52473999999995</v>
      </c>
      <c r="E38">
        <v>685.59004149377597</v>
      </c>
      <c r="F38">
        <v>456.13673999999997</v>
      </c>
      <c r="G38">
        <v>82.358460000000008</v>
      </c>
      <c r="H38">
        <v>131</v>
      </c>
      <c r="I38">
        <v>59</v>
      </c>
      <c r="J38">
        <v>4</v>
      </c>
      <c r="K38">
        <v>40</v>
      </c>
      <c r="L38">
        <v>58</v>
      </c>
      <c r="M38">
        <v>7</v>
      </c>
      <c r="N38">
        <v>1995</v>
      </c>
      <c r="O38">
        <v>0.27</v>
      </c>
      <c r="P38">
        <v>2.4700000000000002</v>
      </c>
      <c r="Q38">
        <v>1.4999999999999999E-2</v>
      </c>
      <c r="R38">
        <v>75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478.42752324830241</v>
      </c>
      <c r="B39">
        <v>50.400000000000013</v>
      </c>
      <c r="C39">
        <v>6.6448267117819766</v>
      </c>
      <c r="D39">
        <v>464.32539999999989</v>
      </c>
      <c r="E39">
        <v>691.14688796680491</v>
      </c>
      <c r="F39">
        <v>197.51787999999999</v>
      </c>
      <c r="G39">
        <v>92.865080000000006</v>
      </c>
      <c r="H39">
        <v>112</v>
      </c>
      <c r="I39">
        <v>54</v>
      </c>
      <c r="J39">
        <v>7</v>
      </c>
      <c r="K39">
        <v>57</v>
      </c>
      <c r="L39">
        <v>56</v>
      </c>
      <c r="M39">
        <v>8</v>
      </c>
      <c r="N39">
        <v>1995</v>
      </c>
      <c r="O39">
        <v>0.27</v>
      </c>
      <c r="P39">
        <v>2.4700000000000002</v>
      </c>
      <c r="Q39">
        <v>1.4999999999999999E-2</v>
      </c>
      <c r="R39">
        <v>75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396.96351969916071</v>
      </c>
      <c r="B40">
        <v>42</v>
      </c>
      <c r="C40">
        <v>6.6160586616526773</v>
      </c>
      <c r="D40">
        <v>442.96215000000001</v>
      </c>
      <c r="E40">
        <v>688.19028382409829</v>
      </c>
      <c r="F40">
        <v>183.35979</v>
      </c>
      <c r="G40">
        <v>76.990340000000003</v>
      </c>
      <c r="H40">
        <v>9</v>
      </c>
      <c r="I40">
        <v>55</v>
      </c>
      <c r="J40">
        <v>3</v>
      </c>
      <c r="K40">
        <v>84</v>
      </c>
      <c r="L40">
        <v>58</v>
      </c>
      <c r="M40">
        <v>37</v>
      </c>
      <c r="N40">
        <v>1995</v>
      </c>
      <c r="O40">
        <v>0.27</v>
      </c>
      <c r="P40">
        <v>2.4700000000000002</v>
      </c>
      <c r="Q40">
        <v>1.4999999999999999E-2</v>
      </c>
      <c r="R40">
        <v>75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406.46190187570721</v>
      </c>
      <c r="B41">
        <v>43.4</v>
      </c>
      <c r="C41">
        <v>6.5558371270275364</v>
      </c>
      <c r="D41">
        <v>428.71289999999999</v>
      </c>
      <c r="E41">
        <v>689.10253754099506</v>
      </c>
      <c r="F41">
        <v>191.07990000000001</v>
      </c>
      <c r="G41">
        <v>78.85217999999999</v>
      </c>
      <c r="H41">
        <v>53</v>
      </c>
      <c r="I41">
        <v>55</v>
      </c>
      <c r="J41">
        <v>11</v>
      </c>
      <c r="K41">
        <v>126</v>
      </c>
      <c r="L41">
        <v>58</v>
      </c>
      <c r="M41">
        <v>33</v>
      </c>
      <c r="N41">
        <v>1995</v>
      </c>
      <c r="O41">
        <v>0.27</v>
      </c>
      <c r="P41">
        <v>2.4700000000000002</v>
      </c>
      <c r="Q41">
        <v>1.4999999999999999E-2</v>
      </c>
      <c r="R41">
        <v>75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418.68191470656399</v>
      </c>
      <c r="B42">
        <v>44.744000000000007</v>
      </c>
      <c r="C42">
        <v>6.5500925329562572</v>
      </c>
      <c r="D42">
        <v>528.44399999999996</v>
      </c>
      <c r="E42">
        <v>685.6630705394191</v>
      </c>
      <c r="F42">
        <v>449.44200000000001</v>
      </c>
      <c r="G42">
        <v>81.14652000000001</v>
      </c>
      <c r="H42">
        <v>134</v>
      </c>
      <c r="I42">
        <v>61</v>
      </c>
      <c r="J42">
        <v>4</v>
      </c>
      <c r="K42">
        <v>40</v>
      </c>
      <c r="L42">
        <v>57</v>
      </c>
      <c r="M42">
        <v>7</v>
      </c>
      <c r="N42">
        <v>1995</v>
      </c>
      <c r="O42">
        <v>0.27</v>
      </c>
      <c r="P42">
        <v>2.4700000000000002</v>
      </c>
      <c r="Q42">
        <v>1.4999999999999999E-2</v>
      </c>
      <c r="R42">
        <v>75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418.57011994820601</v>
      </c>
      <c r="B43">
        <v>44.744</v>
      </c>
      <c r="C43">
        <v>6.5483435536327601</v>
      </c>
      <c r="D43">
        <v>590.072</v>
      </c>
      <c r="E43">
        <v>684.27551867219915</v>
      </c>
      <c r="F43">
        <v>455.81200000000001</v>
      </c>
      <c r="G43">
        <v>81.094080000000019</v>
      </c>
      <c r="H43">
        <v>178</v>
      </c>
      <c r="I43">
        <v>57</v>
      </c>
      <c r="J43">
        <v>5</v>
      </c>
      <c r="K43">
        <v>40</v>
      </c>
      <c r="L43">
        <v>58</v>
      </c>
      <c r="M43">
        <v>7</v>
      </c>
      <c r="N43">
        <v>1995</v>
      </c>
      <c r="O43">
        <v>0.27</v>
      </c>
      <c r="P43">
        <v>2.4700000000000002</v>
      </c>
      <c r="Q43">
        <v>1.4999999999999999E-2</v>
      </c>
      <c r="R43">
        <v>75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415.61690262555288</v>
      </c>
      <c r="B44">
        <v>44.744</v>
      </c>
      <c r="C44">
        <v>6.5021417807502022</v>
      </c>
      <c r="D44">
        <v>582.87599999999998</v>
      </c>
      <c r="E44">
        <v>671.44232365145217</v>
      </c>
      <c r="F44">
        <v>449.44200000000001</v>
      </c>
      <c r="G44">
        <v>80.239320000000006</v>
      </c>
      <c r="H44">
        <v>137</v>
      </c>
      <c r="I44">
        <v>63</v>
      </c>
      <c r="J44">
        <v>4</v>
      </c>
      <c r="K44">
        <v>40</v>
      </c>
      <c r="L44">
        <v>57</v>
      </c>
      <c r="M44">
        <v>7</v>
      </c>
      <c r="N44">
        <v>1995</v>
      </c>
      <c r="O44">
        <v>0.27</v>
      </c>
      <c r="P44">
        <v>2.4700000000000002</v>
      </c>
      <c r="Q44">
        <v>1.4999999999999999E-2</v>
      </c>
      <c r="R44">
        <v>75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415.32091511030632</v>
      </c>
      <c r="B45">
        <v>44.744</v>
      </c>
      <c r="C45">
        <v>6.4975111875830152</v>
      </c>
      <c r="D45">
        <v>590.952</v>
      </c>
      <c r="E45">
        <v>689.1608220668528</v>
      </c>
      <c r="F45">
        <v>456.25200000000001</v>
      </c>
      <c r="G45">
        <v>80.57208</v>
      </c>
      <c r="H45">
        <v>181</v>
      </c>
      <c r="I45">
        <v>62</v>
      </c>
      <c r="J45">
        <v>4</v>
      </c>
      <c r="K45">
        <v>40</v>
      </c>
      <c r="L45">
        <v>58</v>
      </c>
      <c r="M45">
        <v>7</v>
      </c>
      <c r="N45">
        <v>1995</v>
      </c>
      <c r="O45">
        <v>0.27</v>
      </c>
      <c r="P45">
        <v>2.4700000000000002</v>
      </c>
      <c r="Q45">
        <v>1.4999999999999999E-2</v>
      </c>
      <c r="R45">
        <v>75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454.80181357720193</v>
      </c>
      <c r="B46">
        <v>49</v>
      </c>
      <c r="C46">
        <v>6.497168765388599</v>
      </c>
      <c r="D46">
        <v>422.79480000000001</v>
      </c>
      <c r="E46">
        <v>686.84365845664206</v>
      </c>
      <c r="F46">
        <v>161.17128</v>
      </c>
      <c r="G46">
        <v>88.175519999999992</v>
      </c>
      <c r="H46">
        <v>39</v>
      </c>
      <c r="I46">
        <v>55</v>
      </c>
      <c r="J46">
        <v>9</v>
      </c>
      <c r="K46">
        <v>84</v>
      </c>
      <c r="L46">
        <v>58</v>
      </c>
      <c r="M46">
        <v>36</v>
      </c>
      <c r="N46">
        <v>1995</v>
      </c>
      <c r="O46">
        <v>0.27</v>
      </c>
      <c r="P46">
        <v>2.4700000000000002</v>
      </c>
      <c r="Q46">
        <v>1.4999999999999999E-2</v>
      </c>
      <c r="R46">
        <v>75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453.29405194285158</v>
      </c>
      <c r="B47">
        <v>49</v>
      </c>
      <c r="C47">
        <v>6.4756293134693079</v>
      </c>
      <c r="D47">
        <v>609.98400000000004</v>
      </c>
      <c r="E47">
        <v>686.84365845664206</v>
      </c>
      <c r="F47">
        <v>160.7328</v>
      </c>
      <c r="G47">
        <v>87.883200000000002</v>
      </c>
      <c r="H47">
        <v>39</v>
      </c>
      <c r="I47">
        <v>55</v>
      </c>
      <c r="J47">
        <v>9</v>
      </c>
      <c r="K47">
        <v>323</v>
      </c>
      <c r="L47">
        <v>58</v>
      </c>
      <c r="M47">
        <v>36</v>
      </c>
      <c r="N47">
        <v>1995</v>
      </c>
      <c r="O47">
        <v>0.27</v>
      </c>
      <c r="P47">
        <v>2.4700000000000002</v>
      </c>
      <c r="Q47">
        <v>1.4999999999999999E-2</v>
      </c>
      <c r="R47">
        <v>75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413.81327027775671</v>
      </c>
      <c r="B48">
        <v>44.744</v>
      </c>
      <c r="C48">
        <v>6.4739247540324882</v>
      </c>
      <c r="D48">
        <v>528.47280000000001</v>
      </c>
      <c r="E48">
        <v>688.63734439834025</v>
      </c>
      <c r="F48">
        <v>449.4708</v>
      </c>
      <c r="G48">
        <v>80.268119999999996</v>
      </c>
      <c r="H48">
        <v>130</v>
      </c>
      <c r="I48">
        <v>62</v>
      </c>
      <c r="J48">
        <v>4</v>
      </c>
      <c r="K48">
        <v>40</v>
      </c>
      <c r="L48">
        <v>57</v>
      </c>
      <c r="M48">
        <v>7</v>
      </c>
      <c r="N48">
        <v>1995</v>
      </c>
      <c r="O48">
        <v>0.27</v>
      </c>
      <c r="P48">
        <v>2.4700000000000002</v>
      </c>
      <c r="Q48">
        <v>1.4999999999999999E-2</v>
      </c>
      <c r="R48">
        <v>75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411.92115942678089</v>
      </c>
      <c r="B49">
        <v>44.744</v>
      </c>
      <c r="C49">
        <v>6.4443235204440077</v>
      </c>
      <c r="D49">
        <v>567.30383999999992</v>
      </c>
      <c r="E49">
        <v>686.92448132780089</v>
      </c>
      <c r="F49">
        <v>436.11192</v>
      </c>
      <c r="G49">
        <v>79.863720000000001</v>
      </c>
      <c r="H49">
        <v>1</v>
      </c>
      <c r="I49">
        <v>64</v>
      </c>
      <c r="J49">
        <v>9</v>
      </c>
      <c r="K49">
        <v>40</v>
      </c>
      <c r="L49">
        <v>55</v>
      </c>
      <c r="M49">
        <v>7</v>
      </c>
      <c r="N49">
        <v>1995</v>
      </c>
      <c r="O49">
        <v>0.27</v>
      </c>
      <c r="P49">
        <v>2.4700000000000002</v>
      </c>
      <c r="Q49">
        <v>1.4999999999999999E-2</v>
      </c>
      <c r="R49">
        <v>75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397.38726725072712</v>
      </c>
      <c r="B50">
        <v>43.166666666666657</v>
      </c>
      <c r="C50">
        <v>6.4441178473090899</v>
      </c>
      <c r="D50">
        <v>533.61</v>
      </c>
      <c r="E50">
        <v>688.40281732883204</v>
      </c>
      <c r="F50">
        <v>205.506</v>
      </c>
      <c r="G50">
        <v>77.076999999999998</v>
      </c>
      <c r="H50">
        <v>164</v>
      </c>
      <c r="I50">
        <v>49</v>
      </c>
      <c r="J50">
        <v>5</v>
      </c>
      <c r="K50">
        <v>153</v>
      </c>
      <c r="L50">
        <v>60</v>
      </c>
      <c r="M50">
        <v>49</v>
      </c>
      <c r="N50">
        <v>1995</v>
      </c>
      <c r="O50">
        <v>0.27</v>
      </c>
      <c r="P50">
        <v>2.4700000000000002</v>
      </c>
      <c r="Q50">
        <v>1.4999999999999999E-2</v>
      </c>
      <c r="R50">
        <v>75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397.85090005084402</v>
      </c>
      <c r="B51">
        <v>43.4</v>
      </c>
      <c r="C51">
        <v>6.4169500008200648</v>
      </c>
      <c r="D51">
        <v>563.07600000000002</v>
      </c>
      <c r="E51">
        <v>684.64443830101948</v>
      </c>
      <c r="F51">
        <v>184.6935</v>
      </c>
      <c r="G51">
        <v>77.087699999999998</v>
      </c>
      <c r="H51">
        <v>9</v>
      </c>
      <c r="I51">
        <v>57</v>
      </c>
      <c r="J51">
        <v>3</v>
      </c>
      <c r="K51">
        <v>126</v>
      </c>
      <c r="L51">
        <v>56</v>
      </c>
      <c r="M51">
        <v>35</v>
      </c>
      <c r="N51">
        <v>1995</v>
      </c>
      <c r="O51">
        <v>0.27</v>
      </c>
      <c r="P51">
        <v>2.4700000000000002</v>
      </c>
      <c r="Q51">
        <v>1.4999999999999999E-2</v>
      </c>
      <c r="R51">
        <v>75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461.54284621487318</v>
      </c>
      <c r="B52">
        <v>50.4</v>
      </c>
      <c r="C52">
        <v>6.4103173085399074</v>
      </c>
      <c r="D52">
        <v>542.96640000000002</v>
      </c>
      <c r="E52">
        <v>689.7531519939655</v>
      </c>
      <c r="F52">
        <v>162.1728</v>
      </c>
      <c r="G52">
        <v>89.553599999999989</v>
      </c>
      <c r="H52">
        <v>39</v>
      </c>
      <c r="I52">
        <v>57</v>
      </c>
      <c r="J52">
        <v>9</v>
      </c>
      <c r="K52">
        <v>126</v>
      </c>
      <c r="L52">
        <v>56</v>
      </c>
      <c r="M52">
        <v>35</v>
      </c>
      <c r="N52">
        <v>1995</v>
      </c>
      <c r="O52">
        <v>0.27</v>
      </c>
      <c r="P52">
        <v>2.4700000000000002</v>
      </c>
      <c r="Q52">
        <v>1.4999999999999999E-2</v>
      </c>
      <c r="R52">
        <v>75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489.9775420779481</v>
      </c>
      <c r="B53">
        <v>53.666666666666657</v>
      </c>
      <c r="C53">
        <v>6.39101141840802</v>
      </c>
      <c r="D53">
        <v>374.49</v>
      </c>
      <c r="E53">
        <v>691.62475237860576</v>
      </c>
      <c r="F53">
        <v>268.8372</v>
      </c>
      <c r="G53">
        <v>95.119400000000013</v>
      </c>
      <c r="H53">
        <v>164</v>
      </c>
      <c r="I53">
        <v>52</v>
      </c>
      <c r="J53">
        <v>7</v>
      </c>
      <c r="K53">
        <v>111</v>
      </c>
      <c r="L53">
        <v>61</v>
      </c>
      <c r="M53">
        <v>11</v>
      </c>
      <c r="N53">
        <v>1995</v>
      </c>
      <c r="O53">
        <v>0.27</v>
      </c>
      <c r="P53">
        <v>2.4700000000000002</v>
      </c>
      <c r="Q53">
        <v>1.4999999999999999E-2</v>
      </c>
      <c r="R53">
        <v>75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401.06073395337643</v>
      </c>
      <c r="B54">
        <v>44.744</v>
      </c>
      <c r="C54">
        <v>6.2744169892580786</v>
      </c>
      <c r="D54">
        <v>521.45856000000003</v>
      </c>
      <c r="E54">
        <v>678.00165975103732</v>
      </c>
      <c r="F54">
        <v>443.05056000000002</v>
      </c>
      <c r="G54">
        <v>77.568479999999994</v>
      </c>
      <c r="H54">
        <v>132</v>
      </c>
      <c r="I54">
        <v>55</v>
      </c>
      <c r="J54">
        <v>4</v>
      </c>
      <c r="K54">
        <v>40</v>
      </c>
      <c r="L54">
        <v>66</v>
      </c>
      <c r="M54">
        <v>6</v>
      </c>
      <c r="N54">
        <v>1995</v>
      </c>
      <c r="O54">
        <v>0.27</v>
      </c>
      <c r="P54">
        <v>2.4700000000000002</v>
      </c>
      <c r="Q54">
        <v>1.4999999999999999E-2</v>
      </c>
      <c r="R54">
        <v>75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400.8947201059807</v>
      </c>
      <c r="B55">
        <v>44.744000000000007</v>
      </c>
      <c r="C55">
        <v>6.271819776376419</v>
      </c>
      <c r="D55">
        <v>525.935835</v>
      </c>
      <c r="E55">
        <v>687.1717842323651</v>
      </c>
      <c r="F55">
        <v>446.93383499999999</v>
      </c>
      <c r="G55">
        <v>77.731155000000001</v>
      </c>
      <c r="H55">
        <v>317</v>
      </c>
      <c r="I55">
        <v>59</v>
      </c>
      <c r="J55">
        <v>9</v>
      </c>
      <c r="K55">
        <v>40</v>
      </c>
      <c r="L55">
        <v>57</v>
      </c>
      <c r="M55">
        <v>7</v>
      </c>
      <c r="N55">
        <v>1995</v>
      </c>
      <c r="O55">
        <v>0.27</v>
      </c>
      <c r="P55">
        <v>2.4700000000000002</v>
      </c>
      <c r="Q55">
        <v>1.4999999999999999E-2</v>
      </c>
      <c r="R55">
        <v>75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400.51411619241088</v>
      </c>
      <c r="B56">
        <v>44.744</v>
      </c>
      <c r="C56">
        <v>6.2658653972529867</v>
      </c>
      <c r="D56">
        <v>575.96400000000006</v>
      </c>
      <c r="E56">
        <v>686.69875518672188</v>
      </c>
      <c r="F56">
        <v>445.98599999999999</v>
      </c>
      <c r="G56">
        <v>77.647320000000008</v>
      </c>
      <c r="H56">
        <v>117</v>
      </c>
      <c r="I56">
        <v>60</v>
      </c>
      <c r="J56">
        <v>4</v>
      </c>
      <c r="K56">
        <v>40</v>
      </c>
      <c r="L56">
        <v>57</v>
      </c>
      <c r="M56">
        <v>7</v>
      </c>
      <c r="N56">
        <v>1995</v>
      </c>
      <c r="O56">
        <v>0.27</v>
      </c>
      <c r="P56">
        <v>2.4700000000000002</v>
      </c>
      <c r="Q56">
        <v>1.4999999999999999E-2</v>
      </c>
      <c r="R56">
        <v>75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437.20141976715712</v>
      </c>
      <c r="B57">
        <v>49</v>
      </c>
      <c r="C57">
        <v>6.245734568102244</v>
      </c>
      <c r="D57">
        <v>395.74200000000002</v>
      </c>
      <c r="E57">
        <v>692.48964579876315</v>
      </c>
      <c r="F57">
        <v>202.9716</v>
      </c>
      <c r="G57">
        <v>84.89400000000002</v>
      </c>
      <c r="H57">
        <v>52</v>
      </c>
      <c r="I57">
        <v>55</v>
      </c>
      <c r="J57">
        <v>12</v>
      </c>
      <c r="K57">
        <v>127</v>
      </c>
      <c r="L57">
        <v>57</v>
      </c>
      <c r="M57">
        <v>28</v>
      </c>
      <c r="N57">
        <v>1995</v>
      </c>
      <c r="O57">
        <v>0.27</v>
      </c>
      <c r="P57">
        <v>2.4700000000000002</v>
      </c>
      <c r="Q57">
        <v>1.4999999999999999E-2</v>
      </c>
      <c r="R57">
        <v>75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395.8880630579747</v>
      </c>
      <c r="B58">
        <v>44.744</v>
      </c>
      <c r="C58">
        <v>6.193492851345038</v>
      </c>
      <c r="D58">
        <v>574.02300000000002</v>
      </c>
      <c r="E58">
        <v>686.9775933609958</v>
      </c>
      <c r="F58">
        <v>445.01549999999997</v>
      </c>
      <c r="G58">
        <v>76.756320000000002</v>
      </c>
      <c r="H58">
        <v>177</v>
      </c>
      <c r="I58">
        <v>54</v>
      </c>
      <c r="J58">
        <v>5</v>
      </c>
      <c r="K58">
        <v>40</v>
      </c>
      <c r="L58">
        <v>57</v>
      </c>
      <c r="M58">
        <v>7</v>
      </c>
      <c r="N58">
        <v>1995</v>
      </c>
      <c r="O58">
        <v>0.27</v>
      </c>
      <c r="P58">
        <v>2.4700000000000002</v>
      </c>
      <c r="Q58">
        <v>1.4999999999999999E-2</v>
      </c>
      <c r="R58">
        <v>75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443.61249183249271</v>
      </c>
      <c r="B59">
        <v>50.400000000000013</v>
      </c>
      <c r="C59">
        <v>6.1612846087846211</v>
      </c>
      <c r="D59">
        <v>422.48700000000002</v>
      </c>
      <c r="E59">
        <v>667.69792531120333</v>
      </c>
      <c r="F59">
        <v>189.5598</v>
      </c>
      <c r="G59">
        <v>85.556160000000006</v>
      </c>
      <c r="H59">
        <v>112</v>
      </c>
      <c r="I59">
        <v>56</v>
      </c>
      <c r="J59">
        <v>6</v>
      </c>
      <c r="K59">
        <v>295</v>
      </c>
      <c r="L59">
        <v>57</v>
      </c>
      <c r="M59">
        <v>8</v>
      </c>
      <c r="N59">
        <v>1995</v>
      </c>
      <c r="O59">
        <v>0.27</v>
      </c>
      <c r="P59">
        <v>2.4700000000000002</v>
      </c>
      <c r="Q59">
        <v>1.4999999999999999E-2</v>
      </c>
      <c r="R59">
        <v>75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423.48759350846132</v>
      </c>
      <c r="B60">
        <v>49</v>
      </c>
      <c r="C60">
        <v>6.0498227644065903</v>
      </c>
      <c r="D60">
        <v>513.88380000000006</v>
      </c>
      <c r="E60">
        <v>688.72352598957434</v>
      </c>
      <c r="F60">
        <v>194.85576</v>
      </c>
      <c r="G60">
        <v>82.146600000000007</v>
      </c>
      <c r="H60">
        <v>8</v>
      </c>
      <c r="I60">
        <v>51</v>
      </c>
      <c r="J60">
        <v>5</v>
      </c>
      <c r="K60">
        <v>319</v>
      </c>
      <c r="L60">
        <v>61</v>
      </c>
      <c r="M60">
        <v>29</v>
      </c>
      <c r="N60">
        <v>1995</v>
      </c>
      <c r="O60">
        <v>0.27</v>
      </c>
      <c r="P60">
        <v>2.4700000000000002</v>
      </c>
      <c r="Q60">
        <v>1.4999999999999999E-2</v>
      </c>
      <c r="R60">
        <v>75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434.43805634620298</v>
      </c>
      <c r="B61">
        <v>50.400000000000013</v>
      </c>
      <c r="C61">
        <v>6.0338618936972654</v>
      </c>
      <c r="D61">
        <v>390.53919999999999</v>
      </c>
      <c r="E61">
        <v>692.82323651452293</v>
      </c>
      <c r="F61">
        <v>194.947</v>
      </c>
      <c r="G61">
        <v>84.365100000000012</v>
      </c>
      <c r="H61">
        <v>174</v>
      </c>
      <c r="I61">
        <v>50</v>
      </c>
      <c r="J61">
        <v>4</v>
      </c>
      <c r="K61">
        <v>96</v>
      </c>
      <c r="L61">
        <v>63</v>
      </c>
      <c r="M61">
        <v>22</v>
      </c>
      <c r="N61">
        <v>1995</v>
      </c>
      <c r="O61">
        <v>0.27</v>
      </c>
      <c r="P61">
        <v>2.4700000000000002</v>
      </c>
      <c r="Q61">
        <v>1.4999999999999999E-2</v>
      </c>
      <c r="R61">
        <v>75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420.70788126825329</v>
      </c>
      <c r="B62">
        <v>49</v>
      </c>
      <c r="C62">
        <v>6.010112589546476</v>
      </c>
      <c r="D62">
        <v>380.05200000000002</v>
      </c>
      <c r="E62">
        <v>690.54483527888181</v>
      </c>
      <c r="F62">
        <v>194.2056</v>
      </c>
      <c r="G62">
        <v>81.647999999999996</v>
      </c>
      <c r="H62">
        <v>53</v>
      </c>
      <c r="I62">
        <v>54</v>
      </c>
      <c r="J62">
        <v>12</v>
      </c>
      <c r="K62">
        <v>127</v>
      </c>
      <c r="L62">
        <v>58</v>
      </c>
      <c r="M62">
        <v>27</v>
      </c>
      <c r="N62">
        <v>1995</v>
      </c>
      <c r="O62">
        <v>0.27</v>
      </c>
      <c r="P62">
        <v>2.4700000000000002</v>
      </c>
      <c r="Q62">
        <v>1.4999999999999999E-2</v>
      </c>
      <c r="R62">
        <v>75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479.14031238339919</v>
      </c>
      <c r="B63">
        <v>56</v>
      </c>
      <c r="C63">
        <v>5.9892539047924913</v>
      </c>
      <c r="D63">
        <v>500.35199999999998</v>
      </c>
      <c r="E63">
        <v>689.75105658714506</v>
      </c>
      <c r="F63">
        <v>162.95359999999999</v>
      </c>
      <c r="G63">
        <v>92.968000000000004</v>
      </c>
      <c r="H63">
        <v>39</v>
      </c>
      <c r="I63">
        <v>55</v>
      </c>
      <c r="J63">
        <v>10</v>
      </c>
      <c r="K63">
        <v>127</v>
      </c>
      <c r="L63">
        <v>57</v>
      </c>
      <c r="M63">
        <v>28</v>
      </c>
      <c r="N63">
        <v>1995</v>
      </c>
      <c r="O63">
        <v>0.27</v>
      </c>
      <c r="P63">
        <v>2.4700000000000002</v>
      </c>
      <c r="Q63">
        <v>1.4999999999999999E-2</v>
      </c>
      <c r="R63">
        <v>75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425.70512961838148</v>
      </c>
      <c r="B64">
        <v>50.4</v>
      </c>
      <c r="C64">
        <v>5.912571244699742</v>
      </c>
      <c r="D64">
        <v>419.24700000000001</v>
      </c>
      <c r="E64">
        <v>688.06073523969087</v>
      </c>
      <c r="F64">
        <v>293.46179999999998</v>
      </c>
      <c r="G64">
        <v>82.561800000000005</v>
      </c>
      <c r="H64">
        <v>163</v>
      </c>
      <c r="I64">
        <v>57</v>
      </c>
      <c r="J64">
        <v>10</v>
      </c>
      <c r="K64">
        <v>148</v>
      </c>
      <c r="L64">
        <v>56</v>
      </c>
      <c r="M64">
        <v>36</v>
      </c>
      <c r="N64">
        <v>1995</v>
      </c>
      <c r="O64">
        <v>0.27</v>
      </c>
      <c r="P64">
        <v>2.4700000000000002</v>
      </c>
      <c r="Q64">
        <v>1.4999999999999999E-2</v>
      </c>
      <c r="R64">
        <v>75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446.88651098048331</v>
      </c>
      <c r="B65">
        <v>53.666666666666671</v>
      </c>
      <c r="C65">
        <v>5.8289544910497808</v>
      </c>
      <c r="D65">
        <v>460.57600000000002</v>
      </c>
      <c r="E65">
        <v>685.52063467126857</v>
      </c>
      <c r="F65">
        <v>236.6816</v>
      </c>
      <c r="G65">
        <v>86.6096</v>
      </c>
      <c r="H65">
        <v>164</v>
      </c>
      <c r="I65">
        <v>52</v>
      </c>
      <c r="J65">
        <v>6</v>
      </c>
      <c r="K65">
        <v>148</v>
      </c>
      <c r="L65">
        <v>61</v>
      </c>
      <c r="M65">
        <v>32</v>
      </c>
      <c r="N65">
        <v>1995</v>
      </c>
      <c r="O65">
        <v>0.27</v>
      </c>
      <c r="P65">
        <v>2.4700000000000002</v>
      </c>
      <c r="Q65">
        <v>1.4999999999999999E-2</v>
      </c>
      <c r="R65">
        <v>75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400.43254881349372</v>
      </c>
      <c r="B66">
        <v>49</v>
      </c>
      <c r="C66">
        <v>5.7204649830499106</v>
      </c>
      <c r="D66">
        <v>498.31200000000001</v>
      </c>
      <c r="E66">
        <v>689.3614525451419</v>
      </c>
      <c r="F66">
        <v>178.26480000000001</v>
      </c>
      <c r="G66">
        <v>77.688000000000002</v>
      </c>
      <c r="H66">
        <v>6</v>
      </c>
      <c r="I66">
        <v>54</v>
      </c>
      <c r="J66">
        <v>6</v>
      </c>
      <c r="K66">
        <v>127</v>
      </c>
      <c r="L66">
        <v>59</v>
      </c>
      <c r="M66">
        <v>28</v>
      </c>
      <c r="N66">
        <v>1995</v>
      </c>
      <c r="O66">
        <v>0.27</v>
      </c>
      <c r="P66">
        <v>2.4700000000000002</v>
      </c>
      <c r="Q66">
        <v>1.4999999999999999E-2</v>
      </c>
      <c r="R66">
        <v>75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427.72887451475981</v>
      </c>
      <c r="B67">
        <v>52.500000000000007</v>
      </c>
      <c r="C67">
        <v>5.7030516601967971</v>
      </c>
      <c r="D67">
        <v>532.85759999999993</v>
      </c>
      <c r="E67">
        <v>687.03493058820595</v>
      </c>
      <c r="F67">
        <v>158.08752000000001</v>
      </c>
      <c r="G67">
        <v>82.93104000000001</v>
      </c>
      <c r="H67">
        <v>112</v>
      </c>
      <c r="I67">
        <v>54</v>
      </c>
      <c r="J67">
        <v>6</v>
      </c>
      <c r="K67">
        <v>147</v>
      </c>
      <c r="L67">
        <v>53</v>
      </c>
      <c r="M67">
        <v>3</v>
      </c>
      <c r="N67">
        <v>1995</v>
      </c>
      <c r="O67">
        <v>0.27</v>
      </c>
      <c r="P67">
        <v>2.4700000000000002</v>
      </c>
      <c r="Q67">
        <v>1.4999999999999999E-2</v>
      </c>
      <c r="R67">
        <v>75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396.85381159605822</v>
      </c>
      <c r="B68">
        <v>49</v>
      </c>
      <c r="C68">
        <v>5.6693401656579754</v>
      </c>
      <c r="D68">
        <v>509.03550000000001</v>
      </c>
      <c r="E68">
        <v>686.39914203007129</v>
      </c>
      <c r="F68">
        <v>204.8391</v>
      </c>
      <c r="G68">
        <v>76.931399999999996</v>
      </c>
      <c r="H68">
        <v>112</v>
      </c>
      <c r="I68">
        <v>58</v>
      </c>
      <c r="J68">
        <v>5</v>
      </c>
      <c r="K68">
        <v>235</v>
      </c>
      <c r="L68">
        <v>53</v>
      </c>
      <c r="M68">
        <v>5</v>
      </c>
      <c r="N68">
        <v>1995</v>
      </c>
      <c r="O68">
        <v>0.27</v>
      </c>
      <c r="P68">
        <v>2.4700000000000002</v>
      </c>
      <c r="Q68">
        <v>1.4999999999999999E-2</v>
      </c>
      <c r="R68">
        <v>75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441.5213916465184</v>
      </c>
      <c r="B69">
        <v>56</v>
      </c>
      <c r="C69">
        <v>5.5190173955814803</v>
      </c>
      <c r="D69">
        <v>526.35960000000011</v>
      </c>
      <c r="E69">
        <v>690.72358500066389</v>
      </c>
      <c r="F69">
        <v>197.75124</v>
      </c>
      <c r="G69">
        <v>85.691519999999997</v>
      </c>
      <c r="H69">
        <v>8</v>
      </c>
      <c r="I69">
        <v>54</v>
      </c>
      <c r="J69">
        <v>5</v>
      </c>
      <c r="K69">
        <v>165</v>
      </c>
      <c r="L69">
        <v>59</v>
      </c>
      <c r="M69">
        <v>24</v>
      </c>
      <c r="N69">
        <v>1995</v>
      </c>
      <c r="O69">
        <v>0.27</v>
      </c>
      <c r="P69">
        <v>2.4700000000000002</v>
      </c>
      <c r="Q69">
        <v>1.4999999999999999E-2</v>
      </c>
      <c r="R69">
        <v>75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494.80784518942028</v>
      </c>
      <c r="B70">
        <v>63</v>
      </c>
      <c r="C70">
        <v>5.4978649465491154</v>
      </c>
      <c r="D70">
        <v>540.6</v>
      </c>
      <c r="E70">
        <v>679.49875518672206</v>
      </c>
      <c r="F70">
        <v>162.3152</v>
      </c>
      <c r="G70">
        <v>95.739200000000011</v>
      </c>
      <c r="H70">
        <v>39</v>
      </c>
      <c r="I70">
        <v>59</v>
      </c>
      <c r="J70">
        <v>10</v>
      </c>
      <c r="K70">
        <v>111</v>
      </c>
      <c r="L70">
        <v>54</v>
      </c>
      <c r="M70">
        <v>12</v>
      </c>
      <c r="N70">
        <v>1995</v>
      </c>
      <c r="O70">
        <v>0.27</v>
      </c>
      <c r="P70">
        <v>2.4700000000000002</v>
      </c>
      <c r="Q70">
        <v>1.4999999999999999E-2</v>
      </c>
      <c r="R70">
        <v>75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411.90008369153668</v>
      </c>
      <c r="B71">
        <v>52.738636363636367</v>
      </c>
      <c r="C71">
        <v>5.4671504321048596</v>
      </c>
      <c r="D71">
        <v>450.12480000000011</v>
      </c>
      <c r="E71">
        <v>690.24034984722607</v>
      </c>
      <c r="F71">
        <v>229.9008</v>
      </c>
      <c r="G71">
        <v>79.932000000000002</v>
      </c>
      <c r="H71">
        <v>95</v>
      </c>
      <c r="I71">
        <v>53</v>
      </c>
      <c r="J71">
        <v>6</v>
      </c>
      <c r="K71">
        <v>148</v>
      </c>
      <c r="L71">
        <v>60</v>
      </c>
      <c r="M71">
        <v>32</v>
      </c>
      <c r="N71">
        <v>1995</v>
      </c>
      <c r="O71">
        <v>0.27</v>
      </c>
      <c r="P71">
        <v>2.4700000000000002</v>
      </c>
      <c r="Q71">
        <v>1.4999999999999999E-2</v>
      </c>
      <c r="R71">
        <v>75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434.92174553273412</v>
      </c>
      <c r="B72">
        <v>56.000000000000007</v>
      </c>
      <c r="C72">
        <v>5.4365218191591769</v>
      </c>
      <c r="D72">
        <v>535.30104000000006</v>
      </c>
      <c r="E72">
        <v>689.18092607642325</v>
      </c>
      <c r="F72">
        <v>195.54789600000001</v>
      </c>
      <c r="G72">
        <v>84.375095999999999</v>
      </c>
      <c r="H72">
        <v>8</v>
      </c>
      <c r="I72">
        <v>53</v>
      </c>
      <c r="J72">
        <v>5</v>
      </c>
      <c r="K72">
        <v>125</v>
      </c>
      <c r="L72">
        <v>59</v>
      </c>
      <c r="M72">
        <v>27</v>
      </c>
      <c r="N72">
        <v>1995</v>
      </c>
      <c r="O72">
        <v>0.27</v>
      </c>
      <c r="P72">
        <v>2.4700000000000002</v>
      </c>
      <c r="Q72">
        <v>1.4999999999999999E-2</v>
      </c>
      <c r="R72">
        <v>75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434.33053098139737</v>
      </c>
      <c r="B73">
        <v>56</v>
      </c>
      <c r="C73">
        <v>5.4291316372674681</v>
      </c>
      <c r="D73">
        <v>530.71320000000003</v>
      </c>
      <c r="E73">
        <v>689.18092607642325</v>
      </c>
      <c r="F73">
        <v>195.4332</v>
      </c>
      <c r="G73">
        <v>84.26039999999999</v>
      </c>
      <c r="H73">
        <v>8</v>
      </c>
      <c r="I73">
        <v>53</v>
      </c>
      <c r="J73">
        <v>5</v>
      </c>
      <c r="K73">
        <v>124</v>
      </c>
      <c r="L73">
        <v>59</v>
      </c>
      <c r="M73">
        <v>27</v>
      </c>
      <c r="N73">
        <v>1995</v>
      </c>
      <c r="O73">
        <v>0.27</v>
      </c>
      <c r="P73">
        <v>2.4700000000000002</v>
      </c>
      <c r="Q73">
        <v>1.4999999999999999E-2</v>
      </c>
      <c r="R73">
        <v>75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488.48214796991618</v>
      </c>
      <c r="B74">
        <v>63</v>
      </c>
      <c r="C74">
        <v>5.4275794218879581</v>
      </c>
      <c r="D74">
        <v>473.70600000000002</v>
      </c>
      <c r="E74">
        <v>690.15271813417212</v>
      </c>
      <c r="F74">
        <v>161.36699999999999</v>
      </c>
      <c r="G74">
        <v>94.790999999999997</v>
      </c>
      <c r="H74">
        <v>39</v>
      </c>
      <c r="I74">
        <v>57</v>
      </c>
      <c r="J74">
        <v>10</v>
      </c>
      <c r="K74">
        <v>165</v>
      </c>
      <c r="L74">
        <v>55</v>
      </c>
      <c r="M74">
        <v>25</v>
      </c>
      <c r="N74">
        <v>1995</v>
      </c>
      <c r="O74">
        <v>0.27</v>
      </c>
      <c r="P74">
        <v>2.4700000000000002</v>
      </c>
      <c r="Q74">
        <v>1.4999999999999999E-2</v>
      </c>
      <c r="R74">
        <v>75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433.78005474712518</v>
      </c>
      <c r="B75">
        <v>56</v>
      </c>
      <c r="C75">
        <v>5.4222506843390663</v>
      </c>
      <c r="D75">
        <v>500.89224000000007</v>
      </c>
      <c r="E75">
        <v>689.59830125032954</v>
      </c>
      <c r="F75">
        <v>194.85972000000001</v>
      </c>
      <c r="G75">
        <v>84.163200000000018</v>
      </c>
      <c r="H75">
        <v>8</v>
      </c>
      <c r="I75">
        <v>53</v>
      </c>
      <c r="J75">
        <v>5</v>
      </c>
      <c r="K75">
        <v>333</v>
      </c>
      <c r="L75">
        <v>60</v>
      </c>
      <c r="M75">
        <v>27</v>
      </c>
      <c r="N75">
        <v>1995</v>
      </c>
      <c r="O75">
        <v>0.27</v>
      </c>
      <c r="P75">
        <v>2.4700000000000002</v>
      </c>
      <c r="Q75">
        <v>1.4999999999999999E-2</v>
      </c>
      <c r="R75">
        <v>75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482.59143745371688</v>
      </c>
      <c r="B76">
        <v>63</v>
      </c>
      <c r="C76">
        <v>5.362127082819077</v>
      </c>
      <c r="D76">
        <v>476.22048000000001</v>
      </c>
      <c r="E76">
        <v>687.84658912695022</v>
      </c>
      <c r="F76">
        <v>157.322912</v>
      </c>
      <c r="G76">
        <v>93.588927999999996</v>
      </c>
      <c r="H76">
        <v>39</v>
      </c>
      <c r="I76">
        <v>55</v>
      </c>
      <c r="J76">
        <v>10</v>
      </c>
      <c r="K76">
        <v>125</v>
      </c>
      <c r="L76">
        <v>58</v>
      </c>
      <c r="M76">
        <v>28</v>
      </c>
      <c r="N76">
        <v>1995</v>
      </c>
      <c r="O76">
        <v>0.27</v>
      </c>
      <c r="P76">
        <v>2.4700000000000002</v>
      </c>
      <c r="Q76">
        <v>1.4999999999999999E-2</v>
      </c>
      <c r="R76">
        <v>75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481.98849805902069</v>
      </c>
      <c r="B77">
        <v>63</v>
      </c>
      <c r="C77">
        <v>5.3554277562113413</v>
      </c>
      <c r="D77">
        <v>471.62400000000002</v>
      </c>
      <c r="E77">
        <v>687.84658912695022</v>
      </c>
      <c r="F77">
        <v>157.208</v>
      </c>
      <c r="G77">
        <v>93.471999999999994</v>
      </c>
      <c r="H77">
        <v>39</v>
      </c>
      <c r="I77">
        <v>55</v>
      </c>
      <c r="J77">
        <v>10</v>
      </c>
      <c r="K77">
        <v>124</v>
      </c>
      <c r="L77">
        <v>58</v>
      </c>
      <c r="M77">
        <v>28</v>
      </c>
      <c r="N77">
        <v>1995</v>
      </c>
      <c r="O77">
        <v>0.27</v>
      </c>
      <c r="P77">
        <v>2.4700000000000002</v>
      </c>
      <c r="Q77">
        <v>1.4999999999999999E-2</v>
      </c>
      <c r="R77">
        <v>75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481.94746072617983</v>
      </c>
      <c r="B78">
        <v>63.000000000000007</v>
      </c>
      <c r="C78">
        <v>5.354971785846443</v>
      </c>
      <c r="D78">
        <v>448.75488000000001</v>
      </c>
      <c r="E78">
        <v>691.66080682270831</v>
      </c>
      <c r="F78">
        <v>158.96943999999999</v>
      </c>
      <c r="G78">
        <v>93.561440000000005</v>
      </c>
      <c r="H78">
        <v>39</v>
      </c>
      <c r="I78">
        <v>56</v>
      </c>
      <c r="J78">
        <v>10</v>
      </c>
      <c r="K78">
        <v>333</v>
      </c>
      <c r="L78">
        <v>57</v>
      </c>
      <c r="M78">
        <v>28</v>
      </c>
      <c r="N78">
        <v>1995</v>
      </c>
      <c r="O78">
        <v>0.27</v>
      </c>
      <c r="P78">
        <v>2.4700000000000002</v>
      </c>
      <c r="Q78">
        <v>1.4999999999999999E-2</v>
      </c>
      <c r="R78">
        <v>75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>
      <c r="A79">
        <v>437.36503631776031</v>
      </c>
      <c r="B79">
        <v>57.235294117647058</v>
      </c>
      <c r="C79">
        <v>5.349068789497788</v>
      </c>
      <c r="D79">
        <v>522.77745000000004</v>
      </c>
      <c r="E79">
        <v>687.25335449180227</v>
      </c>
      <c r="F79">
        <v>193.014861</v>
      </c>
      <c r="G79">
        <v>84.804427500000003</v>
      </c>
      <c r="H79">
        <v>8</v>
      </c>
      <c r="I79">
        <v>52</v>
      </c>
      <c r="J79">
        <v>5</v>
      </c>
      <c r="K79">
        <v>77</v>
      </c>
      <c r="L79">
        <v>61</v>
      </c>
      <c r="M79">
        <v>39</v>
      </c>
      <c r="N79">
        <v>1995</v>
      </c>
      <c r="O79">
        <v>0.27</v>
      </c>
      <c r="P79">
        <v>2.4700000000000002</v>
      </c>
      <c r="Q79">
        <v>1.4999999999999999E-2</v>
      </c>
      <c r="R79">
        <v>75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>
      <c r="A80">
        <v>437.15032347302707</v>
      </c>
      <c r="B80">
        <v>57.235294117647058</v>
      </c>
      <c r="C80">
        <v>5.3464428050657986</v>
      </c>
      <c r="D80">
        <v>522.6585</v>
      </c>
      <c r="E80">
        <v>687.25335449180227</v>
      </c>
      <c r="F80">
        <v>192.97441800000001</v>
      </c>
      <c r="G80">
        <v>84.762795000000011</v>
      </c>
      <c r="H80">
        <v>8</v>
      </c>
      <c r="I80">
        <v>52</v>
      </c>
      <c r="J80">
        <v>5</v>
      </c>
      <c r="K80">
        <v>312</v>
      </c>
      <c r="L80">
        <v>61</v>
      </c>
      <c r="M80">
        <v>39</v>
      </c>
      <c r="N80">
        <v>1995</v>
      </c>
      <c r="O80">
        <v>0.27</v>
      </c>
      <c r="P80">
        <v>2.4700000000000002</v>
      </c>
      <c r="Q80">
        <v>1.4999999999999999E-2</v>
      </c>
      <c r="R80">
        <v>75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>
      <c r="A81">
        <v>427.68377770318489</v>
      </c>
      <c r="B81">
        <v>56</v>
      </c>
      <c r="C81">
        <v>5.3460472212898127</v>
      </c>
      <c r="D81">
        <v>464.2944</v>
      </c>
      <c r="E81">
        <v>690.36511828837047</v>
      </c>
      <c r="F81">
        <v>191.60640000000001</v>
      </c>
      <c r="G81">
        <v>82.997760000000014</v>
      </c>
      <c r="H81">
        <v>8</v>
      </c>
      <c r="I81">
        <v>52</v>
      </c>
      <c r="J81">
        <v>5</v>
      </c>
      <c r="K81">
        <v>133</v>
      </c>
      <c r="L81">
        <v>61</v>
      </c>
      <c r="M81">
        <v>27</v>
      </c>
      <c r="N81">
        <v>1995</v>
      </c>
      <c r="O81">
        <v>0.27</v>
      </c>
      <c r="P81">
        <v>2.4700000000000002</v>
      </c>
      <c r="Q81">
        <v>1.4999999999999999E-2</v>
      </c>
      <c r="R81">
        <v>75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>
      <c r="A82">
        <v>435.64595049305149</v>
      </c>
      <c r="B82">
        <v>57.358208955223887</v>
      </c>
      <c r="C82">
        <v>5.3166263539224872</v>
      </c>
      <c r="D82">
        <v>525.71280000000002</v>
      </c>
      <c r="E82">
        <v>688.94905097980859</v>
      </c>
      <c r="F82">
        <v>193.90143599999999</v>
      </c>
      <c r="G82">
        <v>84.51024000000001</v>
      </c>
      <c r="H82">
        <v>8</v>
      </c>
      <c r="I82">
        <v>53</v>
      </c>
      <c r="J82">
        <v>5</v>
      </c>
      <c r="K82">
        <v>316</v>
      </c>
      <c r="L82">
        <v>60</v>
      </c>
      <c r="M82">
        <v>32</v>
      </c>
      <c r="N82">
        <v>1995</v>
      </c>
      <c r="O82">
        <v>0.27</v>
      </c>
      <c r="P82">
        <v>2.4700000000000002</v>
      </c>
      <c r="Q82">
        <v>1.4999999999999999E-2</v>
      </c>
      <c r="R82">
        <v>75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>
      <c r="A83">
        <v>487.4427486285756</v>
      </c>
      <c r="B83">
        <v>64.235294117647072</v>
      </c>
      <c r="C83">
        <v>5.3118761068498621</v>
      </c>
      <c r="D83">
        <v>466.36264999999997</v>
      </c>
      <c r="E83">
        <v>690.50323246071764</v>
      </c>
      <c r="F83">
        <v>156.04042100000001</v>
      </c>
      <c r="G83">
        <v>94.598355000000012</v>
      </c>
      <c r="H83">
        <v>39</v>
      </c>
      <c r="I83">
        <v>54</v>
      </c>
      <c r="J83">
        <v>10</v>
      </c>
      <c r="K83">
        <v>77</v>
      </c>
      <c r="L83">
        <v>59</v>
      </c>
      <c r="M83">
        <v>42</v>
      </c>
      <c r="N83">
        <v>1995</v>
      </c>
      <c r="O83">
        <v>0.27</v>
      </c>
      <c r="P83">
        <v>2.4700000000000002</v>
      </c>
      <c r="Q83">
        <v>1.4999999999999999E-2</v>
      </c>
      <c r="R83">
        <v>75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>
      <c r="A84">
        <v>487.21929913207759</v>
      </c>
      <c r="B84">
        <v>64.235294117647072</v>
      </c>
      <c r="C84">
        <v>5.3094410802854597</v>
      </c>
      <c r="D84">
        <v>466.24169999999998</v>
      </c>
      <c r="E84">
        <v>690.50323246071764</v>
      </c>
      <c r="F84">
        <v>155.99929800000001</v>
      </c>
      <c r="G84">
        <v>94.554990000000004</v>
      </c>
      <c r="H84">
        <v>39</v>
      </c>
      <c r="I84">
        <v>54</v>
      </c>
      <c r="J84">
        <v>10</v>
      </c>
      <c r="K84">
        <v>312</v>
      </c>
      <c r="L84">
        <v>59</v>
      </c>
      <c r="M84">
        <v>42</v>
      </c>
      <c r="N84">
        <v>1995</v>
      </c>
      <c r="O84">
        <v>0.27</v>
      </c>
      <c r="P84">
        <v>2.4700000000000002</v>
      </c>
      <c r="Q84">
        <v>1.4999999999999999E-2</v>
      </c>
      <c r="R84">
        <v>75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>
      <c r="A85">
        <v>477.365962699683</v>
      </c>
      <c r="B85">
        <v>63.000000000000007</v>
      </c>
      <c r="C85">
        <v>5.3040662522186999</v>
      </c>
      <c r="D85">
        <v>441.13401599999997</v>
      </c>
      <c r="E85">
        <v>687.84658912695022</v>
      </c>
      <c r="F85">
        <v>156.32700800000001</v>
      </c>
      <c r="G85">
        <v>92.575552000000002</v>
      </c>
      <c r="H85">
        <v>39</v>
      </c>
      <c r="I85">
        <v>55</v>
      </c>
      <c r="J85">
        <v>10</v>
      </c>
      <c r="K85">
        <v>85</v>
      </c>
      <c r="L85">
        <v>58</v>
      </c>
      <c r="M85">
        <v>28</v>
      </c>
      <c r="N85">
        <v>1995</v>
      </c>
      <c r="O85">
        <v>0.27</v>
      </c>
      <c r="P85">
        <v>2.4700000000000002</v>
      </c>
      <c r="Q85">
        <v>1.4999999999999999E-2</v>
      </c>
      <c r="R85">
        <v>75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>
      <c r="A86">
        <v>423.73963630361152</v>
      </c>
      <c r="B86">
        <v>56.000000000000007</v>
      </c>
      <c r="C86">
        <v>5.2967454537951433</v>
      </c>
      <c r="D86">
        <v>487.09440000000001</v>
      </c>
      <c r="E86">
        <v>688.4647302904566</v>
      </c>
      <c r="F86">
        <v>189.00960000000001</v>
      </c>
      <c r="G86">
        <v>82.18968000000001</v>
      </c>
      <c r="H86">
        <v>8</v>
      </c>
      <c r="I86">
        <v>67</v>
      </c>
      <c r="J86">
        <v>4</v>
      </c>
      <c r="K86">
        <v>178</v>
      </c>
      <c r="L86">
        <v>45</v>
      </c>
      <c r="M86">
        <v>3</v>
      </c>
      <c r="N86">
        <v>1995</v>
      </c>
      <c r="O86">
        <v>0.27</v>
      </c>
      <c r="P86">
        <v>2.4700000000000002</v>
      </c>
      <c r="Q86">
        <v>1.4999999999999999E-2</v>
      </c>
      <c r="R86">
        <v>75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>
      <c r="A87">
        <v>475.95910411205853</v>
      </c>
      <c r="B87">
        <v>63.000000000000007</v>
      </c>
      <c r="C87">
        <v>5.2884344901339837</v>
      </c>
      <c r="D87">
        <v>469.62815999999998</v>
      </c>
      <c r="E87">
        <v>687.84658912695022</v>
      </c>
      <c r="F87">
        <v>156.54272</v>
      </c>
      <c r="G87">
        <v>92.302720000000008</v>
      </c>
      <c r="H87">
        <v>39</v>
      </c>
      <c r="I87">
        <v>55</v>
      </c>
      <c r="J87">
        <v>10</v>
      </c>
      <c r="K87">
        <v>41</v>
      </c>
      <c r="L87">
        <v>58</v>
      </c>
      <c r="M87">
        <v>28</v>
      </c>
      <c r="N87">
        <v>1995</v>
      </c>
      <c r="O87">
        <v>0.27</v>
      </c>
      <c r="P87">
        <v>2.4700000000000002</v>
      </c>
      <c r="Q87">
        <v>1.4999999999999999E-2</v>
      </c>
      <c r="R87">
        <v>75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>
      <c r="A88">
        <v>475.30709328330471</v>
      </c>
      <c r="B88">
        <v>63.000000000000007</v>
      </c>
      <c r="C88">
        <v>5.2811899253700512</v>
      </c>
      <c r="D88">
        <v>413.50272000000001</v>
      </c>
      <c r="E88">
        <v>692.86745788564554</v>
      </c>
      <c r="F88">
        <v>156.54272</v>
      </c>
      <c r="G88">
        <v>92.302720000000008</v>
      </c>
      <c r="H88">
        <v>39</v>
      </c>
      <c r="I88">
        <v>55</v>
      </c>
      <c r="J88">
        <v>10</v>
      </c>
      <c r="K88">
        <v>133</v>
      </c>
      <c r="L88">
        <v>58</v>
      </c>
      <c r="M88">
        <v>28</v>
      </c>
      <c r="N88">
        <v>1995</v>
      </c>
      <c r="O88">
        <v>0.27</v>
      </c>
      <c r="P88">
        <v>2.4700000000000002</v>
      </c>
      <c r="Q88">
        <v>1.4999999999999999E-2</v>
      </c>
      <c r="R88">
        <v>75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>
      <c r="A89">
        <v>484.29647754392289</v>
      </c>
      <c r="B89">
        <v>64.358208955223901</v>
      </c>
      <c r="C89">
        <v>5.2675103888705888</v>
      </c>
      <c r="D89">
        <v>468.81384000000003</v>
      </c>
      <c r="E89">
        <v>688.92248957524214</v>
      </c>
      <c r="F89">
        <v>156.4102364</v>
      </c>
      <c r="G89">
        <v>93.947193999999996</v>
      </c>
      <c r="H89">
        <v>39</v>
      </c>
      <c r="I89">
        <v>55</v>
      </c>
      <c r="J89">
        <v>10</v>
      </c>
      <c r="K89">
        <v>316</v>
      </c>
      <c r="L89">
        <v>58</v>
      </c>
      <c r="M89">
        <v>34</v>
      </c>
      <c r="N89">
        <v>1995</v>
      </c>
      <c r="O89">
        <v>0.27</v>
      </c>
      <c r="P89">
        <v>2.4700000000000002</v>
      </c>
      <c r="Q89">
        <v>1.4999999999999999E-2</v>
      </c>
      <c r="R89">
        <v>75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>
      <c r="A90">
        <v>420.33479302425479</v>
      </c>
      <c r="B90">
        <v>56</v>
      </c>
      <c r="C90">
        <v>5.2541849128031846</v>
      </c>
      <c r="D90">
        <v>520.3125</v>
      </c>
      <c r="E90">
        <v>688.4751726876151</v>
      </c>
      <c r="F90">
        <v>184.50049999999999</v>
      </c>
      <c r="G90">
        <v>81.529500000000013</v>
      </c>
      <c r="H90">
        <v>52</v>
      </c>
      <c r="I90">
        <v>55</v>
      </c>
      <c r="J90">
        <v>11</v>
      </c>
      <c r="K90">
        <v>148</v>
      </c>
      <c r="L90">
        <v>58</v>
      </c>
      <c r="M90">
        <v>35</v>
      </c>
      <c r="N90">
        <v>1995</v>
      </c>
      <c r="O90">
        <v>0.27</v>
      </c>
      <c r="P90">
        <v>2.4700000000000002</v>
      </c>
      <c r="Q90">
        <v>1.4999999999999999E-2</v>
      </c>
      <c r="R90">
        <v>75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>
      <c r="A91">
        <v>419.20710703119079</v>
      </c>
      <c r="B91">
        <v>56</v>
      </c>
      <c r="C91">
        <v>5.2400888378898864</v>
      </c>
      <c r="D91">
        <v>487.82760000000002</v>
      </c>
      <c r="E91">
        <v>690.23236514522819</v>
      </c>
      <c r="F91">
        <v>189.37620000000001</v>
      </c>
      <c r="G91">
        <v>81.349800000000002</v>
      </c>
      <c r="H91">
        <v>8</v>
      </c>
      <c r="I91">
        <v>53</v>
      </c>
      <c r="J91">
        <v>5</v>
      </c>
      <c r="K91">
        <v>1</v>
      </c>
      <c r="L91">
        <v>54</v>
      </c>
      <c r="M91">
        <v>5</v>
      </c>
      <c r="N91">
        <v>1995</v>
      </c>
      <c r="O91">
        <v>0.27</v>
      </c>
      <c r="P91">
        <v>2.4700000000000002</v>
      </c>
      <c r="Q91">
        <v>1.4999999999999999E-2</v>
      </c>
      <c r="R91">
        <v>75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>
      <c r="A92">
        <v>419.05677540938962</v>
      </c>
      <c r="B92">
        <v>56.000000000000007</v>
      </c>
      <c r="C92">
        <v>5.23820969261737</v>
      </c>
      <c r="D92">
        <v>497.68200000000002</v>
      </c>
      <c r="E92">
        <v>688.84396505773793</v>
      </c>
      <c r="F92">
        <v>186.98795999999999</v>
      </c>
      <c r="G92">
        <v>81.2898</v>
      </c>
      <c r="H92">
        <v>9</v>
      </c>
      <c r="I92">
        <v>48</v>
      </c>
      <c r="J92">
        <v>4</v>
      </c>
      <c r="K92">
        <v>165</v>
      </c>
      <c r="L92">
        <v>65</v>
      </c>
      <c r="M92">
        <v>21</v>
      </c>
      <c r="N92">
        <v>1995</v>
      </c>
      <c r="O92">
        <v>0.27</v>
      </c>
      <c r="P92">
        <v>2.4700000000000002</v>
      </c>
      <c r="Q92">
        <v>1.4999999999999999E-2</v>
      </c>
      <c r="R92">
        <v>75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>
      <c r="A93">
        <v>418.71245673023623</v>
      </c>
      <c r="B93">
        <v>56</v>
      </c>
      <c r="C93">
        <v>5.2339057091279528</v>
      </c>
      <c r="D93">
        <v>489.68608799999998</v>
      </c>
      <c r="E93">
        <v>689.17012448132778</v>
      </c>
      <c r="F93">
        <v>190.30544399999999</v>
      </c>
      <c r="G93">
        <v>81.230243999999999</v>
      </c>
      <c r="H93">
        <v>8</v>
      </c>
      <c r="I93">
        <v>52</v>
      </c>
      <c r="J93">
        <v>5</v>
      </c>
      <c r="K93">
        <v>331</v>
      </c>
      <c r="L93">
        <v>57</v>
      </c>
      <c r="M93">
        <v>11</v>
      </c>
      <c r="N93">
        <v>1995</v>
      </c>
      <c r="O93">
        <v>0.27</v>
      </c>
      <c r="P93">
        <v>2.4700000000000002</v>
      </c>
      <c r="Q93">
        <v>1.4999999999999999E-2</v>
      </c>
      <c r="R93">
        <v>75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>
      <c r="A94">
        <v>418.63846287970262</v>
      </c>
      <c r="B94">
        <v>56.000000000000007</v>
      </c>
      <c r="C94">
        <v>5.2329807859962818</v>
      </c>
      <c r="D94">
        <v>497.79840000000002</v>
      </c>
      <c r="E94">
        <v>689.71611817355551</v>
      </c>
      <c r="F94">
        <v>183.06319999999999</v>
      </c>
      <c r="G94">
        <v>81.228000000000009</v>
      </c>
      <c r="H94">
        <v>8</v>
      </c>
      <c r="I94">
        <v>49</v>
      </c>
      <c r="J94">
        <v>5</v>
      </c>
      <c r="K94">
        <v>327</v>
      </c>
      <c r="L94">
        <v>63</v>
      </c>
      <c r="M94">
        <v>32</v>
      </c>
      <c r="N94">
        <v>1995</v>
      </c>
      <c r="O94">
        <v>0.27</v>
      </c>
      <c r="P94">
        <v>2.4700000000000002</v>
      </c>
      <c r="Q94">
        <v>1.4999999999999999E-2</v>
      </c>
      <c r="R94">
        <v>75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>
      <c r="A95">
        <v>418.27703073872942</v>
      </c>
      <c r="B95">
        <v>56.000000000000007</v>
      </c>
      <c r="C95">
        <v>5.2284628842341174</v>
      </c>
      <c r="D95">
        <v>498.69168000000002</v>
      </c>
      <c r="E95">
        <v>688.5400694919723</v>
      </c>
      <c r="F95">
        <v>181.84219200000001</v>
      </c>
      <c r="G95">
        <v>81.131807999999992</v>
      </c>
      <c r="H95">
        <v>9</v>
      </c>
      <c r="I95">
        <v>46</v>
      </c>
      <c r="J95">
        <v>4</v>
      </c>
      <c r="K95">
        <v>125</v>
      </c>
      <c r="L95">
        <v>64</v>
      </c>
      <c r="M95">
        <v>26</v>
      </c>
      <c r="N95">
        <v>1995</v>
      </c>
      <c r="O95">
        <v>0.27</v>
      </c>
      <c r="P95">
        <v>2.4700000000000002</v>
      </c>
      <c r="Q95">
        <v>1.4999999999999999E-2</v>
      </c>
      <c r="R95">
        <v>75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>
      <c r="A96">
        <v>417.65935764929532</v>
      </c>
      <c r="B96">
        <v>56</v>
      </c>
      <c r="C96">
        <v>5.2207419706161913</v>
      </c>
      <c r="D96">
        <v>494.12400000000002</v>
      </c>
      <c r="E96">
        <v>688.5400694919723</v>
      </c>
      <c r="F96">
        <v>181.72800000000001</v>
      </c>
      <c r="G96">
        <v>81.012</v>
      </c>
      <c r="H96">
        <v>9</v>
      </c>
      <c r="I96">
        <v>46</v>
      </c>
      <c r="J96">
        <v>4</v>
      </c>
      <c r="K96">
        <v>124</v>
      </c>
      <c r="L96">
        <v>64</v>
      </c>
      <c r="M96">
        <v>26</v>
      </c>
      <c r="N96">
        <v>1995</v>
      </c>
      <c r="O96">
        <v>0.27</v>
      </c>
      <c r="P96">
        <v>2.4700000000000002</v>
      </c>
      <c r="Q96">
        <v>1.4999999999999999E-2</v>
      </c>
      <c r="R96">
        <v>75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>
      <c r="A97">
        <v>415.97465950807322</v>
      </c>
      <c r="B97">
        <v>56</v>
      </c>
      <c r="C97">
        <v>5.1996832438509157</v>
      </c>
      <c r="D97">
        <v>667.53960000000006</v>
      </c>
      <c r="E97">
        <v>688.99266787211786</v>
      </c>
      <c r="F97">
        <v>183.4776</v>
      </c>
      <c r="G97">
        <v>80.695200000000014</v>
      </c>
      <c r="H97">
        <v>8</v>
      </c>
      <c r="I97">
        <v>49</v>
      </c>
      <c r="J97">
        <v>5</v>
      </c>
      <c r="K97">
        <v>148</v>
      </c>
      <c r="L97">
        <v>60</v>
      </c>
      <c r="M97">
        <v>33</v>
      </c>
      <c r="N97">
        <v>1995</v>
      </c>
      <c r="O97">
        <v>0.27</v>
      </c>
      <c r="P97">
        <v>2.4700000000000002</v>
      </c>
      <c r="Q97">
        <v>1.4999999999999999E-2</v>
      </c>
      <c r="R97">
        <v>75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>
      <c r="A98">
        <v>415.23163658358459</v>
      </c>
      <c r="B98">
        <v>56</v>
      </c>
      <c r="C98">
        <v>5.1903954572948079</v>
      </c>
      <c r="D98">
        <v>473.31407999999999</v>
      </c>
      <c r="E98">
        <v>691.4752913512192</v>
      </c>
      <c r="F98">
        <v>184.48704000000001</v>
      </c>
      <c r="G98">
        <v>80.605679999999992</v>
      </c>
      <c r="H98">
        <v>9</v>
      </c>
      <c r="I98">
        <v>47</v>
      </c>
      <c r="J98">
        <v>4</v>
      </c>
      <c r="K98">
        <v>333</v>
      </c>
      <c r="L98">
        <v>62</v>
      </c>
      <c r="M98">
        <v>26</v>
      </c>
      <c r="N98">
        <v>1995</v>
      </c>
      <c r="O98">
        <v>0.27</v>
      </c>
      <c r="P98">
        <v>2.4700000000000002</v>
      </c>
      <c r="Q98">
        <v>1.4999999999999999E-2</v>
      </c>
      <c r="R98">
        <v>75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>
      <c r="A99">
        <v>415.22435646335401</v>
      </c>
      <c r="B99">
        <v>56.000000000000007</v>
      </c>
      <c r="C99">
        <v>5.1903044557919236</v>
      </c>
      <c r="D99">
        <v>481.66968000000003</v>
      </c>
      <c r="E99">
        <v>690.29045643153529</v>
      </c>
      <c r="F99">
        <v>187.13628</v>
      </c>
      <c r="G99">
        <v>80.57820000000001</v>
      </c>
      <c r="H99">
        <v>8</v>
      </c>
      <c r="I99">
        <v>65</v>
      </c>
      <c r="J99">
        <v>4</v>
      </c>
      <c r="K99">
        <v>177</v>
      </c>
      <c r="L99">
        <v>46</v>
      </c>
      <c r="M99">
        <v>3</v>
      </c>
      <c r="N99">
        <v>1995</v>
      </c>
      <c r="O99">
        <v>0.27</v>
      </c>
      <c r="P99">
        <v>2.4700000000000002</v>
      </c>
      <c r="Q99">
        <v>1.4999999999999999E-2</v>
      </c>
      <c r="R99">
        <v>75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>
      <c r="A100">
        <v>388.55634329651821</v>
      </c>
      <c r="B100">
        <v>52.500000000000007</v>
      </c>
      <c r="C100">
        <v>5.1807512439535746</v>
      </c>
      <c r="D100">
        <v>526.6511999999999</v>
      </c>
      <c r="E100">
        <v>688.21244813278008</v>
      </c>
      <c r="F100">
        <v>225.21024</v>
      </c>
      <c r="G100">
        <v>75.36023999999999</v>
      </c>
      <c r="H100">
        <v>22</v>
      </c>
      <c r="I100">
        <v>60</v>
      </c>
      <c r="J100">
        <v>3</v>
      </c>
      <c r="K100">
        <v>112</v>
      </c>
      <c r="L100">
        <v>48</v>
      </c>
      <c r="M100">
        <v>3</v>
      </c>
      <c r="N100">
        <v>1995</v>
      </c>
      <c r="O100">
        <v>0.27</v>
      </c>
      <c r="P100">
        <v>2.4700000000000002</v>
      </c>
      <c r="Q100">
        <v>1.4999999999999999E-2</v>
      </c>
      <c r="R100">
        <v>75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>
      <c r="A101">
        <v>413.15547084337999</v>
      </c>
      <c r="B101">
        <v>56</v>
      </c>
      <c r="C101">
        <v>5.1644433855422509</v>
      </c>
      <c r="D101">
        <v>554.75400000000002</v>
      </c>
      <c r="E101">
        <v>689.52697095435678</v>
      </c>
      <c r="F101">
        <v>184.9212</v>
      </c>
      <c r="G101">
        <v>80.16</v>
      </c>
      <c r="H101">
        <v>6</v>
      </c>
      <c r="I101">
        <v>51</v>
      </c>
      <c r="J101">
        <v>7</v>
      </c>
      <c r="K101">
        <v>111</v>
      </c>
      <c r="L101">
        <v>60</v>
      </c>
      <c r="M101">
        <v>11</v>
      </c>
      <c r="N101">
        <v>1995</v>
      </c>
      <c r="O101">
        <v>0.27</v>
      </c>
      <c r="P101">
        <v>2.4700000000000002</v>
      </c>
      <c r="Q101">
        <v>1.4999999999999999E-2</v>
      </c>
      <c r="R101">
        <v>75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>
      <c r="A102">
        <v>412.70273919124048</v>
      </c>
      <c r="B102">
        <v>56.000000000000007</v>
      </c>
      <c r="C102">
        <v>5.1587842398905064</v>
      </c>
      <c r="D102">
        <v>454.09160000000003</v>
      </c>
      <c r="E102">
        <v>690.76348547717839</v>
      </c>
      <c r="F102">
        <v>186.64760000000001</v>
      </c>
      <c r="G102">
        <v>80.09920000000001</v>
      </c>
      <c r="H102">
        <v>8</v>
      </c>
      <c r="I102">
        <v>51</v>
      </c>
      <c r="J102">
        <v>5</v>
      </c>
      <c r="K102">
        <v>98</v>
      </c>
      <c r="L102">
        <v>62</v>
      </c>
      <c r="M102">
        <v>8</v>
      </c>
      <c r="N102">
        <v>1995</v>
      </c>
      <c r="O102">
        <v>0.27</v>
      </c>
      <c r="P102">
        <v>2.4700000000000002</v>
      </c>
      <c r="Q102">
        <v>1.4999999999999999E-2</v>
      </c>
      <c r="R102">
        <v>75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>
      <c r="A103">
        <v>408.90706205702668</v>
      </c>
      <c r="B103">
        <v>56</v>
      </c>
      <c r="C103">
        <v>5.1113382757128338</v>
      </c>
      <c r="D103">
        <v>407.69364000000002</v>
      </c>
      <c r="E103">
        <v>692.56597510373444</v>
      </c>
      <c r="F103">
        <v>172.76244</v>
      </c>
      <c r="G103">
        <v>79.401570000000007</v>
      </c>
      <c r="H103">
        <v>8</v>
      </c>
      <c r="I103">
        <v>56</v>
      </c>
      <c r="J103">
        <v>4</v>
      </c>
      <c r="K103">
        <v>155</v>
      </c>
      <c r="L103">
        <v>57</v>
      </c>
      <c r="M103">
        <v>53</v>
      </c>
      <c r="N103">
        <v>1995</v>
      </c>
      <c r="O103">
        <v>0.27</v>
      </c>
      <c r="P103">
        <v>2.4700000000000002</v>
      </c>
      <c r="Q103">
        <v>1.4999999999999999E-2</v>
      </c>
      <c r="R103">
        <v>75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>
      <c r="A104">
        <v>406.9182147168965</v>
      </c>
      <c r="B104">
        <v>56.000000000000007</v>
      </c>
      <c r="C104">
        <v>5.0864776839612054</v>
      </c>
      <c r="D104">
        <v>450.39359999999999</v>
      </c>
      <c r="E104">
        <v>691.792531120332</v>
      </c>
      <c r="F104">
        <v>175.24680000000001</v>
      </c>
      <c r="G104">
        <v>78.998699999999999</v>
      </c>
      <c r="H104">
        <v>9</v>
      </c>
      <c r="I104">
        <v>63</v>
      </c>
      <c r="J104">
        <v>3</v>
      </c>
      <c r="K104">
        <v>178</v>
      </c>
      <c r="L104">
        <v>46</v>
      </c>
      <c r="M104">
        <v>3</v>
      </c>
      <c r="N104">
        <v>1995</v>
      </c>
      <c r="O104">
        <v>0.27</v>
      </c>
      <c r="P104">
        <v>2.4700000000000002</v>
      </c>
      <c r="Q104">
        <v>1.4999999999999999E-2</v>
      </c>
      <c r="R104">
        <v>75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>
      <c r="A105">
        <v>421.68389680503032</v>
      </c>
      <c r="B105">
        <v>58.100000000000009</v>
      </c>
      <c r="C105">
        <v>5.0805288771690398</v>
      </c>
      <c r="D105">
        <v>486.02879999999999</v>
      </c>
      <c r="E105">
        <v>684.10788381742736</v>
      </c>
      <c r="F105">
        <v>188.4768</v>
      </c>
      <c r="G105">
        <v>81.693600000000004</v>
      </c>
      <c r="H105">
        <v>8</v>
      </c>
      <c r="I105">
        <v>53</v>
      </c>
      <c r="J105">
        <v>5</v>
      </c>
      <c r="K105">
        <v>91</v>
      </c>
      <c r="L105">
        <v>60</v>
      </c>
      <c r="M105">
        <v>7</v>
      </c>
      <c r="N105">
        <v>1995</v>
      </c>
      <c r="O105">
        <v>0.27</v>
      </c>
      <c r="P105">
        <v>2.4700000000000002</v>
      </c>
      <c r="Q105">
        <v>1.4999999999999999E-2</v>
      </c>
      <c r="R105">
        <v>75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>
      <c r="A106">
        <v>405.85713172546548</v>
      </c>
      <c r="B106">
        <v>56.000000000000007</v>
      </c>
      <c r="C106">
        <v>5.0732141465683176</v>
      </c>
      <c r="D106">
        <v>500.399</v>
      </c>
      <c r="E106">
        <v>687.19327991974501</v>
      </c>
      <c r="F106">
        <v>176.20060000000001</v>
      </c>
      <c r="G106">
        <v>78.693799999999996</v>
      </c>
      <c r="H106">
        <v>53</v>
      </c>
      <c r="I106">
        <v>54</v>
      </c>
      <c r="J106">
        <v>11</v>
      </c>
      <c r="K106">
        <v>148</v>
      </c>
      <c r="L106">
        <v>59</v>
      </c>
      <c r="M106">
        <v>34</v>
      </c>
      <c r="N106">
        <v>1995</v>
      </c>
      <c r="O106">
        <v>0.27</v>
      </c>
      <c r="P106">
        <v>2.4700000000000002</v>
      </c>
      <c r="Q106">
        <v>1.4999999999999999E-2</v>
      </c>
      <c r="R106">
        <v>75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>
      <c r="A107">
        <v>415.70027921428141</v>
      </c>
      <c r="B107">
        <v>57.358208955223887</v>
      </c>
      <c r="C107">
        <v>5.0732092363127226</v>
      </c>
      <c r="D107">
        <v>498.38159999999999</v>
      </c>
      <c r="E107">
        <v>688.98959031551044</v>
      </c>
      <c r="F107">
        <v>183.65223599999999</v>
      </c>
      <c r="G107">
        <v>80.641904999999994</v>
      </c>
      <c r="H107">
        <v>9</v>
      </c>
      <c r="I107">
        <v>47</v>
      </c>
      <c r="J107">
        <v>4</v>
      </c>
      <c r="K107">
        <v>316</v>
      </c>
      <c r="L107">
        <v>63</v>
      </c>
      <c r="M107">
        <v>30</v>
      </c>
      <c r="N107">
        <v>1995</v>
      </c>
      <c r="O107">
        <v>0.27</v>
      </c>
      <c r="P107">
        <v>2.4700000000000002</v>
      </c>
      <c r="Q107">
        <v>1.4999999999999999E-2</v>
      </c>
      <c r="R107">
        <v>75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>
      <c r="A108">
        <v>405.79698412899018</v>
      </c>
      <c r="B108">
        <v>56</v>
      </c>
      <c r="C108">
        <v>5.0724623016123784</v>
      </c>
      <c r="D108">
        <v>477.21600000000001</v>
      </c>
      <c r="E108">
        <v>691.18672199170123</v>
      </c>
      <c r="F108">
        <v>185.328</v>
      </c>
      <c r="G108">
        <v>78.768000000000001</v>
      </c>
      <c r="H108">
        <v>9</v>
      </c>
      <c r="I108">
        <v>48</v>
      </c>
      <c r="J108">
        <v>4</v>
      </c>
      <c r="K108">
        <v>137</v>
      </c>
      <c r="L108">
        <v>59</v>
      </c>
      <c r="M108">
        <v>2</v>
      </c>
      <c r="N108">
        <v>1995</v>
      </c>
      <c r="O108">
        <v>0.27</v>
      </c>
      <c r="P108">
        <v>2.4700000000000002</v>
      </c>
      <c r="Q108">
        <v>1.4999999999999999E-2</v>
      </c>
      <c r="R108">
        <v>75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>
      <c r="A109">
        <v>406.95364014723941</v>
      </c>
      <c r="B109">
        <v>56.190909090909081</v>
      </c>
      <c r="C109">
        <v>5.0696376462283501</v>
      </c>
      <c r="D109">
        <v>458.70895999999999</v>
      </c>
      <c r="E109">
        <v>688.33195020746894</v>
      </c>
      <c r="F109">
        <v>179.01208</v>
      </c>
      <c r="G109">
        <v>78.930960000000013</v>
      </c>
      <c r="H109">
        <v>8</v>
      </c>
      <c r="I109">
        <v>48</v>
      </c>
      <c r="J109">
        <v>5</v>
      </c>
      <c r="K109">
        <v>113</v>
      </c>
      <c r="L109">
        <v>60</v>
      </c>
      <c r="M109">
        <v>28</v>
      </c>
      <c r="N109">
        <v>1995</v>
      </c>
      <c r="O109">
        <v>0.27</v>
      </c>
      <c r="P109">
        <v>2.4700000000000002</v>
      </c>
      <c r="Q109">
        <v>1.4999999999999999E-2</v>
      </c>
      <c r="R109">
        <v>75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>
      <c r="A110">
        <v>405.25676877142689</v>
      </c>
      <c r="B110">
        <v>56</v>
      </c>
      <c r="C110">
        <v>5.0657096096428367</v>
      </c>
      <c r="D110">
        <v>427.9932</v>
      </c>
      <c r="E110">
        <v>691.15782583262296</v>
      </c>
      <c r="F110">
        <v>176.28120000000001</v>
      </c>
      <c r="G110">
        <v>78.662520000000001</v>
      </c>
      <c r="H110">
        <v>8</v>
      </c>
      <c r="I110">
        <v>63</v>
      </c>
      <c r="J110">
        <v>4</v>
      </c>
      <c r="K110">
        <v>118</v>
      </c>
      <c r="L110">
        <v>47</v>
      </c>
      <c r="M110">
        <v>3</v>
      </c>
      <c r="N110">
        <v>1995</v>
      </c>
      <c r="O110">
        <v>0.27</v>
      </c>
      <c r="P110">
        <v>2.4700000000000002</v>
      </c>
      <c r="Q110">
        <v>1.4999999999999999E-2</v>
      </c>
      <c r="R110">
        <v>75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>
      <c r="A111">
        <v>404.87407882378511</v>
      </c>
      <c r="B111">
        <v>56.000000000000007</v>
      </c>
      <c r="C111">
        <v>5.0609259852973132</v>
      </c>
      <c r="D111">
        <v>454.95359999999999</v>
      </c>
      <c r="E111">
        <v>689.24481327800834</v>
      </c>
      <c r="F111">
        <v>177.1344</v>
      </c>
      <c r="G111">
        <v>78.547200000000018</v>
      </c>
      <c r="H111">
        <v>8</v>
      </c>
      <c r="I111">
        <v>50</v>
      </c>
      <c r="J111">
        <v>5</v>
      </c>
      <c r="K111">
        <v>278</v>
      </c>
      <c r="L111">
        <v>56</v>
      </c>
      <c r="M111">
        <v>10</v>
      </c>
      <c r="N111">
        <v>1995</v>
      </c>
      <c r="O111">
        <v>0.27</v>
      </c>
      <c r="P111">
        <v>2.4700000000000002</v>
      </c>
      <c r="Q111">
        <v>1.4999999999999999E-2</v>
      </c>
      <c r="R111">
        <v>75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>
      <c r="A112">
        <v>470.1251239164983</v>
      </c>
      <c r="B112">
        <v>65.100000000000009</v>
      </c>
      <c r="C112">
        <v>5.055108859317186</v>
      </c>
      <c r="D112">
        <v>451.2192</v>
      </c>
      <c r="E112">
        <v>690.62240663900411</v>
      </c>
      <c r="F112">
        <v>157.8656</v>
      </c>
      <c r="G112">
        <v>91.240480000000005</v>
      </c>
      <c r="H112">
        <v>39</v>
      </c>
      <c r="I112">
        <v>58</v>
      </c>
      <c r="J112">
        <v>10</v>
      </c>
      <c r="K112">
        <v>91</v>
      </c>
      <c r="L112">
        <v>54</v>
      </c>
      <c r="M112">
        <v>7</v>
      </c>
      <c r="N112">
        <v>1995</v>
      </c>
      <c r="O112">
        <v>0.27</v>
      </c>
      <c r="P112">
        <v>2.4700000000000002</v>
      </c>
      <c r="Q112">
        <v>1.4999999999999999E-2</v>
      </c>
      <c r="R112">
        <v>75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>
      <c r="A113">
        <v>404.14907867857733</v>
      </c>
      <c r="B113">
        <v>56</v>
      </c>
      <c r="C113">
        <v>5.051863483482216</v>
      </c>
      <c r="D113">
        <v>450.40800000000002</v>
      </c>
      <c r="E113">
        <v>691.27404253402119</v>
      </c>
      <c r="F113">
        <v>175.25399999999999</v>
      </c>
      <c r="G113">
        <v>78.45</v>
      </c>
      <c r="H113">
        <v>9</v>
      </c>
      <c r="I113">
        <v>47</v>
      </c>
      <c r="J113">
        <v>4</v>
      </c>
      <c r="K113">
        <v>181</v>
      </c>
      <c r="L113">
        <v>60</v>
      </c>
      <c r="M113">
        <v>2</v>
      </c>
      <c r="N113">
        <v>1995</v>
      </c>
      <c r="O113">
        <v>0.27</v>
      </c>
      <c r="P113">
        <v>2.4700000000000002</v>
      </c>
      <c r="Q113">
        <v>1.4999999999999999E-2</v>
      </c>
      <c r="R113">
        <v>75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>
      <c r="A114">
        <v>403.41035991662528</v>
      </c>
      <c r="B114">
        <v>56</v>
      </c>
      <c r="C114">
        <v>5.0426294989578162</v>
      </c>
      <c r="D114">
        <v>429.17791999999997</v>
      </c>
      <c r="E114">
        <v>690.29875518672202</v>
      </c>
      <c r="F114">
        <v>177.46592000000001</v>
      </c>
      <c r="G114">
        <v>78.28576000000001</v>
      </c>
      <c r="H114">
        <v>8</v>
      </c>
      <c r="I114">
        <v>49</v>
      </c>
      <c r="J114">
        <v>5</v>
      </c>
      <c r="K114">
        <v>61</v>
      </c>
      <c r="L114">
        <v>59</v>
      </c>
      <c r="M114">
        <v>14</v>
      </c>
      <c r="N114">
        <v>1995</v>
      </c>
      <c r="O114">
        <v>0.27</v>
      </c>
      <c r="P114">
        <v>2.4700000000000002</v>
      </c>
      <c r="Q114">
        <v>1.4999999999999999E-2</v>
      </c>
      <c r="R114">
        <v>75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>
      <c r="A115">
        <v>403.333723497996</v>
      </c>
      <c r="B115">
        <v>56</v>
      </c>
      <c r="C115">
        <v>5.0416715437249504</v>
      </c>
      <c r="D115">
        <v>445.0104</v>
      </c>
      <c r="E115">
        <v>691.13692946058086</v>
      </c>
      <c r="F115">
        <v>174.2604</v>
      </c>
      <c r="G115">
        <v>78.288800000000009</v>
      </c>
      <c r="H115">
        <v>8</v>
      </c>
      <c r="I115">
        <v>46</v>
      </c>
      <c r="J115">
        <v>5</v>
      </c>
      <c r="K115">
        <v>249</v>
      </c>
      <c r="L115">
        <v>58</v>
      </c>
      <c r="M115">
        <v>35</v>
      </c>
      <c r="N115">
        <v>1995</v>
      </c>
      <c r="O115">
        <v>0.27</v>
      </c>
      <c r="P115">
        <v>2.4700000000000002</v>
      </c>
      <c r="Q115">
        <v>1.4999999999999999E-2</v>
      </c>
      <c r="R115">
        <v>75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>
      <c r="A116">
        <v>403.04130107101457</v>
      </c>
      <c r="B116">
        <v>56</v>
      </c>
      <c r="C116">
        <v>5.038016263387683</v>
      </c>
      <c r="D116">
        <v>477.50400000000002</v>
      </c>
      <c r="E116">
        <v>689.39682841050421</v>
      </c>
      <c r="F116">
        <v>179.42688000000001</v>
      </c>
      <c r="G116">
        <v>78.194879999999998</v>
      </c>
      <c r="H116">
        <v>6</v>
      </c>
      <c r="I116">
        <v>57</v>
      </c>
      <c r="J116">
        <v>6</v>
      </c>
      <c r="K116">
        <v>165</v>
      </c>
      <c r="L116">
        <v>56</v>
      </c>
      <c r="M116">
        <v>24</v>
      </c>
      <c r="N116">
        <v>1995</v>
      </c>
      <c r="O116">
        <v>0.27</v>
      </c>
      <c r="P116">
        <v>2.4700000000000002</v>
      </c>
      <c r="Q116">
        <v>1.4999999999999999E-2</v>
      </c>
      <c r="R116">
        <v>75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>
      <c r="A117">
        <v>402.87987378535888</v>
      </c>
      <c r="B117">
        <v>56</v>
      </c>
      <c r="C117">
        <v>5.035998422316986</v>
      </c>
      <c r="D117">
        <v>479.79408000000001</v>
      </c>
      <c r="E117">
        <v>690.58517833856831</v>
      </c>
      <c r="F117">
        <v>174.820752</v>
      </c>
      <c r="G117">
        <v>78.188928000000004</v>
      </c>
      <c r="H117">
        <v>6</v>
      </c>
      <c r="I117">
        <v>55</v>
      </c>
      <c r="J117">
        <v>6</v>
      </c>
      <c r="K117">
        <v>125</v>
      </c>
      <c r="L117">
        <v>58</v>
      </c>
      <c r="M117">
        <v>28</v>
      </c>
      <c r="N117">
        <v>1995</v>
      </c>
      <c r="O117">
        <v>0.27</v>
      </c>
      <c r="P117">
        <v>2.4700000000000002</v>
      </c>
      <c r="Q117">
        <v>1.4999999999999999E-2</v>
      </c>
      <c r="R117">
        <v>75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>
      <c r="A118">
        <v>402.54163603598369</v>
      </c>
      <c r="B118">
        <v>56</v>
      </c>
      <c r="C118">
        <v>5.0317704504497964</v>
      </c>
      <c r="D118">
        <v>485.15472</v>
      </c>
      <c r="E118">
        <v>688.67717842323646</v>
      </c>
      <c r="F118">
        <v>176.78205</v>
      </c>
      <c r="G118">
        <v>78.08259000000001</v>
      </c>
      <c r="H118">
        <v>8</v>
      </c>
      <c r="I118">
        <v>49</v>
      </c>
      <c r="J118">
        <v>5</v>
      </c>
      <c r="K118">
        <v>175</v>
      </c>
      <c r="L118">
        <v>57</v>
      </c>
      <c r="M118">
        <v>3</v>
      </c>
      <c r="N118">
        <v>1995</v>
      </c>
      <c r="O118">
        <v>0.27</v>
      </c>
      <c r="P118">
        <v>2.4700000000000002</v>
      </c>
      <c r="Q118">
        <v>1.4999999999999999E-2</v>
      </c>
      <c r="R118">
        <v>75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>
      <c r="A119">
        <v>402.35027856342413</v>
      </c>
      <c r="B119">
        <v>56.000000000000007</v>
      </c>
      <c r="C119">
        <v>5.0293784820428007</v>
      </c>
      <c r="D119">
        <v>454.24799999999999</v>
      </c>
      <c r="E119">
        <v>689.61198302570779</v>
      </c>
      <c r="F119">
        <v>176.7816</v>
      </c>
      <c r="G119">
        <v>78.065400000000011</v>
      </c>
      <c r="H119">
        <v>8</v>
      </c>
      <c r="I119">
        <v>49</v>
      </c>
      <c r="J119">
        <v>5</v>
      </c>
      <c r="K119">
        <v>179</v>
      </c>
      <c r="L119">
        <v>58</v>
      </c>
      <c r="M119">
        <v>3</v>
      </c>
      <c r="N119">
        <v>1995</v>
      </c>
      <c r="O119">
        <v>0.27</v>
      </c>
      <c r="P119">
        <v>2.4700000000000002</v>
      </c>
      <c r="Q119">
        <v>1.4999999999999999E-2</v>
      </c>
      <c r="R119">
        <v>75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>
      <c r="A120">
        <v>402.27738518387849</v>
      </c>
      <c r="B120">
        <v>56</v>
      </c>
      <c r="C120">
        <v>5.0284673147984824</v>
      </c>
      <c r="D120">
        <v>476.904</v>
      </c>
      <c r="E120">
        <v>690.58517833856831</v>
      </c>
      <c r="F120">
        <v>175.24799999999999</v>
      </c>
      <c r="G120">
        <v>78.072000000000003</v>
      </c>
      <c r="H120">
        <v>6</v>
      </c>
      <c r="I120">
        <v>55</v>
      </c>
      <c r="J120">
        <v>6</v>
      </c>
      <c r="K120">
        <v>124</v>
      </c>
      <c r="L120">
        <v>58</v>
      </c>
      <c r="M120">
        <v>28</v>
      </c>
      <c r="N120">
        <v>1995</v>
      </c>
      <c r="O120">
        <v>0.27</v>
      </c>
      <c r="P120">
        <v>2.4700000000000002</v>
      </c>
      <c r="Q120">
        <v>1.4999999999999999E-2</v>
      </c>
      <c r="R120">
        <v>75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>
      <c r="A121">
        <v>402.16337370996291</v>
      </c>
      <c r="B121">
        <v>56.000000000000007</v>
      </c>
      <c r="C121">
        <v>5.0270421713745357</v>
      </c>
      <c r="D121">
        <v>432.91379999999998</v>
      </c>
      <c r="E121">
        <v>688.96265560165966</v>
      </c>
      <c r="F121">
        <v>170.30969999999999</v>
      </c>
      <c r="G121">
        <v>78.015299999999996</v>
      </c>
      <c r="H121">
        <v>8</v>
      </c>
      <c r="I121">
        <v>55</v>
      </c>
      <c r="J121">
        <v>4</v>
      </c>
      <c r="K121">
        <v>60</v>
      </c>
      <c r="L121">
        <v>58</v>
      </c>
      <c r="M121">
        <v>45</v>
      </c>
      <c r="N121">
        <v>1995</v>
      </c>
      <c r="O121">
        <v>0.27</v>
      </c>
      <c r="P121">
        <v>2.4700000000000002</v>
      </c>
      <c r="Q121">
        <v>1.4999999999999999E-2</v>
      </c>
      <c r="R121">
        <v>75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>
      <c r="A122">
        <v>417.03980092353731</v>
      </c>
      <c r="B122">
        <v>58.074074074074083</v>
      </c>
      <c r="C122">
        <v>5.0268190289890651</v>
      </c>
      <c r="D122">
        <v>442.28640000000013</v>
      </c>
      <c r="E122">
        <v>688.81945108141042</v>
      </c>
      <c r="F122">
        <v>184.43879999999999</v>
      </c>
      <c r="G122">
        <v>80.897999999999996</v>
      </c>
      <c r="H122">
        <v>8</v>
      </c>
      <c r="I122">
        <v>50</v>
      </c>
      <c r="J122">
        <v>5</v>
      </c>
      <c r="K122">
        <v>154</v>
      </c>
      <c r="L122">
        <v>60</v>
      </c>
      <c r="M122">
        <v>31</v>
      </c>
      <c r="N122">
        <v>1995</v>
      </c>
      <c r="O122">
        <v>0.27</v>
      </c>
      <c r="P122">
        <v>2.4700000000000002</v>
      </c>
      <c r="Q122">
        <v>1.4999999999999999E-2</v>
      </c>
      <c r="R122">
        <v>75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>
      <c r="A123">
        <v>402.0658901756475</v>
      </c>
      <c r="B123">
        <v>56</v>
      </c>
      <c r="C123">
        <v>5.0258236271955941</v>
      </c>
      <c r="D123">
        <v>453.10919999999999</v>
      </c>
      <c r="E123">
        <v>691.22198112132173</v>
      </c>
      <c r="F123">
        <v>176.2122</v>
      </c>
      <c r="G123">
        <v>78.044520000000006</v>
      </c>
      <c r="H123">
        <v>8</v>
      </c>
      <c r="I123">
        <v>63</v>
      </c>
      <c r="J123">
        <v>4</v>
      </c>
      <c r="K123">
        <v>180</v>
      </c>
      <c r="L123">
        <v>46</v>
      </c>
      <c r="M123">
        <v>3</v>
      </c>
      <c r="N123">
        <v>1995</v>
      </c>
      <c r="O123">
        <v>0.27</v>
      </c>
      <c r="P123">
        <v>2.4700000000000002</v>
      </c>
      <c r="Q123">
        <v>1.4999999999999999E-2</v>
      </c>
      <c r="R123">
        <v>75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>
      <c r="A124">
        <v>400.63050791569492</v>
      </c>
      <c r="B124">
        <v>56</v>
      </c>
      <c r="C124">
        <v>5.007881348946186</v>
      </c>
      <c r="D124">
        <v>452.98528800000003</v>
      </c>
      <c r="E124">
        <v>690.59751037344404</v>
      </c>
      <c r="F124">
        <v>176.542644</v>
      </c>
      <c r="G124">
        <v>77.752644000000004</v>
      </c>
      <c r="H124">
        <v>9</v>
      </c>
      <c r="I124">
        <v>46</v>
      </c>
      <c r="J124">
        <v>4</v>
      </c>
      <c r="K124">
        <v>331</v>
      </c>
      <c r="L124">
        <v>57</v>
      </c>
      <c r="M124">
        <v>11</v>
      </c>
      <c r="N124">
        <v>1995</v>
      </c>
      <c r="O124">
        <v>0.27</v>
      </c>
      <c r="P124">
        <v>2.4700000000000002</v>
      </c>
      <c r="Q124">
        <v>1.4999999999999999E-2</v>
      </c>
      <c r="R124">
        <v>75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>
      <c r="A125">
        <v>400.46035900897778</v>
      </c>
      <c r="B125">
        <v>56.000000000000007</v>
      </c>
      <c r="C125">
        <v>5.0057544876122222</v>
      </c>
      <c r="D125">
        <v>428.4</v>
      </c>
      <c r="E125">
        <v>688.79045540767174</v>
      </c>
      <c r="F125">
        <v>176.68799999999999</v>
      </c>
      <c r="G125">
        <v>77.681280000000001</v>
      </c>
      <c r="H125">
        <v>8</v>
      </c>
      <c r="I125">
        <v>62</v>
      </c>
      <c r="J125">
        <v>4</v>
      </c>
      <c r="K125">
        <v>123</v>
      </c>
      <c r="L125">
        <v>48</v>
      </c>
      <c r="M125">
        <v>3</v>
      </c>
      <c r="N125">
        <v>1995</v>
      </c>
      <c r="O125">
        <v>0.27</v>
      </c>
      <c r="P125">
        <v>2.4700000000000002</v>
      </c>
      <c r="Q125">
        <v>1.4999999999999999E-2</v>
      </c>
      <c r="R125">
        <v>75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>
      <c r="A126">
        <v>400.2593388376489</v>
      </c>
      <c r="B126">
        <v>56.000000000000007</v>
      </c>
      <c r="C126">
        <v>5.0032417354706116</v>
      </c>
      <c r="D126">
        <v>422.7766400000001</v>
      </c>
      <c r="E126">
        <v>692.52282157676348</v>
      </c>
      <c r="F126">
        <v>176.30864</v>
      </c>
      <c r="G126">
        <v>77.721440000000001</v>
      </c>
      <c r="H126">
        <v>8</v>
      </c>
      <c r="I126">
        <v>47</v>
      </c>
      <c r="J126">
        <v>5</v>
      </c>
      <c r="K126">
        <v>263</v>
      </c>
      <c r="L126">
        <v>56</v>
      </c>
      <c r="M126">
        <v>28</v>
      </c>
      <c r="N126">
        <v>1995</v>
      </c>
      <c r="O126">
        <v>0.27</v>
      </c>
      <c r="P126">
        <v>2.4700000000000002</v>
      </c>
      <c r="Q126">
        <v>1.4999999999999999E-2</v>
      </c>
      <c r="R126">
        <v>75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>
      <c r="A127">
        <v>399.53877444533163</v>
      </c>
      <c r="B127">
        <v>56.000000000000007</v>
      </c>
      <c r="C127">
        <v>4.9942346805666444</v>
      </c>
      <c r="D127">
        <v>447.02688000000001</v>
      </c>
      <c r="E127">
        <v>688.07474395922077</v>
      </c>
      <c r="F127">
        <v>174.67344</v>
      </c>
      <c r="G127">
        <v>77.487359999999995</v>
      </c>
      <c r="H127">
        <v>6</v>
      </c>
      <c r="I127">
        <v>55</v>
      </c>
      <c r="J127">
        <v>6</v>
      </c>
      <c r="K127">
        <v>333</v>
      </c>
      <c r="L127">
        <v>58</v>
      </c>
      <c r="M127">
        <v>28</v>
      </c>
      <c r="N127">
        <v>1995</v>
      </c>
      <c r="O127">
        <v>0.27</v>
      </c>
      <c r="P127">
        <v>2.4700000000000002</v>
      </c>
      <c r="Q127">
        <v>1.4999999999999999E-2</v>
      </c>
      <c r="R127">
        <v>75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>
      <c r="A128">
        <v>398.87717556183412</v>
      </c>
      <c r="B128">
        <v>56</v>
      </c>
      <c r="C128">
        <v>4.9859646945229263</v>
      </c>
      <c r="D128">
        <v>450.57600000000002</v>
      </c>
      <c r="E128">
        <v>690.58024896265556</v>
      </c>
      <c r="F128">
        <v>175.33799999999999</v>
      </c>
      <c r="G128">
        <v>77.412000000000006</v>
      </c>
      <c r="H128">
        <v>9</v>
      </c>
      <c r="I128">
        <v>46</v>
      </c>
      <c r="J128">
        <v>4</v>
      </c>
      <c r="K128">
        <v>117</v>
      </c>
      <c r="L128">
        <v>61</v>
      </c>
      <c r="M128">
        <v>2</v>
      </c>
      <c r="N128">
        <v>1995</v>
      </c>
      <c r="O128">
        <v>0.27</v>
      </c>
      <c r="P128">
        <v>2.4700000000000002</v>
      </c>
      <c r="Q128">
        <v>1.4999999999999999E-2</v>
      </c>
      <c r="R128">
        <v>75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>
      <c r="A129">
        <v>398.6084723457455</v>
      </c>
      <c r="B129">
        <v>56.000000000000007</v>
      </c>
      <c r="C129">
        <v>4.9826059043218187</v>
      </c>
      <c r="D129">
        <v>496.13760000000002</v>
      </c>
      <c r="E129">
        <v>690.45849291384059</v>
      </c>
      <c r="F129">
        <v>176.364</v>
      </c>
      <c r="G129">
        <v>77.357280000000003</v>
      </c>
      <c r="H129">
        <v>8</v>
      </c>
      <c r="I129">
        <v>62</v>
      </c>
      <c r="J129">
        <v>4</v>
      </c>
      <c r="K129">
        <v>129</v>
      </c>
      <c r="L129">
        <v>46</v>
      </c>
      <c r="M129">
        <v>3</v>
      </c>
      <c r="N129">
        <v>1995</v>
      </c>
      <c r="O129">
        <v>0.27</v>
      </c>
      <c r="P129">
        <v>2.4700000000000002</v>
      </c>
      <c r="Q129">
        <v>1.4999999999999999E-2</v>
      </c>
      <c r="R129">
        <v>75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>
      <c r="A130">
        <v>398.57057397999552</v>
      </c>
      <c r="B130">
        <v>56</v>
      </c>
      <c r="C130">
        <v>4.9821321747499443</v>
      </c>
      <c r="D130">
        <v>640.69200000000001</v>
      </c>
      <c r="E130">
        <v>687.58770619404777</v>
      </c>
      <c r="F130">
        <v>172.1943</v>
      </c>
      <c r="G130">
        <v>77.289299999999997</v>
      </c>
      <c r="H130">
        <v>9</v>
      </c>
      <c r="I130">
        <v>57</v>
      </c>
      <c r="J130">
        <v>3</v>
      </c>
      <c r="K130">
        <v>148</v>
      </c>
      <c r="L130">
        <v>56</v>
      </c>
      <c r="M130">
        <v>36</v>
      </c>
      <c r="N130">
        <v>1995</v>
      </c>
      <c r="O130">
        <v>0.27</v>
      </c>
      <c r="P130">
        <v>2.4700000000000002</v>
      </c>
      <c r="Q130">
        <v>1.4999999999999999E-2</v>
      </c>
      <c r="R130">
        <v>75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>
      <c r="A131">
        <v>397.9369727922591</v>
      </c>
      <c r="B131">
        <v>56</v>
      </c>
      <c r="C131">
        <v>4.9742121599032387</v>
      </c>
      <c r="D131">
        <v>422.31414000000012</v>
      </c>
      <c r="E131">
        <v>691.97510373443981</v>
      </c>
      <c r="F131">
        <v>175.84613999999999</v>
      </c>
      <c r="G131">
        <v>77.258939999999996</v>
      </c>
      <c r="H131">
        <v>8</v>
      </c>
      <c r="I131">
        <v>47</v>
      </c>
      <c r="J131">
        <v>5</v>
      </c>
      <c r="K131">
        <v>267</v>
      </c>
      <c r="L131">
        <v>57</v>
      </c>
      <c r="M131">
        <v>26</v>
      </c>
      <c r="N131">
        <v>1995</v>
      </c>
      <c r="O131">
        <v>0.27</v>
      </c>
      <c r="P131">
        <v>2.4700000000000002</v>
      </c>
      <c r="Q131">
        <v>1.4999999999999999E-2</v>
      </c>
      <c r="R131">
        <v>75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>
      <c r="A132">
        <v>397.65830590586182</v>
      </c>
      <c r="B132">
        <v>56.000000000000007</v>
      </c>
      <c r="C132">
        <v>4.9707288238232712</v>
      </c>
      <c r="D132">
        <v>446.414016</v>
      </c>
      <c r="E132">
        <v>690.58517833856831</v>
      </c>
      <c r="F132">
        <v>174.367008</v>
      </c>
      <c r="G132">
        <v>77.175551999999996</v>
      </c>
      <c r="H132">
        <v>6</v>
      </c>
      <c r="I132">
        <v>55</v>
      </c>
      <c r="J132">
        <v>6</v>
      </c>
      <c r="K132">
        <v>85</v>
      </c>
      <c r="L132">
        <v>58</v>
      </c>
      <c r="M132">
        <v>28</v>
      </c>
      <c r="N132">
        <v>1995</v>
      </c>
      <c r="O132">
        <v>0.27</v>
      </c>
      <c r="P132">
        <v>2.4700000000000002</v>
      </c>
      <c r="Q132">
        <v>1.4999999999999999E-2</v>
      </c>
      <c r="R132">
        <v>75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>
      <c r="A133">
        <v>397.59195052667258</v>
      </c>
      <c r="B133">
        <v>56</v>
      </c>
      <c r="C133">
        <v>4.9698993815834083</v>
      </c>
      <c r="D133">
        <v>406.00644000000011</v>
      </c>
      <c r="E133">
        <v>687.74107883817419</v>
      </c>
      <c r="F133">
        <v>171.07524000000001</v>
      </c>
      <c r="G133">
        <v>77.102760000000004</v>
      </c>
      <c r="H133">
        <v>8</v>
      </c>
      <c r="I133">
        <v>56</v>
      </c>
      <c r="J133">
        <v>4</v>
      </c>
      <c r="K133">
        <v>203</v>
      </c>
      <c r="L133">
        <v>57</v>
      </c>
      <c r="M133">
        <v>34</v>
      </c>
      <c r="N133">
        <v>1995</v>
      </c>
      <c r="O133">
        <v>0.27</v>
      </c>
      <c r="P133">
        <v>2.4700000000000002</v>
      </c>
      <c r="Q133">
        <v>1.4999999999999999E-2</v>
      </c>
      <c r="R133">
        <v>75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>
      <c r="A134">
        <v>397.45010475350392</v>
      </c>
      <c r="B134">
        <v>56.000000000000007</v>
      </c>
      <c r="C134">
        <v>4.968126309418798</v>
      </c>
      <c r="D134">
        <v>430.08551999999997</v>
      </c>
      <c r="E134">
        <v>690.59917012448125</v>
      </c>
      <c r="F134">
        <v>168.89555999999999</v>
      </c>
      <c r="G134">
        <v>77.135440000000003</v>
      </c>
      <c r="H134">
        <v>8</v>
      </c>
      <c r="I134">
        <v>55</v>
      </c>
      <c r="J134">
        <v>4</v>
      </c>
      <c r="K134">
        <v>252</v>
      </c>
      <c r="L134">
        <v>58</v>
      </c>
      <c r="M134">
        <v>38</v>
      </c>
      <c r="N134">
        <v>1995</v>
      </c>
      <c r="O134">
        <v>0.27</v>
      </c>
      <c r="P134">
        <v>2.4700000000000002</v>
      </c>
      <c r="Q134">
        <v>1.4999999999999999E-2</v>
      </c>
      <c r="R134">
        <v>75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>
      <c r="A135">
        <v>397.36602405208629</v>
      </c>
      <c r="B135">
        <v>56</v>
      </c>
      <c r="C135">
        <v>4.9670753006510786</v>
      </c>
      <c r="D135">
        <v>493.59960000000001</v>
      </c>
      <c r="E135">
        <v>689.75933609958508</v>
      </c>
      <c r="F135">
        <v>176.40719999999999</v>
      </c>
      <c r="G135">
        <v>77.101439999999997</v>
      </c>
      <c r="H135">
        <v>8</v>
      </c>
      <c r="I135">
        <v>61</v>
      </c>
      <c r="J135">
        <v>4</v>
      </c>
      <c r="K135">
        <v>128</v>
      </c>
      <c r="L135">
        <v>48</v>
      </c>
      <c r="M135">
        <v>3</v>
      </c>
      <c r="N135">
        <v>1995</v>
      </c>
      <c r="O135">
        <v>0.27</v>
      </c>
      <c r="P135">
        <v>2.4700000000000002</v>
      </c>
      <c r="Q135">
        <v>1.4999999999999999E-2</v>
      </c>
      <c r="R135">
        <v>75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>
      <c r="A136">
        <v>397.14241215396021</v>
      </c>
      <c r="B136">
        <v>56</v>
      </c>
      <c r="C136">
        <v>4.9642801519245028</v>
      </c>
      <c r="D136">
        <v>441.65375999999998</v>
      </c>
      <c r="E136">
        <v>691.13692946058086</v>
      </c>
      <c r="F136">
        <v>172.58207999999999</v>
      </c>
      <c r="G136">
        <v>77.087040000000002</v>
      </c>
      <c r="H136">
        <v>8</v>
      </c>
      <c r="I136">
        <v>46</v>
      </c>
      <c r="J136">
        <v>5</v>
      </c>
      <c r="K136">
        <v>242</v>
      </c>
      <c r="L136">
        <v>58</v>
      </c>
      <c r="M136">
        <v>24</v>
      </c>
      <c r="N136">
        <v>1995</v>
      </c>
      <c r="O136">
        <v>0.27</v>
      </c>
      <c r="P136">
        <v>2.4700000000000002</v>
      </c>
      <c r="Q136">
        <v>1.4999999999999999E-2</v>
      </c>
      <c r="R136">
        <v>75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>
      <c r="A137">
        <v>397.14241215396021</v>
      </c>
      <c r="B137">
        <v>56</v>
      </c>
      <c r="C137">
        <v>4.9642801519245028</v>
      </c>
      <c r="D137">
        <v>441.65375999999998</v>
      </c>
      <c r="E137">
        <v>691.13692946058086</v>
      </c>
      <c r="F137">
        <v>172.58207999999999</v>
      </c>
      <c r="G137">
        <v>77.087040000000002</v>
      </c>
      <c r="H137">
        <v>8</v>
      </c>
      <c r="I137">
        <v>46</v>
      </c>
      <c r="J137">
        <v>5</v>
      </c>
      <c r="K137">
        <v>243</v>
      </c>
      <c r="L137">
        <v>58</v>
      </c>
      <c r="M137">
        <v>24</v>
      </c>
      <c r="N137">
        <v>1995</v>
      </c>
      <c r="O137">
        <v>0.27</v>
      </c>
      <c r="P137">
        <v>2.4700000000000002</v>
      </c>
      <c r="Q137">
        <v>1.4999999999999999E-2</v>
      </c>
      <c r="R137">
        <v>75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>
      <c r="A138">
        <v>405.86245128792962</v>
      </c>
      <c r="B138">
        <v>57.235294117647072</v>
      </c>
      <c r="C138">
        <v>4.9637853754638881</v>
      </c>
      <c r="D138">
        <v>471.54664999999989</v>
      </c>
      <c r="E138">
        <v>688.72302311246301</v>
      </c>
      <c r="F138">
        <v>173.752421</v>
      </c>
      <c r="G138">
        <v>78.727727500000015</v>
      </c>
      <c r="H138">
        <v>6</v>
      </c>
      <c r="I138">
        <v>54</v>
      </c>
      <c r="J138">
        <v>6</v>
      </c>
      <c r="K138">
        <v>77</v>
      </c>
      <c r="L138">
        <v>59</v>
      </c>
      <c r="M138">
        <v>41</v>
      </c>
      <c r="N138">
        <v>1995</v>
      </c>
      <c r="O138">
        <v>0.27</v>
      </c>
      <c r="P138">
        <v>2.4700000000000002</v>
      </c>
      <c r="Q138">
        <v>1.4999999999999999E-2</v>
      </c>
      <c r="R138">
        <v>75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>
      <c r="A139">
        <v>396.9840026541977</v>
      </c>
      <c r="B139">
        <v>56.000000000000007</v>
      </c>
      <c r="C139">
        <v>4.9623000331774696</v>
      </c>
      <c r="D139">
        <v>428.57279999999997</v>
      </c>
      <c r="E139">
        <v>689.17571129209273</v>
      </c>
      <c r="F139">
        <v>176.86080000000001</v>
      </c>
      <c r="G139">
        <v>77.015040000000013</v>
      </c>
      <c r="H139">
        <v>8</v>
      </c>
      <c r="I139">
        <v>61</v>
      </c>
      <c r="J139">
        <v>4</v>
      </c>
      <c r="K139">
        <v>231</v>
      </c>
      <c r="L139">
        <v>46</v>
      </c>
      <c r="M139">
        <v>3</v>
      </c>
      <c r="N139">
        <v>1995</v>
      </c>
      <c r="O139">
        <v>0.27</v>
      </c>
      <c r="P139">
        <v>2.4700000000000002</v>
      </c>
      <c r="Q139">
        <v>1.4999999999999999E-2</v>
      </c>
      <c r="R139">
        <v>75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>
      <c r="A140">
        <v>405.6442159499523</v>
      </c>
      <c r="B140">
        <v>57.235294117647072</v>
      </c>
      <c r="C140">
        <v>4.9611163101792721</v>
      </c>
      <c r="D140">
        <v>471.42570000000001</v>
      </c>
      <c r="E140">
        <v>688.72302311246301</v>
      </c>
      <c r="F140">
        <v>173.711298</v>
      </c>
      <c r="G140">
        <v>78.685395</v>
      </c>
      <c r="H140">
        <v>6</v>
      </c>
      <c r="I140">
        <v>54</v>
      </c>
      <c r="J140">
        <v>6</v>
      </c>
      <c r="K140">
        <v>312</v>
      </c>
      <c r="L140">
        <v>59</v>
      </c>
      <c r="M140">
        <v>41</v>
      </c>
      <c r="N140">
        <v>1995</v>
      </c>
      <c r="O140">
        <v>0.27</v>
      </c>
      <c r="P140">
        <v>2.4700000000000002</v>
      </c>
      <c r="Q140">
        <v>1.4999999999999999E-2</v>
      </c>
      <c r="R140">
        <v>75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>
      <c r="A141">
        <v>396.7992740958382</v>
      </c>
      <c r="B141">
        <v>56</v>
      </c>
      <c r="C141">
        <v>4.9599909261979791</v>
      </c>
      <c r="D141">
        <v>478.25279999999998</v>
      </c>
      <c r="E141">
        <v>690.35518672199169</v>
      </c>
      <c r="F141">
        <v>176.19839999999999</v>
      </c>
      <c r="G141">
        <v>77.004000000000019</v>
      </c>
      <c r="H141">
        <v>8</v>
      </c>
      <c r="I141">
        <v>49</v>
      </c>
      <c r="J141">
        <v>5</v>
      </c>
      <c r="K141">
        <v>176</v>
      </c>
      <c r="L141">
        <v>58</v>
      </c>
      <c r="M141">
        <v>4</v>
      </c>
      <c r="N141">
        <v>1995</v>
      </c>
      <c r="O141">
        <v>0.27</v>
      </c>
      <c r="P141">
        <v>2.4700000000000002</v>
      </c>
      <c r="Q141">
        <v>1.4999999999999999E-2</v>
      </c>
      <c r="R141">
        <v>75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>
      <c r="A142">
        <v>396.4416239259445</v>
      </c>
      <c r="B142">
        <v>56</v>
      </c>
      <c r="C142">
        <v>4.9555202990743066</v>
      </c>
      <c r="D142">
        <v>532.37639999999999</v>
      </c>
      <c r="E142">
        <v>689.06058091286309</v>
      </c>
      <c r="F142">
        <v>176.52959999999999</v>
      </c>
      <c r="G142">
        <v>76.90740000000001</v>
      </c>
      <c r="H142">
        <v>7</v>
      </c>
      <c r="I142">
        <v>49</v>
      </c>
      <c r="J142">
        <v>6</v>
      </c>
      <c r="K142">
        <v>111</v>
      </c>
      <c r="L142">
        <v>59</v>
      </c>
      <c r="M142">
        <v>11</v>
      </c>
      <c r="N142">
        <v>1995</v>
      </c>
      <c r="O142">
        <v>0.27</v>
      </c>
      <c r="P142">
        <v>2.4700000000000002</v>
      </c>
      <c r="Q142">
        <v>1.4999999999999999E-2</v>
      </c>
      <c r="R142">
        <v>75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>
      <c r="A143">
        <v>396.2524991690741</v>
      </c>
      <c r="B143">
        <v>56.000000000000007</v>
      </c>
      <c r="C143">
        <v>4.9531562396134259</v>
      </c>
      <c r="D143">
        <v>474.90816000000001</v>
      </c>
      <c r="E143">
        <v>690.58517833856831</v>
      </c>
      <c r="F143">
        <v>174.58271999999999</v>
      </c>
      <c r="G143">
        <v>76.902720000000002</v>
      </c>
      <c r="H143">
        <v>6</v>
      </c>
      <c r="I143">
        <v>55</v>
      </c>
      <c r="J143">
        <v>6</v>
      </c>
      <c r="K143">
        <v>41</v>
      </c>
      <c r="L143">
        <v>58</v>
      </c>
      <c r="M143">
        <v>28</v>
      </c>
      <c r="N143">
        <v>1995</v>
      </c>
      <c r="O143">
        <v>0.27</v>
      </c>
      <c r="P143">
        <v>2.4700000000000002</v>
      </c>
      <c r="Q143">
        <v>1.4999999999999999E-2</v>
      </c>
      <c r="R143">
        <v>75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>
      <c r="A144">
        <v>396.01856435586689</v>
      </c>
      <c r="B144">
        <v>56.000000000000007</v>
      </c>
      <c r="C144">
        <v>4.9502320544483371</v>
      </c>
      <c r="D144">
        <v>451.68119999999999</v>
      </c>
      <c r="E144">
        <v>688.95435684647305</v>
      </c>
      <c r="F144">
        <v>175.89060000000001</v>
      </c>
      <c r="G144">
        <v>76.823100000000011</v>
      </c>
      <c r="H144">
        <v>9</v>
      </c>
      <c r="I144">
        <v>61</v>
      </c>
      <c r="J144">
        <v>3</v>
      </c>
      <c r="K144">
        <v>177</v>
      </c>
      <c r="L144">
        <v>46</v>
      </c>
      <c r="M144">
        <v>3</v>
      </c>
      <c r="N144">
        <v>1995</v>
      </c>
      <c r="O144">
        <v>0.27</v>
      </c>
      <c r="P144">
        <v>2.4700000000000002</v>
      </c>
      <c r="Q144">
        <v>1.4999999999999999E-2</v>
      </c>
      <c r="R144">
        <v>75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>
      <c r="A145">
        <v>404.6070462956082</v>
      </c>
      <c r="B145">
        <v>57.358208955223901</v>
      </c>
      <c r="C145">
        <v>4.9378273409482221</v>
      </c>
      <c r="D145">
        <v>474.09384</v>
      </c>
      <c r="E145">
        <v>691.66107878686023</v>
      </c>
      <c r="F145">
        <v>174.45023639999999</v>
      </c>
      <c r="G145">
        <v>78.547194000000005</v>
      </c>
      <c r="H145">
        <v>6</v>
      </c>
      <c r="I145">
        <v>55</v>
      </c>
      <c r="J145">
        <v>6</v>
      </c>
      <c r="K145">
        <v>316</v>
      </c>
      <c r="L145">
        <v>58</v>
      </c>
      <c r="M145">
        <v>34</v>
      </c>
      <c r="N145">
        <v>1995</v>
      </c>
      <c r="O145">
        <v>0.27</v>
      </c>
      <c r="P145">
        <v>2.4700000000000002</v>
      </c>
      <c r="Q145">
        <v>1.4999999999999999E-2</v>
      </c>
      <c r="R145">
        <v>75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>
      <c r="A146">
        <v>394.41327537681133</v>
      </c>
      <c r="B146">
        <v>56</v>
      </c>
      <c r="C146">
        <v>4.9301659422101416</v>
      </c>
      <c r="D146">
        <v>481.31054999999998</v>
      </c>
      <c r="E146">
        <v>689.9668049792532</v>
      </c>
      <c r="F146">
        <v>177.21764999999999</v>
      </c>
      <c r="G146">
        <v>76.53285000000001</v>
      </c>
      <c r="H146">
        <v>8</v>
      </c>
      <c r="I146">
        <v>48</v>
      </c>
      <c r="J146">
        <v>5</v>
      </c>
      <c r="K146">
        <v>99</v>
      </c>
      <c r="L146">
        <v>55</v>
      </c>
      <c r="M146">
        <v>11</v>
      </c>
      <c r="N146">
        <v>1995</v>
      </c>
      <c r="O146">
        <v>0.27</v>
      </c>
      <c r="P146">
        <v>2.4700000000000002</v>
      </c>
      <c r="Q146">
        <v>1.4999999999999999E-2</v>
      </c>
      <c r="R146">
        <v>75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>
      <c r="A147">
        <v>394.30173722276248</v>
      </c>
      <c r="B147">
        <v>56.000000000000007</v>
      </c>
      <c r="C147">
        <v>4.9287717152845314</v>
      </c>
      <c r="D147">
        <v>411.67872</v>
      </c>
      <c r="E147">
        <v>689.3614525451419</v>
      </c>
      <c r="F147">
        <v>171.91872000000001</v>
      </c>
      <c r="G147">
        <v>76.498559999999998</v>
      </c>
      <c r="H147">
        <v>6</v>
      </c>
      <c r="I147">
        <v>54</v>
      </c>
      <c r="J147">
        <v>6</v>
      </c>
      <c r="K147">
        <v>133</v>
      </c>
      <c r="L147">
        <v>59</v>
      </c>
      <c r="M147">
        <v>28</v>
      </c>
      <c r="N147">
        <v>1995</v>
      </c>
      <c r="O147">
        <v>0.27</v>
      </c>
      <c r="P147">
        <v>2.4700000000000002</v>
      </c>
      <c r="Q147">
        <v>1.4999999999999999E-2</v>
      </c>
      <c r="R147">
        <v>75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>
      <c r="A148">
        <v>390.10942916090443</v>
      </c>
      <c r="B148">
        <v>56</v>
      </c>
      <c r="C148">
        <v>4.8763678645113044</v>
      </c>
      <c r="D148">
        <v>450.17259999999999</v>
      </c>
      <c r="E148">
        <v>667.64315352697099</v>
      </c>
      <c r="F148">
        <v>175.13630000000001</v>
      </c>
      <c r="G148">
        <v>75.2363</v>
      </c>
      <c r="H148">
        <v>9</v>
      </c>
      <c r="I148">
        <v>60</v>
      </c>
      <c r="J148">
        <v>3</v>
      </c>
      <c r="K148">
        <v>1</v>
      </c>
      <c r="L148">
        <v>53</v>
      </c>
      <c r="M148">
        <v>5</v>
      </c>
      <c r="N148">
        <v>1995</v>
      </c>
      <c r="O148">
        <v>0.27</v>
      </c>
      <c r="P148">
        <v>2.4700000000000002</v>
      </c>
      <c r="Q148">
        <v>1.4999999999999999E-2</v>
      </c>
      <c r="R148">
        <v>75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>
      <c r="A149">
        <v>389.98958682032008</v>
      </c>
      <c r="B149">
        <v>56</v>
      </c>
      <c r="C149">
        <v>4.8748698352540023</v>
      </c>
      <c r="D149">
        <v>450.98</v>
      </c>
      <c r="E149">
        <v>688.29875518672202</v>
      </c>
      <c r="F149">
        <v>175.54</v>
      </c>
      <c r="G149">
        <v>75.64</v>
      </c>
      <c r="H149">
        <v>9</v>
      </c>
      <c r="I149">
        <v>60</v>
      </c>
      <c r="J149">
        <v>3</v>
      </c>
      <c r="K149">
        <v>65</v>
      </c>
      <c r="L149">
        <v>50</v>
      </c>
      <c r="M149">
        <v>2</v>
      </c>
      <c r="N149">
        <v>1995</v>
      </c>
      <c r="O149">
        <v>0.27</v>
      </c>
      <c r="P149">
        <v>2.4700000000000002</v>
      </c>
      <c r="Q149">
        <v>1.4999999999999999E-2</v>
      </c>
      <c r="R149">
        <v>75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>
      <c r="A150">
        <v>387.25656762528598</v>
      </c>
      <c r="B150">
        <v>56</v>
      </c>
      <c r="C150">
        <v>4.840707095316076</v>
      </c>
      <c r="D150">
        <v>424.85399999999998</v>
      </c>
      <c r="E150">
        <v>692.88387544631917</v>
      </c>
      <c r="F150">
        <v>175.10400000000001</v>
      </c>
      <c r="G150">
        <v>75.203999999999994</v>
      </c>
      <c r="H150">
        <v>9</v>
      </c>
      <c r="I150">
        <v>60</v>
      </c>
      <c r="J150">
        <v>3</v>
      </c>
      <c r="K150">
        <v>118</v>
      </c>
      <c r="L150">
        <v>46</v>
      </c>
      <c r="M150">
        <v>3</v>
      </c>
      <c r="N150">
        <v>1995</v>
      </c>
      <c r="O150">
        <v>0.27</v>
      </c>
      <c r="P150">
        <v>2.4700000000000002</v>
      </c>
      <c r="Q150">
        <v>1.4999999999999999E-2</v>
      </c>
      <c r="R150">
        <v>75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>
      <c r="A151">
        <v>387.16503696293142</v>
      </c>
      <c r="B151">
        <v>56</v>
      </c>
      <c r="C151">
        <v>4.8395629620366423</v>
      </c>
      <c r="D151">
        <v>449.97</v>
      </c>
      <c r="E151">
        <v>690.3867542092737</v>
      </c>
      <c r="F151">
        <v>175.035</v>
      </c>
      <c r="G151">
        <v>75.135000000000005</v>
      </c>
      <c r="H151">
        <v>9</v>
      </c>
      <c r="I151">
        <v>60</v>
      </c>
      <c r="J151">
        <v>3</v>
      </c>
      <c r="K151">
        <v>47</v>
      </c>
      <c r="L151">
        <v>46</v>
      </c>
      <c r="M151">
        <v>3</v>
      </c>
      <c r="N151">
        <v>1995</v>
      </c>
      <c r="O151">
        <v>0.27</v>
      </c>
      <c r="P151">
        <v>2.4700000000000002</v>
      </c>
      <c r="Q151">
        <v>1.4999999999999999E-2</v>
      </c>
      <c r="R151">
        <v>75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>
      <c r="A152">
        <v>386.93133465407152</v>
      </c>
      <c r="B152">
        <v>56</v>
      </c>
      <c r="C152">
        <v>4.8366416831758938</v>
      </c>
      <c r="D152">
        <v>475.04160000000002</v>
      </c>
      <c r="E152">
        <v>690.75518672199178</v>
      </c>
      <c r="F152">
        <v>174.99719999999999</v>
      </c>
      <c r="G152">
        <v>75.097200000000001</v>
      </c>
      <c r="H152">
        <v>9</v>
      </c>
      <c r="I152">
        <v>45</v>
      </c>
      <c r="J152">
        <v>4</v>
      </c>
      <c r="K152">
        <v>75</v>
      </c>
      <c r="L152">
        <v>52</v>
      </c>
      <c r="M152">
        <v>2</v>
      </c>
      <c r="N152">
        <v>1995</v>
      </c>
      <c r="O152">
        <v>0.27</v>
      </c>
      <c r="P152">
        <v>2.4700000000000002</v>
      </c>
      <c r="Q152">
        <v>1.4999999999999999E-2</v>
      </c>
      <c r="R152">
        <v>75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>
      <c r="A153">
        <v>399.75847143520059</v>
      </c>
      <c r="B153">
        <v>58.624999999999993</v>
      </c>
      <c r="C153">
        <v>4.7732354798232919</v>
      </c>
      <c r="D153">
        <v>457.23576000000003</v>
      </c>
      <c r="E153">
        <v>690.94107883817423</v>
      </c>
      <c r="F153">
        <v>176.67264</v>
      </c>
      <c r="G153">
        <v>77.590680000000006</v>
      </c>
      <c r="H153">
        <v>8</v>
      </c>
      <c r="I153">
        <v>48</v>
      </c>
      <c r="J153">
        <v>5</v>
      </c>
      <c r="K153">
        <v>254</v>
      </c>
      <c r="L153">
        <v>57</v>
      </c>
      <c r="M153">
        <v>19</v>
      </c>
      <c r="N153">
        <v>1995</v>
      </c>
      <c r="O153">
        <v>0.27</v>
      </c>
      <c r="P153">
        <v>2.4700000000000002</v>
      </c>
      <c r="Q153">
        <v>1.4999999999999999E-2</v>
      </c>
      <c r="R153">
        <v>75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>
      <c r="A154">
        <v>437.48501650565419</v>
      </c>
      <c r="B154">
        <v>68.600000000000009</v>
      </c>
      <c r="C154">
        <v>4.4641328214862677</v>
      </c>
      <c r="D154">
        <v>489.61920000000009</v>
      </c>
      <c r="E154">
        <v>685.61004958855801</v>
      </c>
      <c r="F154">
        <v>189.22319999999999</v>
      </c>
      <c r="G154">
        <v>84.789600000000007</v>
      </c>
      <c r="H154">
        <v>8</v>
      </c>
      <c r="I154">
        <v>53</v>
      </c>
      <c r="J154">
        <v>5</v>
      </c>
      <c r="K154">
        <v>325</v>
      </c>
      <c r="L154">
        <v>60</v>
      </c>
      <c r="M154">
        <v>26</v>
      </c>
      <c r="N154">
        <v>1995</v>
      </c>
      <c r="O154">
        <v>0.27</v>
      </c>
      <c r="P154">
        <v>2.4700000000000002</v>
      </c>
      <c r="Q154">
        <v>1.4999999999999999E-2</v>
      </c>
      <c r="R154">
        <v>75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>
      <c r="A155">
        <v>417.94562691279617</v>
      </c>
      <c r="B155">
        <v>68.599999999999994</v>
      </c>
      <c r="C155">
        <v>4.2647512950285336</v>
      </c>
      <c r="D155">
        <v>469.09440000000001</v>
      </c>
      <c r="E155">
        <v>691.60327870745198</v>
      </c>
      <c r="F155">
        <v>181.2672</v>
      </c>
      <c r="G155">
        <v>81.135360000000006</v>
      </c>
      <c r="H155">
        <v>9</v>
      </c>
      <c r="I155">
        <v>48</v>
      </c>
      <c r="J155">
        <v>4</v>
      </c>
      <c r="K155">
        <v>325</v>
      </c>
      <c r="L155">
        <v>62</v>
      </c>
      <c r="M155">
        <v>24</v>
      </c>
      <c r="N155">
        <v>1995</v>
      </c>
      <c r="O155">
        <v>0.27</v>
      </c>
      <c r="P155">
        <v>2.4700000000000002</v>
      </c>
      <c r="Q155">
        <v>1.4999999999999999E-2</v>
      </c>
      <c r="R155">
        <v>75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>
      <c r="A156">
        <v>437.83675434957598</v>
      </c>
      <c r="B156">
        <v>73.381443298969089</v>
      </c>
      <c r="C156">
        <v>4.1766107924046363</v>
      </c>
      <c r="D156">
        <v>370.34724299999999</v>
      </c>
      <c r="E156">
        <v>693.21561305145701</v>
      </c>
      <c r="F156">
        <v>191.25755670000001</v>
      </c>
      <c r="G156">
        <v>85.034207999999992</v>
      </c>
      <c r="H156">
        <v>52</v>
      </c>
      <c r="I156">
        <v>56</v>
      </c>
      <c r="J156">
        <v>12</v>
      </c>
      <c r="K156">
        <v>79</v>
      </c>
      <c r="L156">
        <v>57</v>
      </c>
      <c r="M156">
        <v>28</v>
      </c>
      <c r="N156">
        <v>1995</v>
      </c>
      <c r="O156">
        <v>0.27</v>
      </c>
      <c r="P156">
        <v>2.4700000000000002</v>
      </c>
      <c r="Q156">
        <v>1.4999999999999999E-2</v>
      </c>
      <c r="R156">
        <v>75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>
      <c r="A157">
        <v>442.69518705955988</v>
      </c>
      <c r="B157">
        <v>74.666666666666657</v>
      </c>
      <c r="C157">
        <v>4.1502673786833748</v>
      </c>
      <c r="D157">
        <v>387.21</v>
      </c>
      <c r="E157">
        <v>692.96852533007529</v>
      </c>
      <c r="F157">
        <v>216.85865999999999</v>
      </c>
      <c r="G157">
        <v>85.971989999999991</v>
      </c>
      <c r="H157">
        <v>164</v>
      </c>
      <c r="I157">
        <v>49</v>
      </c>
      <c r="J157">
        <v>6</v>
      </c>
      <c r="K157">
        <v>82</v>
      </c>
      <c r="L157">
        <v>57</v>
      </c>
      <c r="M157">
        <v>46</v>
      </c>
      <c r="N157">
        <v>1995</v>
      </c>
      <c r="O157">
        <v>0.27</v>
      </c>
      <c r="P157">
        <v>2.4700000000000002</v>
      </c>
      <c r="Q157">
        <v>1.4999999999999999E-2</v>
      </c>
      <c r="R157">
        <v>75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>
      <c r="A158">
        <v>404.66089153842188</v>
      </c>
      <c r="B158">
        <v>68.599999999999994</v>
      </c>
      <c r="C158">
        <v>4.1291927708002252</v>
      </c>
      <c r="D158">
        <v>441.36959999999999</v>
      </c>
      <c r="E158">
        <v>690.74846202347737</v>
      </c>
      <c r="F158">
        <v>170.95679999999999</v>
      </c>
      <c r="G158">
        <v>78.538080000000008</v>
      </c>
      <c r="H158">
        <v>6</v>
      </c>
      <c r="I158">
        <v>56</v>
      </c>
      <c r="J158">
        <v>6</v>
      </c>
      <c r="K158">
        <v>325</v>
      </c>
      <c r="L158">
        <v>57</v>
      </c>
      <c r="M158">
        <v>27</v>
      </c>
      <c r="N158">
        <v>1995</v>
      </c>
      <c r="O158">
        <v>0.27</v>
      </c>
      <c r="P158">
        <v>2.4700000000000002</v>
      </c>
      <c r="Q158">
        <v>1.4999999999999999E-2</v>
      </c>
      <c r="R158">
        <v>75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>
      <c r="A159">
        <v>432.32477013078483</v>
      </c>
      <c r="B159">
        <v>73.38144329896906</v>
      </c>
      <c r="C159">
        <v>4.1240308923686841</v>
      </c>
      <c r="D159">
        <v>530.37178500000005</v>
      </c>
      <c r="E159">
        <v>688.34617572861055</v>
      </c>
      <c r="F159">
        <v>186.75133650000001</v>
      </c>
      <c r="G159">
        <v>83.852159999999998</v>
      </c>
      <c r="H159">
        <v>8</v>
      </c>
      <c r="I159">
        <v>53</v>
      </c>
      <c r="J159">
        <v>5</v>
      </c>
      <c r="K159">
        <v>79</v>
      </c>
      <c r="L159">
        <v>60</v>
      </c>
      <c r="M159">
        <v>27</v>
      </c>
      <c r="N159">
        <v>1995</v>
      </c>
      <c r="O159">
        <v>0.27</v>
      </c>
      <c r="P159">
        <v>2.4700000000000002</v>
      </c>
      <c r="Q159">
        <v>1.4999999999999999E-2</v>
      </c>
      <c r="R159">
        <v>75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>
      <c r="A160">
        <v>413.77797321204139</v>
      </c>
      <c r="B160">
        <v>73.381443298969089</v>
      </c>
      <c r="C160">
        <v>3.947109353905256</v>
      </c>
      <c r="D160">
        <v>501.24235049999999</v>
      </c>
      <c r="E160">
        <v>690.22934916540999</v>
      </c>
      <c r="F160">
        <v>176.08254844999999</v>
      </c>
      <c r="G160">
        <v>80.296175999999988</v>
      </c>
      <c r="H160">
        <v>9</v>
      </c>
      <c r="I160">
        <v>47</v>
      </c>
      <c r="J160">
        <v>4</v>
      </c>
      <c r="K160">
        <v>79</v>
      </c>
      <c r="L160">
        <v>62</v>
      </c>
      <c r="M160">
        <v>26</v>
      </c>
      <c r="N160">
        <v>1995</v>
      </c>
      <c r="O160">
        <v>0.27</v>
      </c>
      <c r="P160">
        <v>2.4700000000000002</v>
      </c>
      <c r="Q160">
        <v>1.4999999999999999E-2</v>
      </c>
      <c r="R160">
        <v>75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>
      <c r="A161">
        <v>427.20390037987619</v>
      </c>
      <c r="B161">
        <v>77</v>
      </c>
      <c r="C161">
        <v>3.8836718216352391</v>
      </c>
      <c r="D161">
        <v>395.16399999999999</v>
      </c>
      <c r="E161">
        <v>689.88650756336142</v>
      </c>
      <c r="F161">
        <v>177.22319999999999</v>
      </c>
      <c r="G161">
        <v>82.893799999999999</v>
      </c>
      <c r="H161">
        <v>52</v>
      </c>
      <c r="I161">
        <v>56</v>
      </c>
      <c r="J161">
        <v>11</v>
      </c>
      <c r="K161">
        <v>87</v>
      </c>
      <c r="L161">
        <v>57</v>
      </c>
      <c r="M161">
        <v>33</v>
      </c>
      <c r="N161">
        <v>1995</v>
      </c>
      <c r="O161">
        <v>0.27</v>
      </c>
      <c r="P161">
        <v>2.4700000000000002</v>
      </c>
      <c r="Q161">
        <v>1.4999999999999999E-2</v>
      </c>
      <c r="R161">
        <v>75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>
      <c r="A162">
        <v>409.97862667683938</v>
      </c>
      <c r="B162">
        <v>74.152284263959388</v>
      </c>
      <c r="C162">
        <v>3.8702117071971638</v>
      </c>
      <c r="D162">
        <v>416.68094400000001</v>
      </c>
      <c r="E162">
        <v>691.46267095961275</v>
      </c>
      <c r="F162">
        <v>166.24018079999999</v>
      </c>
      <c r="G162">
        <v>79.585680000000011</v>
      </c>
      <c r="H162">
        <v>8</v>
      </c>
      <c r="I162">
        <v>46</v>
      </c>
      <c r="J162">
        <v>5</v>
      </c>
      <c r="K162">
        <v>152</v>
      </c>
      <c r="L162">
        <v>58</v>
      </c>
      <c r="M162">
        <v>38</v>
      </c>
      <c r="N162">
        <v>1995</v>
      </c>
      <c r="O162">
        <v>0.27</v>
      </c>
      <c r="P162">
        <v>2.4700000000000002</v>
      </c>
      <c r="Q162">
        <v>1.4999999999999999E-2</v>
      </c>
      <c r="R162">
        <v>75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>
      <c r="A163">
        <v>422.67369972614421</v>
      </c>
      <c r="B163">
        <v>77</v>
      </c>
      <c r="C163">
        <v>3.842488179328583</v>
      </c>
      <c r="D163">
        <v>546.88800000000003</v>
      </c>
      <c r="E163">
        <v>690.89705194707744</v>
      </c>
      <c r="F163">
        <v>176.42519999999999</v>
      </c>
      <c r="G163">
        <v>82.037400000000005</v>
      </c>
      <c r="H163">
        <v>8</v>
      </c>
      <c r="I163">
        <v>50</v>
      </c>
      <c r="J163">
        <v>5</v>
      </c>
      <c r="K163">
        <v>87</v>
      </c>
      <c r="L163">
        <v>63</v>
      </c>
      <c r="M163">
        <v>29</v>
      </c>
      <c r="N163">
        <v>1995</v>
      </c>
      <c r="O163">
        <v>0.27</v>
      </c>
      <c r="P163">
        <v>2.4700000000000002</v>
      </c>
      <c r="Q163">
        <v>1.4999999999999999E-2</v>
      </c>
      <c r="R163">
        <v>75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>
      <c r="A164">
        <v>398.06754179897302</v>
      </c>
      <c r="B164">
        <v>73.381443298969089</v>
      </c>
      <c r="C164">
        <v>3.7972444630725279</v>
      </c>
      <c r="D164">
        <v>475.13124299999998</v>
      </c>
      <c r="E164">
        <v>686.81952676954688</v>
      </c>
      <c r="F164">
        <v>166.21595669999999</v>
      </c>
      <c r="G164">
        <v>77.175551999999996</v>
      </c>
      <c r="H164">
        <v>6</v>
      </c>
      <c r="I164">
        <v>55</v>
      </c>
      <c r="J164">
        <v>6</v>
      </c>
      <c r="K164">
        <v>79</v>
      </c>
      <c r="L164">
        <v>58</v>
      </c>
      <c r="M164">
        <v>28</v>
      </c>
      <c r="N164">
        <v>1995</v>
      </c>
      <c r="O164">
        <v>0.27</v>
      </c>
      <c r="P164">
        <v>2.4700000000000002</v>
      </c>
      <c r="Q164">
        <v>1.4999999999999999E-2</v>
      </c>
      <c r="R164">
        <v>75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>
      <c r="A165">
        <v>397.93103627768397</v>
      </c>
      <c r="B165">
        <v>73.381443298969089</v>
      </c>
      <c r="C165">
        <v>3.795942310094794</v>
      </c>
      <c r="D165">
        <v>475.13124299999998</v>
      </c>
      <c r="E165">
        <v>688.07474395922077</v>
      </c>
      <c r="F165">
        <v>166.21595669999999</v>
      </c>
      <c r="G165">
        <v>77.175551999999996</v>
      </c>
      <c r="H165">
        <v>6</v>
      </c>
      <c r="I165">
        <v>55</v>
      </c>
      <c r="J165">
        <v>6</v>
      </c>
      <c r="K165">
        <v>78</v>
      </c>
      <c r="L165">
        <v>58</v>
      </c>
      <c r="M165">
        <v>28</v>
      </c>
      <c r="N165">
        <v>1995</v>
      </c>
      <c r="O165">
        <v>0.27</v>
      </c>
      <c r="P165">
        <v>2.4700000000000002</v>
      </c>
      <c r="Q165">
        <v>1.4999999999999999E-2</v>
      </c>
      <c r="R165">
        <v>75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>
      <c r="A166">
        <v>400.43254881349372</v>
      </c>
      <c r="B166">
        <v>74</v>
      </c>
      <c r="C166">
        <v>3.7878754617492651</v>
      </c>
      <c r="D166">
        <v>469.63799999999998</v>
      </c>
      <c r="E166">
        <v>689.3614525451419</v>
      </c>
      <c r="F166">
        <v>163.92779999999999</v>
      </c>
      <c r="G166">
        <v>77.688000000000002</v>
      </c>
      <c r="H166">
        <v>6</v>
      </c>
      <c r="I166">
        <v>54</v>
      </c>
      <c r="J166">
        <v>6</v>
      </c>
      <c r="K166">
        <v>116</v>
      </c>
      <c r="L166">
        <v>59</v>
      </c>
      <c r="M166">
        <v>28</v>
      </c>
      <c r="N166">
        <v>1995</v>
      </c>
      <c r="O166">
        <v>0.27</v>
      </c>
      <c r="P166">
        <v>2.4700000000000002</v>
      </c>
      <c r="Q166">
        <v>1.4999999999999999E-2</v>
      </c>
      <c r="R166">
        <v>75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>
      <c r="A167">
        <v>413.49628795773663</v>
      </c>
      <c r="B167">
        <v>77</v>
      </c>
      <c r="C167">
        <v>3.7590571632521508</v>
      </c>
      <c r="D167">
        <v>434.67099999999999</v>
      </c>
      <c r="E167">
        <v>688.76540462043999</v>
      </c>
      <c r="F167">
        <v>166.65595999999999</v>
      </c>
      <c r="G167">
        <v>80.209440000000001</v>
      </c>
      <c r="H167">
        <v>52</v>
      </c>
      <c r="I167">
        <v>57</v>
      </c>
      <c r="J167">
        <v>10</v>
      </c>
      <c r="K167">
        <v>82</v>
      </c>
      <c r="L167">
        <v>56</v>
      </c>
      <c r="M167">
        <v>47</v>
      </c>
      <c r="N167">
        <v>1995</v>
      </c>
      <c r="O167">
        <v>0.27</v>
      </c>
      <c r="P167">
        <v>2.4700000000000002</v>
      </c>
      <c r="Q167">
        <v>1.4999999999999999E-2</v>
      </c>
      <c r="R167">
        <v>75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>
      <c r="A168">
        <v>412.33454808255362</v>
      </c>
      <c r="B168">
        <v>77</v>
      </c>
      <c r="C168">
        <v>3.7484958916595792</v>
      </c>
      <c r="D168">
        <v>380.89049999999997</v>
      </c>
      <c r="E168">
        <v>688.56458731684916</v>
      </c>
      <c r="F168">
        <v>169.4367</v>
      </c>
      <c r="G168">
        <v>79.979699999999994</v>
      </c>
      <c r="H168">
        <v>53</v>
      </c>
      <c r="I168">
        <v>55</v>
      </c>
      <c r="J168">
        <v>11</v>
      </c>
      <c r="K168">
        <v>87</v>
      </c>
      <c r="L168">
        <v>58</v>
      </c>
      <c r="M168">
        <v>32</v>
      </c>
      <c r="N168">
        <v>1995</v>
      </c>
      <c r="O168">
        <v>0.27</v>
      </c>
      <c r="P168">
        <v>2.4700000000000002</v>
      </c>
      <c r="Q168">
        <v>1.4999999999999999E-2</v>
      </c>
      <c r="R168">
        <v>75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>
      <c r="A169">
        <v>413.8985292337527</v>
      </c>
      <c r="B169">
        <v>77.63959390862945</v>
      </c>
      <c r="C169">
        <v>3.7317167166612939</v>
      </c>
      <c r="D169">
        <v>437.51184000000001</v>
      </c>
      <c r="E169">
        <v>689.63501312934329</v>
      </c>
      <c r="F169">
        <v>172.64116799999999</v>
      </c>
      <c r="G169">
        <v>80.306536800000018</v>
      </c>
      <c r="H169">
        <v>8</v>
      </c>
      <c r="I169">
        <v>49</v>
      </c>
      <c r="J169">
        <v>5</v>
      </c>
      <c r="K169">
        <v>151</v>
      </c>
      <c r="L169">
        <v>62</v>
      </c>
      <c r="M169">
        <v>31</v>
      </c>
      <c r="N169">
        <v>1995</v>
      </c>
      <c r="O169">
        <v>0.27</v>
      </c>
      <c r="P169">
        <v>2.4700000000000002</v>
      </c>
      <c r="Q169">
        <v>1.4999999999999999E-2</v>
      </c>
      <c r="R169">
        <v>75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>
      <c r="A170">
        <v>409.98188005978147</v>
      </c>
      <c r="B170">
        <v>77</v>
      </c>
      <c r="C170">
        <v>3.7271080005434691</v>
      </c>
      <c r="D170">
        <v>574.73824000000002</v>
      </c>
      <c r="E170">
        <v>688.76540462043999</v>
      </c>
      <c r="F170">
        <v>164.61080000000001</v>
      </c>
      <c r="G170">
        <v>79.527720000000002</v>
      </c>
      <c r="H170">
        <v>8</v>
      </c>
      <c r="I170">
        <v>57</v>
      </c>
      <c r="J170">
        <v>4</v>
      </c>
      <c r="K170">
        <v>82</v>
      </c>
      <c r="L170">
        <v>56</v>
      </c>
      <c r="M170">
        <v>47</v>
      </c>
      <c r="N170">
        <v>1995</v>
      </c>
      <c r="O170">
        <v>0.27</v>
      </c>
      <c r="P170">
        <v>2.4700000000000002</v>
      </c>
      <c r="Q170">
        <v>1.4999999999999999E-2</v>
      </c>
      <c r="R170">
        <v>75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>
      <c r="A171">
        <v>441.71540821880308</v>
      </c>
      <c r="B171">
        <v>84</v>
      </c>
      <c r="C171">
        <v>3.6809617351566928</v>
      </c>
      <c r="D171">
        <v>371.78399999999999</v>
      </c>
      <c r="E171">
        <v>693.88650499766197</v>
      </c>
      <c r="F171">
        <v>188.7312</v>
      </c>
      <c r="G171">
        <v>85.803200000000018</v>
      </c>
      <c r="H171">
        <v>52</v>
      </c>
      <c r="I171">
        <v>56</v>
      </c>
      <c r="J171">
        <v>12</v>
      </c>
      <c r="K171">
        <v>81</v>
      </c>
      <c r="L171">
        <v>56</v>
      </c>
      <c r="M171">
        <v>28</v>
      </c>
      <c r="N171">
        <v>1995</v>
      </c>
      <c r="O171">
        <v>0.27</v>
      </c>
      <c r="P171">
        <v>2.4700000000000002</v>
      </c>
      <c r="Q171">
        <v>1.4999999999999999E-2</v>
      </c>
      <c r="R171">
        <v>75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>
      <c r="A172">
        <v>400.92026768987478</v>
      </c>
      <c r="B172">
        <v>77</v>
      </c>
      <c r="C172">
        <v>3.64472970627159</v>
      </c>
      <c r="D172">
        <v>422.40600000000001</v>
      </c>
      <c r="E172">
        <v>689.33168016759146</v>
      </c>
      <c r="F172">
        <v>159.65466000000001</v>
      </c>
      <c r="G172">
        <v>77.781989999999993</v>
      </c>
      <c r="H172">
        <v>53</v>
      </c>
      <c r="I172">
        <v>56</v>
      </c>
      <c r="J172">
        <v>10</v>
      </c>
      <c r="K172">
        <v>82</v>
      </c>
      <c r="L172">
        <v>57</v>
      </c>
      <c r="M172">
        <v>46</v>
      </c>
      <c r="N172">
        <v>1995</v>
      </c>
      <c r="O172">
        <v>0.27</v>
      </c>
      <c r="P172">
        <v>2.4700000000000002</v>
      </c>
      <c r="Q172">
        <v>1.4999999999999999E-2</v>
      </c>
      <c r="R172">
        <v>75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>
      <c r="A173">
        <v>436.3833592846496</v>
      </c>
      <c r="B173">
        <v>84</v>
      </c>
      <c r="C173">
        <v>3.636527994038746</v>
      </c>
      <c r="D173">
        <v>531.90795000000003</v>
      </c>
      <c r="E173">
        <v>689.18092607642325</v>
      </c>
      <c r="F173">
        <v>184.20255</v>
      </c>
      <c r="G173">
        <v>84.658649999999994</v>
      </c>
      <c r="H173">
        <v>8</v>
      </c>
      <c r="I173">
        <v>53</v>
      </c>
      <c r="J173">
        <v>5</v>
      </c>
      <c r="K173">
        <v>81</v>
      </c>
      <c r="L173">
        <v>59</v>
      </c>
      <c r="M173">
        <v>27</v>
      </c>
      <c r="N173">
        <v>1995</v>
      </c>
      <c r="O173">
        <v>0.27</v>
      </c>
      <c r="P173">
        <v>2.4700000000000002</v>
      </c>
      <c r="Q173">
        <v>1.4999999999999999E-2</v>
      </c>
      <c r="R173">
        <v>75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>
      <c r="A174">
        <v>396.65945554603502</v>
      </c>
      <c r="B174">
        <v>77.63959390862945</v>
      </c>
      <c r="C174">
        <v>3.5762889127033821</v>
      </c>
      <c r="D174">
        <v>407.42063999999999</v>
      </c>
      <c r="E174">
        <v>688.57838869818488</v>
      </c>
      <c r="F174">
        <v>161.817948</v>
      </c>
      <c r="G174">
        <v>76.939524000000006</v>
      </c>
      <c r="H174">
        <v>9</v>
      </c>
      <c r="I174">
        <v>57</v>
      </c>
      <c r="J174">
        <v>3</v>
      </c>
      <c r="K174">
        <v>151</v>
      </c>
      <c r="L174">
        <v>56</v>
      </c>
      <c r="M174">
        <v>35</v>
      </c>
      <c r="N174">
        <v>1995</v>
      </c>
      <c r="O174">
        <v>0.27</v>
      </c>
      <c r="P174">
        <v>2.4700000000000002</v>
      </c>
      <c r="Q174">
        <v>1.4999999999999999E-2</v>
      </c>
      <c r="R174">
        <v>75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>
      <c r="A175">
        <v>416.99069431325728</v>
      </c>
      <c r="B175">
        <v>84</v>
      </c>
      <c r="C175">
        <v>3.4749224526104792</v>
      </c>
      <c r="D175">
        <v>502.22250000000003</v>
      </c>
      <c r="E175">
        <v>689.96346572129187</v>
      </c>
      <c r="F175">
        <v>173.48249999999999</v>
      </c>
      <c r="G175">
        <v>80.913749999999993</v>
      </c>
      <c r="H175">
        <v>9</v>
      </c>
      <c r="I175">
        <v>47</v>
      </c>
      <c r="J175">
        <v>4</v>
      </c>
      <c r="K175">
        <v>81</v>
      </c>
      <c r="L175">
        <v>63</v>
      </c>
      <c r="M175">
        <v>25</v>
      </c>
      <c r="N175">
        <v>1995</v>
      </c>
      <c r="O175">
        <v>0.27</v>
      </c>
      <c r="P175">
        <v>2.4700000000000002</v>
      </c>
      <c r="Q175">
        <v>1.4999999999999999E-2</v>
      </c>
      <c r="R175">
        <v>75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>
      <c r="A176">
        <v>475.31935642135329</v>
      </c>
      <c r="B176">
        <v>98</v>
      </c>
      <c r="C176">
        <v>3.3951382601525228</v>
      </c>
      <c r="D176">
        <v>489.18527999999998</v>
      </c>
      <c r="E176">
        <v>689.73609958506222</v>
      </c>
      <c r="F176">
        <v>193.42367999999999</v>
      </c>
      <c r="G176">
        <v>92.226240000000018</v>
      </c>
      <c r="H176">
        <v>8</v>
      </c>
      <c r="I176">
        <v>47</v>
      </c>
      <c r="J176">
        <v>6</v>
      </c>
      <c r="K176">
        <v>320</v>
      </c>
      <c r="L176">
        <v>58</v>
      </c>
      <c r="M176">
        <v>44</v>
      </c>
      <c r="N176">
        <v>1995</v>
      </c>
      <c r="O176">
        <v>0.27</v>
      </c>
      <c r="P176">
        <v>2.4700000000000002</v>
      </c>
      <c r="Q176">
        <v>1.4999999999999999E-2</v>
      </c>
      <c r="R176">
        <v>75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>
      <c r="A177">
        <v>404.36935949457433</v>
      </c>
      <c r="B177">
        <v>84</v>
      </c>
      <c r="C177">
        <v>3.369744662454786</v>
      </c>
      <c r="D177">
        <v>476.45850000000002</v>
      </c>
      <c r="E177">
        <v>690.58517833856831</v>
      </c>
      <c r="F177">
        <v>163.6677</v>
      </c>
      <c r="G177">
        <v>78.477999999999994</v>
      </c>
      <c r="H177">
        <v>6</v>
      </c>
      <c r="I177">
        <v>55</v>
      </c>
      <c r="J177">
        <v>6</v>
      </c>
      <c r="K177">
        <v>81</v>
      </c>
      <c r="L177">
        <v>58</v>
      </c>
      <c r="M177">
        <v>28</v>
      </c>
      <c r="N177">
        <v>1995</v>
      </c>
      <c r="O177">
        <v>0.27</v>
      </c>
      <c r="P177">
        <v>2.4700000000000002</v>
      </c>
      <c r="Q177">
        <v>1.4999999999999999E-2</v>
      </c>
      <c r="R177">
        <v>75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>
      <c r="A178">
        <v>429.85973212851331</v>
      </c>
      <c r="B178">
        <v>90.63384615384615</v>
      </c>
      <c r="C178">
        <v>3.3199717904412269</v>
      </c>
      <c r="D178">
        <v>437.83920000000001</v>
      </c>
      <c r="E178">
        <v>690.88176037777362</v>
      </c>
      <c r="F178">
        <v>168.5772</v>
      </c>
      <c r="G178">
        <v>83.431800000000024</v>
      </c>
      <c r="H178">
        <v>8</v>
      </c>
      <c r="I178">
        <v>48</v>
      </c>
      <c r="J178">
        <v>5</v>
      </c>
      <c r="K178">
        <v>150</v>
      </c>
      <c r="L178">
        <v>62</v>
      </c>
      <c r="M178">
        <v>50</v>
      </c>
      <c r="N178">
        <v>1995</v>
      </c>
      <c r="O178">
        <v>0.27</v>
      </c>
      <c r="P178">
        <v>2.4700000000000002</v>
      </c>
      <c r="Q178">
        <v>1.4999999999999999E-2</v>
      </c>
      <c r="R178">
        <v>75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>
      <c r="A179">
        <v>454.23619047999222</v>
      </c>
      <c r="B179">
        <v>98.000000000000014</v>
      </c>
      <c r="C179">
        <v>3.2445442177142301</v>
      </c>
      <c r="D179">
        <v>459.55200000000002</v>
      </c>
      <c r="E179">
        <v>690.72199170124486</v>
      </c>
      <c r="F179">
        <v>182.05199999999999</v>
      </c>
      <c r="G179">
        <v>88.159199999999998</v>
      </c>
      <c r="H179">
        <v>9</v>
      </c>
      <c r="I179">
        <v>50</v>
      </c>
      <c r="J179">
        <v>4</v>
      </c>
      <c r="K179">
        <v>320</v>
      </c>
      <c r="L179">
        <v>60</v>
      </c>
      <c r="M179">
        <v>42</v>
      </c>
      <c r="N179">
        <v>1995</v>
      </c>
      <c r="O179">
        <v>0.27</v>
      </c>
      <c r="P179">
        <v>2.4700000000000002</v>
      </c>
      <c r="Q179">
        <v>1.4999999999999999E-2</v>
      </c>
      <c r="R179">
        <v>75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>
      <c r="A180">
        <v>410.7571717660183</v>
      </c>
      <c r="B180">
        <v>90.63384615384615</v>
      </c>
      <c r="C180">
        <v>3.1724353807974328</v>
      </c>
      <c r="D180">
        <v>414.29880000000003</v>
      </c>
      <c r="E180">
        <v>689.7093633280715</v>
      </c>
      <c r="F180">
        <v>159.6969</v>
      </c>
      <c r="G180">
        <v>79.698653999999991</v>
      </c>
      <c r="H180">
        <v>9</v>
      </c>
      <c r="I180">
        <v>57</v>
      </c>
      <c r="J180">
        <v>3</v>
      </c>
      <c r="K180">
        <v>150</v>
      </c>
      <c r="L180">
        <v>57</v>
      </c>
      <c r="M180">
        <v>53</v>
      </c>
      <c r="N180">
        <v>1995</v>
      </c>
      <c r="O180">
        <v>0.27</v>
      </c>
      <c r="P180">
        <v>2.4700000000000002</v>
      </c>
      <c r="Q180">
        <v>1.4999999999999999E-2</v>
      </c>
      <c r="R180">
        <v>75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>
      <c r="A181">
        <v>434.93872527957438</v>
      </c>
      <c r="B181">
        <v>98.000000000000014</v>
      </c>
      <c r="C181">
        <v>3.106705180568389</v>
      </c>
      <c r="D181">
        <v>438.47327999999999</v>
      </c>
      <c r="E181">
        <v>690.40331950207462</v>
      </c>
      <c r="F181">
        <v>174.29328000000001</v>
      </c>
      <c r="G181">
        <v>84.406559999999999</v>
      </c>
      <c r="H181">
        <v>6</v>
      </c>
      <c r="I181">
        <v>51</v>
      </c>
      <c r="J181">
        <v>7</v>
      </c>
      <c r="K181">
        <v>320</v>
      </c>
      <c r="L181">
        <v>58</v>
      </c>
      <c r="M181">
        <v>42</v>
      </c>
      <c r="N181">
        <v>1995</v>
      </c>
      <c r="O181">
        <v>0.27</v>
      </c>
      <c r="P181">
        <v>2.4700000000000002</v>
      </c>
      <c r="Q181">
        <v>1.4999999999999999E-2</v>
      </c>
      <c r="R181">
        <v>75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>
      <c r="A182">
        <v>441.90370308334388</v>
      </c>
      <c r="B182">
        <v>99.714285714285708</v>
      </c>
      <c r="C182">
        <v>3.1021893196395198</v>
      </c>
      <c r="D182">
        <v>481.66784999999999</v>
      </c>
      <c r="E182">
        <v>689.67634854771791</v>
      </c>
      <c r="F182">
        <v>183.91286249999999</v>
      </c>
      <c r="G182">
        <v>85.741200000000006</v>
      </c>
      <c r="H182">
        <v>8</v>
      </c>
      <c r="I182">
        <v>54</v>
      </c>
      <c r="J182">
        <v>5</v>
      </c>
      <c r="K182">
        <v>321</v>
      </c>
      <c r="L182">
        <v>56</v>
      </c>
      <c r="M182">
        <v>27</v>
      </c>
      <c r="N182">
        <v>1995</v>
      </c>
      <c r="O182">
        <v>0.27</v>
      </c>
      <c r="P182">
        <v>2.4700000000000002</v>
      </c>
      <c r="Q182">
        <v>1.4999999999999999E-2</v>
      </c>
      <c r="R182">
        <v>75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>
      <c r="A183">
        <v>440.14243248184192</v>
      </c>
      <c r="B183">
        <v>100.5846153846154</v>
      </c>
      <c r="C183">
        <v>3.063089733546009</v>
      </c>
      <c r="D183">
        <v>466.27620000000007</v>
      </c>
      <c r="E183">
        <v>691.21378114198001</v>
      </c>
      <c r="F183">
        <v>178.60050000000001</v>
      </c>
      <c r="G183">
        <v>85.435320000000004</v>
      </c>
      <c r="H183">
        <v>8</v>
      </c>
      <c r="I183">
        <v>52</v>
      </c>
      <c r="J183">
        <v>5</v>
      </c>
      <c r="K183">
        <v>149</v>
      </c>
      <c r="L183">
        <v>61</v>
      </c>
      <c r="M183">
        <v>42</v>
      </c>
      <c r="N183">
        <v>1995</v>
      </c>
      <c r="O183">
        <v>0.27</v>
      </c>
      <c r="P183">
        <v>2.4700000000000002</v>
      </c>
      <c r="Q183">
        <v>1.4999999999999999E-2</v>
      </c>
      <c r="R183">
        <v>75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>
      <c r="A184">
        <v>424.87004868704719</v>
      </c>
      <c r="B184">
        <v>98.000000000000014</v>
      </c>
      <c r="C184">
        <v>3.0347860620503369</v>
      </c>
      <c r="D184">
        <v>514.80960000000005</v>
      </c>
      <c r="E184">
        <v>690.51978507134891</v>
      </c>
      <c r="F184">
        <v>174.9496</v>
      </c>
      <c r="G184">
        <v>82.455199999999991</v>
      </c>
      <c r="H184">
        <v>8</v>
      </c>
      <c r="I184">
        <v>51</v>
      </c>
      <c r="J184">
        <v>5</v>
      </c>
      <c r="K184">
        <v>83</v>
      </c>
      <c r="L184">
        <v>62</v>
      </c>
      <c r="M184">
        <v>32</v>
      </c>
      <c r="N184">
        <v>1995</v>
      </c>
      <c r="O184">
        <v>0.27</v>
      </c>
      <c r="P184">
        <v>2.4700000000000002</v>
      </c>
      <c r="Q184">
        <v>1.4999999999999999E-2</v>
      </c>
      <c r="R184">
        <v>75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>
      <c r="A185">
        <v>423.54586155142039</v>
      </c>
      <c r="B185">
        <v>98</v>
      </c>
      <c r="C185">
        <v>3.0253275825101462</v>
      </c>
      <c r="D185">
        <v>456.58539999999999</v>
      </c>
      <c r="E185">
        <v>688.98631776573757</v>
      </c>
      <c r="F185">
        <v>174.8039</v>
      </c>
      <c r="G185">
        <v>82.163800000000009</v>
      </c>
      <c r="H185">
        <v>8</v>
      </c>
      <c r="I185">
        <v>51</v>
      </c>
      <c r="J185">
        <v>5</v>
      </c>
      <c r="K185">
        <v>66</v>
      </c>
      <c r="L185">
        <v>62</v>
      </c>
      <c r="M185">
        <v>25</v>
      </c>
      <c r="N185">
        <v>1995</v>
      </c>
      <c r="O185">
        <v>0.27</v>
      </c>
      <c r="P185">
        <v>2.4700000000000002</v>
      </c>
      <c r="Q185">
        <v>1.4999999999999999E-2</v>
      </c>
      <c r="R185">
        <v>75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>
      <c r="A186">
        <v>421.23184113321582</v>
      </c>
      <c r="B186">
        <v>98</v>
      </c>
      <c r="C186">
        <v>3.0087988652372561</v>
      </c>
      <c r="D186">
        <v>416.19288</v>
      </c>
      <c r="E186">
        <v>692.96763485477186</v>
      </c>
      <c r="F186">
        <v>165.99888000000001</v>
      </c>
      <c r="G186">
        <v>81.803760000000011</v>
      </c>
      <c r="H186">
        <v>7</v>
      </c>
      <c r="I186">
        <v>49</v>
      </c>
      <c r="J186">
        <v>6</v>
      </c>
      <c r="K186">
        <v>320</v>
      </c>
      <c r="L186">
        <v>57</v>
      </c>
      <c r="M186">
        <v>43</v>
      </c>
      <c r="N186">
        <v>1995</v>
      </c>
      <c r="O186">
        <v>0.27</v>
      </c>
      <c r="P186">
        <v>2.4700000000000002</v>
      </c>
      <c r="Q186">
        <v>1.4999999999999999E-2</v>
      </c>
      <c r="R186">
        <v>75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>
      <c r="A187">
        <v>436.93529062830987</v>
      </c>
      <c r="B187">
        <v>102.2352941176471</v>
      </c>
      <c r="C187">
        <v>2.9916743144285891</v>
      </c>
      <c r="D187">
        <v>524.97840000000008</v>
      </c>
      <c r="E187">
        <v>688.34617572861055</v>
      </c>
      <c r="F187">
        <v>180.40802400000001</v>
      </c>
      <c r="G187">
        <v>84.746399999999994</v>
      </c>
      <c r="H187">
        <v>8</v>
      </c>
      <c r="I187">
        <v>53</v>
      </c>
      <c r="J187">
        <v>5</v>
      </c>
      <c r="K187">
        <v>110</v>
      </c>
      <c r="L187">
        <v>60</v>
      </c>
      <c r="M187">
        <v>27</v>
      </c>
      <c r="N187">
        <v>1995</v>
      </c>
      <c r="O187">
        <v>0.27</v>
      </c>
      <c r="P187">
        <v>2.4700000000000002</v>
      </c>
      <c r="Q187">
        <v>1.4999999999999999E-2</v>
      </c>
      <c r="R187">
        <v>75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>
      <c r="A188">
        <v>418.08688967465241</v>
      </c>
      <c r="B188">
        <v>98.000000000000014</v>
      </c>
      <c r="C188">
        <v>2.9863349262475172</v>
      </c>
      <c r="D188">
        <v>492.09120000000001</v>
      </c>
      <c r="E188">
        <v>689.63581819196452</v>
      </c>
      <c r="F188">
        <v>165.91919999999999</v>
      </c>
      <c r="G188">
        <v>81.119200000000006</v>
      </c>
      <c r="H188">
        <v>8</v>
      </c>
      <c r="I188">
        <v>48</v>
      </c>
      <c r="J188">
        <v>5</v>
      </c>
      <c r="K188">
        <v>80</v>
      </c>
      <c r="L188">
        <v>62</v>
      </c>
      <c r="M188">
        <v>34</v>
      </c>
      <c r="N188">
        <v>1995</v>
      </c>
      <c r="O188">
        <v>0.27</v>
      </c>
      <c r="P188">
        <v>2.4700000000000002</v>
      </c>
      <c r="Q188">
        <v>1.4999999999999999E-2</v>
      </c>
      <c r="R188">
        <v>75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>
      <c r="A189">
        <v>416.23132541378197</v>
      </c>
      <c r="B189">
        <v>98.000000000000014</v>
      </c>
      <c r="C189">
        <v>2.9730808958127279</v>
      </c>
      <c r="D189">
        <v>440.01920000000001</v>
      </c>
      <c r="E189">
        <v>689.41931804988883</v>
      </c>
      <c r="F189">
        <v>168.61840000000001</v>
      </c>
      <c r="G189">
        <v>80.754400000000004</v>
      </c>
      <c r="H189">
        <v>8</v>
      </c>
      <c r="I189">
        <v>49</v>
      </c>
      <c r="J189">
        <v>5</v>
      </c>
      <c r="K189">
        <v>72</v>
      </c>
      <c r="L189">
        <v>62</v>
      </c>
      <c r="M189">
        <v>32</v>
      </c>
      <c r="N189">
        <v>1995</v>
      </c>
      <c r="O189">
        <v>0.27</v>
      </c>
      <c r="P189">
        <v>2.4700000000000002</v>
      </c>
      <c r="Q189">
        <v>1.4999999999999999E-2</v>
      </c>
      <c r="R189">
        <v>75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>
      <c r="A190">
        <v>415.97465950807322</v>
      </c>
      <c r="B190">
        <v>98</v>
      </c>
      <c r="C190">
        <v>2.9712475679148089</v>
      </c>
      <c r="D190">
        <v>499.04160000000002</v>
      </c>
      <c r="E190">
        <v>688.99266787211786</v>
      </c>
      <c r="F190">
        <v>168.82560000000001</v>
      </c>
      <c r="G190">
        <v>80.695200000000014</v>
      </c>
      <c r="H190">
        <v>8</v>
      </c>
      <c r="I190">
        <v>49</v>
      </c>
      <c r="J190">
        <v>5</v>
      </c>
      <c r="K190">
        <v>64</v>
      </c>
      <c r="L190">
        <v>60</v>
      </c>
      <c r="M190">
        <v>33</v>
      </c>
      <c r="N190">
        <v>1995</v>
      </c>
      <c r="O190">
        <v>0.27</v>
      </c>
      <c r="P190">
        <v>2.4700000000000002</v>
      </c>
      <c r="Q190">
        <v>1.4999999999999999E-2</v>
      </c>
      <c r="R190">
        <v>75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>
      <c r="A191">
        <v>422.06371367765632</v>
      </c>
      <c r="B191">
        <v>99.714285714285708</v>
      </c>
      <c r="C191">
        <v>2.9629114570494499</v>
      </c>
      <c r="D191">
        <v>453.69049999999999</v>
      </c>
      <c r="E191">
        <v>691.12033195020751</v>
      </c>
      <c r="F191">
        <v>173.29074499999999</v>
      </c>
      <c r="G191">
        <v>81.924000000000007</v>
      </c>
      <c r="H191">
        <v>9</v>
      </c>
      <c r="I191">
        <v>48</v>
      </c>
      <c r="J191">
        <v>4</v>
      </c>
      <c r="K191">
        <v>321</v>
      </c>
      <c r="L191">
        <v>62</v>
      </c>
      <c r="M191">
        <v>24</v>
      </c>
      <c r="N191">
        <v>1995</v>
      </c>
      <c r="O191">
        <v>0.27</v>
      </c>
      <c r="P191">
        <v>2.4700000000000002</v>
      </c>
      <c r="Q191">
        <v>1.4999999999999999E-2</v>
      </c>
      <c r="R191">
        <v>75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>
      <c r="A192">
        <v>406.10639328897969</v>
      </c>
      <c r="B192">
        <v>98</v>
      </c>
      <c r="C192">
        <v>2.9007599520641412</v>
      </c>
      <c r="D192">
        <v>427.97899999999998</v>
      </c>
      <c r="E192">
        <v>690.34746627548304</v>
      </c>
      <c r="F192">
        <v>164.0395</v>
      </c>
      <c r="G192">
        <v>78.81</v>
      </c>
      <c r="H192">
        <v>9</v>
      </c>
      <c r="I192">
        <v>45</v>
      </c>
      <c r="J192">
        <v>4</v>
      </c>
      <c r="K192">
        <v>66</v>
      </c>
      <c r="L192">
        <v>60</v>
      </c>
      <c r="M192">
        <v>26</v>
      </c>
      <c r="N192">
        <v>1995</v>
      </c>
      <c r="O192">
        <v>0.27</v>
      </c>
      <c r="P192">
        <v>2.4700000000000002</v>
      </c>
      <c r="Q192">
        <v>1.4999999999999999E-2</v>
      </c>
      <c r="R192">
        <v>75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>
      <c r="A193">
        <v>395.43323790292339</v>
      </c>
      <c r="B193">
        <v>96.214285714285708</v>
      </c>
      <c r="C193">
        <v>2.8769456061237189</v>
      </c>
      <c r="D193">
        <v>418.15125</v>
      </c>
      <c r="E193">
        <v>691.00414937759354</v>
      </c>
      <c r="F193">
        <v>208.80131249999999</v>
      </c>
      <c r="G193">
        <v>76.752499999999998</v>
      </c>
      <c r="H193">
        <v>22</v>
      </c>
      <c r="I193">
        <v>44</v>
      </c>
      <c r="J193">
        <v>4</v>
      </c>
      <c r="K193">
        <v>321</v>
      </c>
      <c r="L193">
        <v>58</v>
      </c>
      <c r="M193">
        <v>25</v>
      </c>
      <c r="N193">
        <v>1995</v>
      </c>
      <c r="O193">
        <v>0.27</v>
      </c>
      <c r="P193">
        <v>2.4700000000000002</v>
      </c>
      <c r="Q193">
        <v>1.4999999999999999E-2</v>
      </c>
      <c r="R193">
        <v>75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>
      <c r="A194">
        <v>418.36336680831232</v>
      </c>
      <c r="B194">
        <v>102.2352941176471</v>
      </c>
      <c r="C194">
        <v>2.8645132710120351</v>
      </c>
      <c r="D194">
        <v>497.2944</v>
      </c>
      <c r="E194">
        <v>690.22934916540999</v>
      </c>
      <c r="F194">
        <v>170.098848</v>
      </c>
      <c r="G194">
        <v>81.186000000000007</v>
      </c>
      <c r="H194">
        <v>9</v>
      </c>
      <c r="I194">
        <v>47</v>
      </c>
      <c r="J194">
        <v>4</v>
      </c>
      <c r="K194">
        <v>110</v>
      </c>
      <c r="L194">
        <v>62</v>
      </c>
      <c r="M194">
        <v>26</v>
      </c>
      <c r="N194">
        <v>1995</v>
      </c>
      <c r="O194">
        <v>0.27</v>
      </c>
      <c r="P194">
        <v>2.4700000000000002</v>
      </c>
      <c r="Q194">
        <v>1.4999999999999999E-2</v>
      </c>
      <c r="R194">
        <v>75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>
      <c r="A195">
        <v>400.40451681921797</v>
      </c>
      <c r="B195">
        <v>98.000000000000014</v>
      </c>
      <c r="C195">
        <v>2.8600322629944142</v>
      </c>
      <c r="D195">
        <v>470.37360000000001</v>
      </c>
      <c r="E195">
        <v>690.35784068160388</v>
      </c>
      <c r="F195">
        <v>157.48310000000001</v>
      </c>
      <c r="G195">
        <v>77.703699999999998</v>
      </c>
      <c r="H195">
        <v>9</v>
      </c>
      <c r="I195">
        <v>57</v>
      </c>
      <c r="J195">
        <v>3</v>
      </c>
      <c r="K195">
        <v>80</v>
      </c>
      <c r="L195">
        <v>56</v>
      </c>
      <c r="M195">
        <v>37</v>
      </c>
      <c r="N195">
        <v>1995</v>
      </c>
      <c r="O195">
        <v>0.27</v>
      </c>
      <c r="P195">
        <v>2.4700000000000002</v>
      </c>
      <c r="Q195">
        <v>1.4999999999999999E-2</v>
      </c>
      <c r="R195">
        <v>75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>
      <c r="A196">
        <v>398.57057397999552</v>
      </c>
      <c r="B196">
        <v>98</v>
      </c>
      <c r="C196">
        <v>2.8469326712856819</v>
      </c>
      <c r="D196">
        <v>469.13040000000001</v>
      </c>
      <c r="E196">
        <v>687.58770619404777</v>
      </c>
      <c r="F196">
        <v>157.27590000000001</v>
      </c>
      <c r="G196">
        <v>77.289299999999997</v>
      </c>
      <c r="H196">
        <v>9</v>
      </c>
      <c r="I196">
        <v>57</v>
      </c>
      <c r="J196">
        <v>3</v>
      </c>
      <c r="K196">
        <v>64</v>
      </c>
      <c r="L196">
        <v>56</v>
      </c>
      <c r="M196">
        <v>36</v>
      </c>
      <c r="N196">
        <v>1995</v>
      </c>
      <c r="O196">
        <v>0.27</v>
      </c>
      <c r="P196">
        <v>2.4700000000000002</v>
      </c>
      <c r="Q196">
        <v>1.4999999999999999E-2</v>
      </c>
      <c r="R196">
        <v>75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>
      <c r="A197">
        <v>398.57057397999552</v>
      </c>
      <c r="B197">
        <v>98</v>
      </c>
      <c r="C197">
        <v>2.8469326712856819</v>
      </c>
      <c r="D197">
        <v>409.45679999999999</v>
      </c>
      <c r="E197">
        <v>687.58770619404777</v>
      </c>
      <c r="F197">
        <v>157.27590000000001</v>
      </c>
      <c r="G197">
        <v>77.289299999999997</v>
      </c>
      <c r="H197">
        <v>9</v>
      </c>
      <c r="I197">
        <v>57</v>
      </c>
      <c r="J197">
        <v>3</v>
      </c>
      <c r="K197">
        <v>72</v>
      </c>
      <c r="L197">
        <v>56</v>
      </c>
      <c r="M197">
        <v>36</v>
      </c>
      <c r="N197">
        <v>1995</v>
      </c>
      <c r="O197">
        <v>0.27</v>
      </c>
      <c r="P197">
        <v>2.4700000000000002</v>
      </c>
      <c r="Q197">
        <v>1.4999999999999999E-2</v>
      </c>
      <c r="R197">
        <v>75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>
      <c r="A198">
        <v>408.2289348744128</v>
      </c>
      <c r="B198">
        <v>100.5846153846154</v>
      </c>
      <c r="C198">
        <v>2.8409936581195749</v>
      </c>
      <c r="D198">
        <v>413.98919999999998</v>
      </c>
      <c r="E198">
        <v>692.09757868519443</v>
      </c>
      <c r="F198">
        <v>159.04259999999999</v>
      </c>
      <c r="G198">
        <v>79.259760000000014</v>
      </c>
      <c r="H198">
        <v>6</v>
      </c>
      <c r="I198">
        <v>54</v>
      </c>
      <c r="J198">
        <v>6</v>
      </c>
      <c r="K198">
        <v>149</v>
      </c>
      <c r="L198">
        <v>59</v>
      </c>
      <c r="M198">
        <v>44</v>
      </c>
      <c r="N198">
        <v>1995</v>
      </c>
      <c r="O198">
        <v>0.27</v>
      </c>
      <c r="P198">
        <v>2.4700000000000002</v>
      </c>
      <c r="Q198">
        <v>1.4999999999999999E-2</v>
      </c>
      <c r="R198">
        <v>75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>
      <c r="A199">
        <v>403.5377728444376</v>
      </c>
      <c r="B199">
        <v>99.714285714285708</v>
      </c>
      <c r="C199">
        <v>2.832858290741755</v>
      </c>
      <c r="D199">
        <v>433.6395</v>
      </c>
      <c r="E199">
        <v>689.41078838174269</v>
      </c>
      <c r="F199">
        <v>165.780475</v>
      </c>
      <c r="G199">
        <v>78.291499999999999</v>
      </c>
      <c r="H199">
        <v>6</v>
      </c>
      <c r="I199">
        <v>49</v>
      </c>
      <c r="J199">
        <v>7</v>
      </c>
      <c r="K199">
        <v>321</v>
      </c>
      <c r="L199">
        <v>55</v>
      </c>
      <c r="M199">
        <v>26</v>
      </c>
      <c r="N199">
        <v>1995</v>
      </c>
      <c r="O199">
        <v>0.27</v>
      </c>
      <c r="P199">
        <v>2.4700000000000002</v>
      </c>
      <c r="Q199">
        <v>1.4999999999999999E-2</v>
      </c>
      <c r="R199">
        <v>75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>
      <c r="A200">
        <v>402.6913746380385</v>
      </c>
      <c r="B200">
        <v>102.2352941176471</v>
      </c>
      <c r="C200">
        <v>2.757207916106247</v>
      </c>
      <c r="D200">
        <v>471.15839999999997</v>
      </c>
      <c r="E200">
        <v>686.81952676954688</v>
      </c>
      <c r="F200">
        <v>160.19452799999999</v>
      </c>
      <c r="G200">
        <v>78.072000000000003</v>
      </c>
      <c r="H200">
        <v>6</v>
      </c>
      <c r="I200">
        <v>55</v>
      </c>
      <c r="J200">
        <v>6</v>
      </c>
      <c r="K200">
        <v>110</v>
      </c>
      <c r="L200">
        <v>58</v>
      </c>
      <c r="M200">
        <v>28</v>
      </c>
      <c r="N200">
        <v>1995</v>
      </c>
      <c r="O200">
        <v>0.27</v>
      </c>
      <c r="P200">
        <v>2.4700000000000002</v>
      </c>
      <c r="Q200">
        <v>1.4999999999999999E-2</v>
      </c>
      <c r="R200">
        <v>75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>
      <c r="A201">
        <v>434.33053098139737</v>
      </c>
      <c r="B201">
        <v>154</v>
      </c>
      <c r="C201">
        <v>1.9742296862790789</v>
      </c>
      <c r="D201">
        <v>502.03920000000011</v>
      </c>
      <c r="E201">
        <v>689.18092607642325</v>
      </c>
      <c r="F201">
        <v>175.3614</v>
      </c>
      <c r="G201">
        <v>84.26039999999999</v>
      </c>
      <c r="H201">
        <v>8</v>
      </c>
      <c r="I201">
        <v>53</v>
      </c>
      <c r="J201">
        <v>5</v>
      </c>
      <c r="K201">
        <v>318</v>
      </c>
      <c r="L201">
        <v>59</v>
      </c>
      <c r="M201">
        <v>27</v>
      </c>
      <c r="N201">
        <v>1995</v>
      </c>
      <c r="O201">
        <v>0.27</v>
      </c>
      <c r="P201">
        <v>2.4700000000000002</v>
      </c>
      <c r="Q201">
        <v>1.4999999999999999E-2</v>
      </c>
      <c r="R201">
        <v>75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>
      <c r="A202">
        <v>415.84673596794141</v>
      </c>
      <c r="B202">
        <v>154</v>
      </c>
      <c r="C202">
        <v>1.890212436217916</v>
      </c>
      <c r="D202">
        <v>474.45600000000002</v>
      </c>
      <c r="E202">
        <v>691.15375788391361</v>
      </c>
      <c r="F202">
        <v>165.0744</v>
      </c>
      <c r="G202">
        <v>80.718000000000004</v>
      </c>
      <c r="H202">
        <v>9</v>
      </c>
      <c r="I202">
        <v>47</v>
      </c>
      <c r="J202">
        <v>4</v>
      </c>
      <c r="K202">
        <v>318</v>
      </c>
      <c r="L202">
        <v>61</v>
      </c>
      <c r="M202">
        <v>26</v>
      </c>
      <c r="N202">
        <v>1995</v>
      </c>
      <c r="O202">
        <v>0.27</v>
      </c>
      <c r="P202">
        <v>2.4700000000000002</v>
      </c>
      <c r="Q202">
        <v>1.4999999999999999E-2</v>
      </c>
      <c r="R202">
        <v>75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>
      <c r="A203">
        <v>402.27738518387849</v>
      </c>
      <c r="B203">
        <v>154</v>
      </c>
      <c r="C203">
        <v>1.8285335690176301</v>
      </c>
      <c r="D203">
        <v>448.17599999999999</v>
      </c>
      <c r="E203">
        <v>690.58517833856831</v>
      </c>
      <c r="F203">
        <v>155.13839999999999</v>
      </c>
      <c r="G203">
        <v>78.072000000000003</v>
      </c>
      <c r="H203">
        <v>6</v>
      </c>
      <c r="I203">
        <v>55</v>
      </c>
      <c r="J203">
        <v>6</v>
      </c>
      <c r="K203">
        <v>318</v>
      </c>
      <c r="L203">
        <v>58</v>
      </c>
      <c r="M203">
        <v>28</v>
      </c>
      <c r="N203">
        <v>1995</v>
      </c>
      <c r="O203">
        <v>0.27</v>
      </c>
      <c r="P203">
        <v>2.4700000000000002</v>
      </c>
      <c r="Q203">
        <v>1.4999999999999999E-2</v>
      </c>
      <c r="R203">
        <v>75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>
      <c r="A204">
        <v>399.26708724049581</v>
      </c>
      <c r="B204">
        <v>228.375</v>
      </c>
      <c r="C204">
        <v>1.223807163955543</v>
      </c>
      <c r="D204">
        <v>478.42559999999997</v>
      </c>
      <c r="E204">
        <v>689.85786043921007</v>
      </c>
      <c r="F204">
        <v>156.07295999999999</v>
      </c>
      <c r="G204">
        <v>77.472390000000004</v>
      </c>
      <c r="H204">
        <v>8</v>
      </c>
      <c r="I204">
        <v>61</v>
      </c>
      <c r="J204">
        <v>4</v>
      </c>
      <c r="K204">
        <v>94</v>
      </c>
      <c r="L204">
        <v>49</v>
      </c>
      <c r="M204">
        <v>3</v>
      </c>
      <c r="N204">
        <v>1995</v>
      </c>
      <c r="O204">
        <v>0.27</v>
      </c>
      <c r="P204">
        <v>2.4700000000000002</v>
      </c>
      <c r="Q204">
        <v>1.4999999999999999E-2</v>
      </c>
      <c r="R204">
        <v>75</v>
      </c>
      <c r="S204">
        <v>700</v>
      </c>
      <c r="T204">
        <v>475</v>
      </c>
      <c r="U204">
        <v>275</v>
      </c>
      <c r="V204">
        <v>370</v>
      </c>
      <c r="W204">
        <v>155</v>
      </c>
    </row>
  </sheetData>
  <sortState xmlns:xlrd2="http://schemas.microsoft.com/office/spreadsheetml/2017/richdata2" ref="A2:W204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01749-4653-463A-A904-713E0C01BA6D}">
  <sheetPr codeName="Sheet12"/>
  <dimension ref="A1:W10"/>
  <sheetViews>
    <sheetView workbookViewId="0">
      <selection activeCell="A9" sqref="A9:XFD9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391.99155701678649</v>
      </c>
      <c r="B2">
        <v>14</v>
      </c>
      <c r="C2">
        <v>19.599577850839321</v>
      </c>
      <c r="D2">
        <v>381.24799999999999</v>
      </c>
      <c r="E2">
        <v>698.95435684647305</v>
      </c>
      <c r="F2">
        <v>228.74879999999999</v>
      </c>
      <c r="G2">
        <v>76.249600000000001</v>
      </c>
      <c r="H2">
        <v>52</v>
      </c>
      <c r="I2">
        <v>112</v>
      </c>
      <c r="J2">
        <v>8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75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409.80301659181089</v>
      </c>
      <c r="B3">
        <v>21</v>
      </c>
      <c r="C3">
        <v>13.66010055306036</v>
      </c>
      <c r="D3">
        <v>1191.2714249999999</v>
      </c>
      <c r="E3">
        <v>685.31452282157682</v>
      </c>
      <c r="F3">
        <v>158.83618999999999</v>
      </c>
      <c r="G3">
        <v>79.418095000000008</v>
      </c>
      <c r="H3">
        <v>142</v>
      </c>
      <c r="I3">
        <v>113</v>
      </c>
      <c r="J3">
        <v>29</v>
      </c>
      <c r="K3">
        <v>0</v>
      </c>
      <c r="L3">
        <v>0</v>
      </c>
      <c r="M3">
        <v>0</v>
      </c>
      <c r="N3">
        <v>1995</v>
      </c>
      <c r="O3">
        <v>0.27</v>
      </c>
      <c r="P3">
        <v>2.4700000000000002</v>
      </c>
      <c r="Q3">
        <v>1.4999999999999999E-2</v>
      </c>
      <c r="R3">
        <v>75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408.67949197084567</v>
      </c>
      <c r="B4">
        <v>21</v>
      </c>
      <c r="C4">
        <v>13.622649732361531</v>
      </c>
      <c r="D4">
        <v>458.32319999999987</v>
      </c>
      <c r="E4">
        <v>620.12614107883826</v>
      </c>
      <c r="F4">
        <v>155.57759999999999</v>
      </c>
      <c r="G4">
        <v>77.788799999999995</v>
      </c>
      <c r="H4">
        <v>39</v>
      </c>
      <c r="I4">
        <v>111</v>
      </c>
      <c r="J4">
        <v>6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75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395.6573110127224</v>
      </c>
      <c r="B5">
        <v>25.666666666666661</v>
      </c>
      <c r="C5">
        <v>10.79065393671061</v>
      </c>
      <c r="D5">
        <v>494.6472</v>
      </c>
      <c r="E5">
        <v>686.97087244776412</v>
      </c>
      <c r="F5">
        <v>242.93520000000001</v>
      </c>
      <c r="G5">
        <v>76.711439999999996</v>
      </c>
      <c r="H5">
        <v>8</v>
      </c>
      <c r="I5">
        <v>61</v>
      </c>
      <c r="J5">
        <v>4</v>
      </c>
      <c r="K5">
        <v>164</v>
      </c>
      <c r="L5">
        <v>46</v>
      </c>
      <c r="M5">
        <v>3</v>
      </c>
      <c r="N5">
        <v>1995</v>
      </c>
      <c r="O5">
        <v>0.27</v>
      </c>
      <c r="P5">
        <v>2.4700000000000002</v>
      </c>
      <c r="Q5">
        <v>1.4999999999999999E-2</v>
      </c>
      <c r="R5">
        <v>75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394.66002781807589</v>
      </c>
      <c r="B6">
        <v>25.666666666666661</v>
      </c>
      <c r="C6">
        <v>10.763455304129341</v>
      </c>
      <c r="D6">
        <v>385.61399999999998</v>
      </c>
      <c r="E6">
        <v>692.17952286594414</v>
      </c>
      <c r="F6">
        <v>259.07400000000001</v>
      </c>
      <c r="G6">
        <v>76.626999999999995</v>
      </c>
      <c r="H6">
        <v>164</v>
      </c>
      <c r="I6">
        <v>55</v>
      </c>
      <c r="J6">
        <v>5</v>
      </c>
      <c r="K6">
        <v>6</v>
      </c>
      <c r="L6">
        <v>58</v>
      </c>
      <c r="M6">
        <v>3</v>
      </c>
      <c r="N6">
        <v>1995</v>
      </c>
      <c r="O6">
        <v>0.27</v>
      </c>
      <c r="P6">
        <v>2.4700000000000002</v>
      </c>
      <c r="Q6">
        <v>1.4999999999999999E-2</v>
      </c>
      <c r="R6">
        <v>75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429.78842144221647</v>
      </c>
      <c r="B7">
        <v>29.4</v>
      </c>
      <c r="C7">
        <v>10.23305765338611</v>
      </c>
      <c r="D7">
        <v>426.74069999999989</v>
      </c>
      <c r="E7">
        <v>689.20165975103748</v>
      </c>
      <c r="F7">
        <v>240.29689999999999</v>
      </c>
      <c r="G7">
        <v>83.379700000000014</v>
      </c>
      <c r="H7">
        <v>39</v>
      </c>
      <c r="I7">
        <v>56</v>
      </c>
      <c r="J7">
        <v>9</v>
      </c>
      <c r="K7">
        <v>163</v>
      </c>
      <c r="L7">
        <v>53</v>
      </c>
      <c r="M7">
        <v>5</v>
      </c>
      <c r="N7">
        <v>1995</v>
      </c>
      <c r="O7">
        <v>0.27</v>
      </c>
      <c r="P7">
        <v>2.4700000000000002</v>
      </c>
      <c r="Q7">
        <v>1.4999999999999999E-2</v>
      </c>
      <c r="R7">
        <v>75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398.23070159109852</v>
      </c>
      <c r="B8">
        <v>29.4</v>
      </c>
      <c r="C8">
        <v>9.4816833712166311</v>
      </c>
      <c r="D8">
        <v>557.36152500000003</v>
      </c>
      <c r="E8">
        <v>682.56597510373444</v>
      </c>
      <c r="F8">
        <v>304.08487000000002</v>
      </c>
      <c r="G8">
        <v>77.117435</v>
      </c>
      <c r="H8">
        <v>163</v>
      </c>
      <c r="I8">
        <v>54</v>
      </c>
      <c r="J8">
        <v>10</v>
      </c>
      <c r="K8">
        <v>142</v>
      </c>
      <c r="L8">
        <v>59</v>
      </c>
      <c r="M8">
        <v>19</v>
      </c>
      <c r="N8">
        <v>1995</v>
      </c>
      <c r="O8">
        <v>0.27</v>
      </c>
      <c r="P8">
        <v>2.4700000000000002</v>
      </c>
      <c r="Q8">
        <v>1.4999999999999999E-2</v>
      </c>
      <c r="R8">
        <v>75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422.88636660226098</v>
      </c>
      <c r="B9">
        <v>32.666666666666671</v>
      </c>
      <c r="C9">
        <v>9.0618507129055939</v>
      </c>
      <c r="D9">
        <v>610.22249999999997</v>
      </c>
      <c r="E9">
        <v>688.1845630048075</v>
      </c>
      <c r="F9">
        <v>251.0598</v>
      </c>
      <c r="G9">
        <v>82.017899999999997</v>
      </c>
      <c r="H9">
        <v>164</v>
      </c>
      <c r="I9">
        <v>49</v>
      </c>
      <c r="J9">
        <v>6</v>
      </c>
      <c r="K9">
        <v>142</v>
      </c>
      <c r="L9">
        <v>57</v>
      </c>
      <c r="M9">
        <v>20</v>
      </c>
      <c r="N9">
        <v>1995</v>
      </c>
      <c r="O9">
        <v>0.27</v>
      </c>
      <c r="P9">
        <v>2.4700000000000002</v>
      </c>
      <c r="Q9">
        <v>1.4999999999999999E-2</v>
      </c>
      <c r="R9">
        <v>75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425.4921247639283</v>
      </c>
      <c r="B10">
        <v>35.000000000000007</v>
      </c>
      <c r="C10">
        <v>8.5098424952785656</v>
      </c>
      <c r="D10">
        <v>452.82119999999998</v>
      </c>
      <c r="E10">
        <v>688.41161825726158</v>
      </c>
      <c r="F10">
        <v>184.9804</v>
      </c>
      <c r="G10">
        <v>82.528399999999991</v>
      </c>
      <c r="H10">
        <v>39</v>
      </c>
      <c r="I10">
        <v>61</v>
      </c>
      <c r="J10">
        <v>8</v>
      </c>
      <c r="K10">
        <v>52</v>
      </c>
      <c r="L10">
        <v>50</v>
      </c>
      <c r="M10">
        <v>6</v>
      </c>
      <c r="N10">
        <v>1995</v>
      </c>
      <c r="O10">
        <v>0.27</v>
      </c>
      <c r="P10">
        <v>2.4700000000000002</v>
      </c>
      <c r="Q10">
        <v>1.4999999999999999E-2</v>
      </c>
      <c r="R10">
        <v>75</v>
      </c>
      <c r="S10">
        <v>700</v>
      </c>
      <c r="T10">
        <v>475</v>
      </c>
      <c r="U10">
        <v>275</v>
      </c>
      <c r="V10">
        <v>370</v>
      </c>
      <c r="W10">
        <v>155</v>
      </c>
    </row>
  </sheetData>
  <sortState xmlns:xlrd2="http://schemas.microsoft.com/office/spreadsheetml/2017/richdata2" ref="A2:W10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97D3-DCAC-4675-BDF1-BE63AD7F0A12}">
  <sheetPr codeName="Sheet13"/>
  <dimension ref="A1:W77"/>
  <sheetViews>
    <sheetView workbookViewId="0">
      <selection activeCell="H77" sqref="H77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415.17278046464651</v>
      </c>
      <c r="B2">
        <v>21</v>
      </c>
      <c r="C2">
        <v>13.839092682154879</v>
      </c>
      <c r="D2">
        <v>1210.5382500000001</v>
      </c>
      <c r="E2">
        <v>696.39834024896265</v>
      </c>
      <c r="F2">
        <v>161.4051</v>
      </c>
      <c r="G2">
        <v>80.702550000000002</v>
      </c>
      <c r="H2">
        <v>142</v>
      </c>
      <c r="I2">
        <v>111</v>
      </c>
      <c r="J2">
        <v>30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80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427.29815888594749</v>
      </c>
      <c r="B3">
        <v>29.400000000000009</v>
      </c>
      <c r="C3">
        <v>10.17376568776065</v>
      </c>
      <c r="D3">
        <v>408.42119999999989</v>
      </c>
      <c r="E3">
        <v>688.45145228215779</v>
      </c>
      <c r="F3">
        <v>247.1404</v>
      </c>
      <c r="G3">
        <v>82.879600000000011</v>
      </c>
      <c r="H3">
        <v>39</v>
      </c>
      <c r="I3">
        <v>59</v>
      </c>
      <c r="J3">
        <v>8</v>
      </c>
      <c r="K3">
        <v>163</v>
      </c>
      <c r="L3">
        <v>50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80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421.27891926638972</v>
      </c>
      <c r="B4">
        <v>32.666666666666671</v>
      </c>
      <c r="C4">
        <v>9.0274054128512056</v>
      </c>
      <c r="D4">
        <v>634.34280000000001</v>
      </c>
      <c r="E4">
        <v>686.00640064872005</v>
      </c>
      <c r="F4">
        <v>246.19504000000001</v>
      </c>
      <c r="G4">
        <v>81.657519999999991</v>
      </c>
      <c r="H4">
        <v>164</v>
      </c>
      <c r="I4">
        <v>56</v>
      </c>
      <c r="J4">
        <v>5</v>
      </c>
      <c r="K4">
        <v>142</v>
      </c>
      <c r="L4">
        <v>56</v>
      </c>
      <c r="M4">
        <v>22</v>
      </c>
      <c r="N4">
        <v>1995</v>
      </c>
      <c r="O4">
        <v>0.27</v>
      </c>
      <c r="P4">
        <v>2.4700000000000002</v>
      </c>
      <c r="Q4">
        <v>1.4999999999999999E-2</v>
      </c>
      <c r="R4">
        <v>80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424.07987967456972</v>
      </c>
      <c r="B5">
        <v>35.000000000000007</v>
      </c>
      <c r="C5">
        <v>8.4815975934913936</v>
      </c>
      <c r="D5">
        <v>463.03320000000002</v>
      </c>
      <c r="E5">
        <v>689.46721991701247</v>
      </c>
      <c r="F5">
        <v>191.10759999999999</v>
      </c>
      <c r="G5">
        <v>82.278200000000012</v>
      </c>
      <c r="H5">
        <v>39</v>
      </c>
      <c r="I5">
        <v>58</v>
      </c>
      <c r="J5">
        <v>8</v>
      </c>
      <c r="K5">
        <v>52</v>
      </c>
      <c r="L5">
        <v>55</v>
      </c>
      <c r="M5">
        <v>6</v>
      </c>
      <c r="N5">
        <v>1995</v>
      </c>
      <c r="O5">
        <v>0.27</v>
      </c>
      <c r="P5">
        <v>2.4700000000000002</v>
      </c>
      <c r="Q5">
        <v>1.4999999999999999E-2</v>
      </c>
      <c r="R5">
        <v>80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417.02683110431911</v>
      </c>
      <c r="B6">
        <v>35</v>
      </c>
      <c r="C6">
        <v>8.3405366220863826</v>
      </c>
      <c r="D6">
        <v>458.82119999999998</v>
      </c>
      <c r="E6">
        <v>690.16431535269703</v>
      </c>
      <c r="F6">
        <v>188.5804</v>
      </c>
      <c r="G6">
        <v>80.925200000000004</v>
      </c>
      <c r="H6">
        <v>39</v>
      </c>
      <c r="I6">
        <v>58</v>
      </c>
      <c r="J6">
        <v>8</v>
      </c>
      <c r="K6">
        <v>53</v>
      </c>
      <c r="L6">
        <v>54</v>
      </c>
      <c r="M6">
        <v>6</v>
      </c>
      <c r="N6">
        <v>1995</v>
      </c>
      <c r="O6">
        <v>0.27</v>
      </c>
      <c r="P6">
        <v>2.4700000000000002</v>
      </c>
      <c r="Q6">
        <v>1.4999999999999999E-2</v>
      </c>
      <c r="R6">
        <v>80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423.70937790276957</v>
      </c>
      <c r="B7">
        <v>36.4</v>
      </c>
      <c r="C7">
        <v>8.1482572673609557</v>
      </c>
      <c r="D7">
        <v>427.55399999999997</v>
      </c>
      <c r="E7">
        <v>690.73596450098114</v>
      </c>
      <c r="F7">
        <v>297.35640000000001</v>
      </c>
      <c r="G7">
        <v>82.234800000000007</v>
      </c>
      <c r="H7">
        <v>163</v>
      </c>
      <c r="I7">
        <v>54</v>
      </c>
      <c r="J7">
        <v>10</v>
      </c>
      <c r="K7">
        <v>323</v>
      </c>
      <c r="L7">
        <v>59</v>
      </c>
      <c r="M7">
        <v>38</v>
      </c>
      <c r="N7">
        <v>1995</v>
      </c>
      <c r="O7">
        <v>0.27</v>
      </c>
      <c r="P7">
        <v>2.4700000000000002</v>
      </c>
      <c r="Q7">
        <v>1.4999999999999999E-2</v>
      </c>
      <c r="R7">
        <v>80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446.54371939372498</v>
      </c>
      <c r="B8">
        <v>39.666666666666657</v>
      </c>
      <c r="C8">
        <v>7.8801832834186776</v>
      </c>
      <c r="D8">
        <v>479.08800000000002</v>
      </c>
      <c r="E8">
        <v>691.64222062928809</v>
      </c>
      <c r="F8">
        <v>241.05600000000001</v>
      </c>
      <c r="G8">
        <v>86.688000000000002</v>
      </c>
      <c r="H8">
        <v>164</v>
      </c>
      <c r="I8">
        <v>48</v>
      </c>
      <c r="J8">
        <v>6</v>
      </c>
      <c r="K8">
        <v>323</v>
      </c>
      <c r="L8">
        <v>58</v>
      </c>
      <c r="M8">
        <v>40</v>
      </c>
      <c r="N8">
        <v>1995</v>
      </c>
      <c r="O8">
        <v>0.27</v>
      </c>
      <c r="P8">
        <v>2.4700000000000002</v>
      </c>
      <c r="Q8">
        <v>1.4999999999999999E-2</v>
      </c>
      <c r="R8">
        <v>80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453.99262836142327</v>
      </c>
      <c r="B9">
        <v>41.06666666666667</v>
      </c>
      <c r="C9">
        <v>7.7385107107060778</v>
      </c>
      <c r="D9">
        <v>398.60640000000001</v>
      </c>
      <c r="E9">
        <v>692.68716269433446</v>
      </c>
      <c r="F9">
        <v>245.67840000000001</v>
      </c>
      <c r="G9">
        <v>88.159199999999998</v>
      </c>
      <c r="H9">
        <v>164</v>
      </c>
      <c r="I9">
        <v>50</v>
      </c>
      <c r="J9">
        <v>6</v>
      </c>
      <c r="K9">
        <v>126</v>
      </c>
      <c r="L9">
        <v>60</v>
      </c>
      <c r="M9">
        <v>36</v>
      </c>
      <c r="N9">
        <v>1995</v>
      </c>
      <c r="O9">
        <v>0.27</v>
      </c>
      <c r="P9">
        <v>2.4700000000000002</v>
      </c>
      <c r="Q9">
        <v>1.4999999999999999E-2</v>
      </c>
      <c r="R9">
        <v>80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546.85311446131971</v>
      </c>
      <c r="B10">
        <v>50.4</v>
      </c>
      <c r="C10">
        <v>7.595182145296107</v>
      </c>
      <c r="D10">
        <v>607.10799999999995</v>
      </c>
      <c r="E10">
        <v>685.24979253112031</v>
      </c>
      <c r="F10">
        <v>208.94694999999999</v>
      </c>
      <c r="G10">
        <v>105.97595</v>
      </c>
      <c r="H10">
        <v>111</v>
      </c>
      <c r="I10">
        <v>57</v>
      </c>
      <c r="J10">
        <v>34</v>
      </c>
      <c r="K10">
        <v>96</v>
      </c>
      <c r="L10">
        <v>55</v>
      </c>
      <c r="M10">
        <v>23</v>
      </c>
      <c r="N10">
        <v>1995</v>
      </c>
      <c r="O10">
        <v>0.27</v>
      </c>
      <c r="P10">
        <v>2.4700000000000002</v>
      </c>
      <c r="Q10">
        <v>1.4999999999999999E-2</v>
      </c>
      <c r="R10">
        <v>80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534.44901636923692</v>
      </c>
      <c r="B11">
        <v>50.400000000000013</v>
      </c>
      <c r="C11">
        <v>7.4229030051282896</v>
      </c>
      <c r="D11">
        <v>441.46379999999999</v>
      </c>
      <c r="E11">
        <v>668.52116182572615</v>
      </c>
      <c r="F11">
        <v>210.39276000000001</v>
      </c>
      <c r="G11">
        <v>103.09842</v>
      </c>
      <c r="H11">
        <v>112</v>
      </c>
      <c r="I11">
        <v>61</v>
      </c>
      <c r="J11">
        <v>7</v>
      </c>
      <c r="K11">
        <v>163</v>
      </c>
      <c r="L11">
        <v>50</v>
      </c>
      <c r="M11">
        <v>6</v>
      </c>
      <c r="N11">
        <v>1995</v>
      </c>
      <c r="O11">
        <v>0.27</v>
      </c>
      <c r="P11">
        <v>2.4700000000000002</v>
      </c>
      <c r="Q11">
        <v>1.4999999999999999E-2</v>
      </c>
      <c r="R11">
        <v>80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529.94084284568612</v>
      </c>
      <c r="B12">
        <v>50.400000000000013</v>
      </c>
      <c r="C12">
        <v>7.360289483967863</v>
      </c>
      <c r="D12">
        <v>373.07880000000011</v>
      </c>
      <c r="E12">
        <v>692.88406283654763</v>
      </c>
      <c r="F12">
        <v>179.10324</v>
      </c>
      <c r="G12">
        <v>102.91284</v>
      </c>
      <c r="H12">
        <v>165</v>
      </c>
      <c r="I12">
        <v>61</v>
      </c>
      <c r="J12">
        <v>67</v>
      </c>
      <c r="K12">
        <v>96</v>
      </c>
      <c r="L12">
        <v>52</v>
      </c>
      <c r="M12">
        <v>18</v>
      </c>
      <c r="N12">
        <v>1995</v>
      </c>
      <c r="O12">
        <v>0.27</v>
      </c>
      <c r="P12">
        <v>2.4700000000000002</v>
      </c>
      <c r="Q12">
        <v>1.4999999999999999E-2</v>
      </c>
      <c r="R12">
        <v>80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436.56442107872402</v>
      </c>
      <c r="B13">
        <v>42</v>
      </c>
      <c r="C13">
        <v>7.2760736846454002</v>
      </c>
      <c r="D13">
        <v>430.90320000000003</v>
      </c>
      <c r="E13">
        <v>692.3551867219918</v>
      </c>
      <c r="F13">
        <v>169.53440000000001</v>
      </c>
      <c r="G13">
        <v>84.767200000000017</v>
      </c>
      <c r="H13">
        <v>39</v>
      </c>
      <c r="I13">
        <v>56</v>
      </c>
      <c r="J13">
        <v>9</v>
      </c>
      <c r="K13">
        <v>55</v>
      </c>
      <c r="L13">
        <v>56</v>
      </c>
      <c r="M13">
        <v>5</v>
      </c>
      <c r="N13">
        <v>1995</v>
      </c>
      <c r="O13">
        <v>0.27</v>
      </c>
      <c r="P13">
        <v>2.4700000000000002</v>
      </c>
      <c r="Q13">
        <v>1.4999999999999999E-2</v>
      </c>
      <c r="R13">
        <v>80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429.2575783767337</v>
      </c>
      <c r="B14">
        <v>42.000000000000007</v>
      </c>
      <c r="C14">
        <v>7.1542929729455613</v>
      </c>
      <c r="D14">
        <v>767.4276000000001</v>
      </c>
      <c r="E14">
        <v>682.23734439834027</v>
      </c>
      <c r="F14">
        <v>166.23663999999999</v>
      </c>
      <c r="G14">
        <v>83.118319999999997</v>
      </c>
      <c r="H14">
        <v>39</v>
      </c>
      <c r="I14">
        <v>57</v>
      </c>
      <c r="J14">
        <v>8</v>
      </c>
      <c r="K14">
        <v>142</v>
      </c>
      <c r="L14">
        <v>56</v>
      </c>
      <c r="M14">
        <v>22</v>
      </c>
      <c r="N14">
        <v>1995</v>
      </c>
      <c r="O14">
        <v>0.27</v>
      </c>
      <c r="P14">
        <v>2.4700000000000002</v>
      </c>
      <c r="Q14">
        <v>1.4999999999999999E-2</v>
      </c>
      <c r="R14">
        <v>80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452.01764592962508</v>
      </c>
      <c r="B15">
        <v>44.744000000000007</v>
      </c>
      <c r="C15">
        <v>7.071615236696263</v>
      </c>
      <c r="D15">
        <v>790.11900000000003</v>
      </c>
      <c r="E15">
        <v>681.79917012448141</v>
      </c>
      <c r="F15">
        <v>474.03179999999998</v>
      </c>
      <c r="G15">
        <v>87.514920000000018</v>
      </c>
      <c r="H15">
        <v>112</v>
      </c>
      <c r="I15">
        <v>57</v>
      </c>
      <c r="J15">
        <v>6</v>
      </c>
      <c r="K15">
        <v>40</v>
      </c>
      <c r="L15">
        <v>60</v>
      </c>
      <c r="M15">
        <v>7</v>
      </c>
      <c r="N15">
        <v>1995</v>
      </c>
      <c r="O15">
        <v>0.27</v>
      </c>
      <c r="P15">
        <v>2.4700000000000002</v>
      </c>
      <c r="Q15">
        <v>1.4999999999999999E-2</v>
      </c>
      <c r="R15">
        <v>80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447.3538017726849</v>
      </c>
      <c r="B16">
        <v>44.744000000000007</v>
      </c>
      <c r="C16">
        <v>6.9986514670319906</v>
      </c>
      <c r="D16">
        <v>556.2432</v>
      </c>
      <c r="E16">
        <v>685.31120331950206</v>
      </c>
      <c r="F16">
        <v>473.08319999999998</v>
      </c>
      <c r="G16">
        <v>86.695200000000014</v>
      </c>
      <c r="H16">
        <v>135</v>
      </c>
      <c r="I16">
        <v>53</v>
      </c>
      <c r="J16">
        <v>4</v>
      </c>
      <c r="K16">
        <v>40</v>
      </c>
      <c r="L16">
        <v>60</v>
      </c>
      <c r="M16">
        <v>7</v>
      </c>
      <c r="N16">
        <v>1995</v>
      </c>
      <c r="O16">
        <v>0.27</v>
      </c>
      <c r="P16">
        <v>2.4700000000000002</v>
      </c>
      <c r="Q16">
        <v>1.4999999999999999E-2</v>
      </c>
      <c r="R16">
        <v>80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552.00966190963356</v>
      </c>
      <c r="B17">
        <v>56</v>
      </c>
      <c r="C17">
        <v>6.9001207738704204</v>
      </c>
      <c r="D17">
        <v>1456.11</v>
      </c>
      <c r="E17">
        <v>672.65228215767638</v>
      </c>
      <c r="F17">
        <v>159.35400000000001</v>
      </c>
      <c r="G17">
        <v>106.60680000000001</v>
      </c>
      <c r="H17">
        <v>111</v>
      </c>
      <c r="I17">
        <v>57</v>
      </c>
      <c r="J17">
        <v>34</v>
      </c>
      <c r="K17">
        <v>161</v>
      </c>
      <c r="L17">
        <v>55</v>
      </c>
      <c r="M17">
        <v>27</v>
      </c>
      <c r="N17">
        <v>1995</v>
      </c>
      <c r="O17">
        <v>0.27</v>
      </c>
      <c r="P17">
        <v>2.4700000000000002</v>
      </c>
      <c r="Q17">
        <v>1.4999999999999999E-2</v>
      </c>
      <c r="R17">
        <v>80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424.5528149481039</v>
      </c>
      <c r="B18">
        <v>43.4</v>
      </c>
      <c r="C18">
        <v>6.8476260475500643</v>
      </c>
      <c r="D18">
        <v>450.80409999999989</v>
      </c>
      <c r="E18">
        <v>689.16772940080011</v>
      </c>
      <c r="F18">
        <v>195.62549999999999</v>
      </c>
      <c r="G18">
        <v>82.363219999999998</v>
      </c>
      <c r="H18">
        <v>52</v>
      </c>
      <c r="I18">
        <v>53</v>
      </c>
      <c r="J18">
        <v>11</v>
      </c>
      <c r="K18">
        <v>126</v>
      </c>
      <c r="L18">
        <v>57</v>
      </c>
      <c r="M18">
        <v>38</v>
      </c>
      <c r="N18">
        <v>1995</v>
      </c>
      <c r="O18">
        <v>0.27</v>
      </c>
      <c r="P18">
        <v>2.4700000000000002</v>
      </c>
      <c r="Q18">
        <v>1.4999999999999999E-2</v>
      </c>
      <c r="R18">
        <v>80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544.8884202333503</v>
      </c>
      <c r="B19">
        <v>56</v>
      </c>
      <c r="C19">
        <v>6.811105252916879</v>
      </c>
      <c r="D19">
        <v>500.39339999999999</v>
      </c>
      <c r="E19">
        <v>689.75933609958497</v>
      </c>
      <c r="F19">
        <v>156.24467999999999</v>
      </c>
      <c r="G19">
        <v>105.72539999999999</v>
      </c>
      <c r="H19">
        <v>112</v>
      </c>
      <c r="I19">
        <v>55</v>
      </c>
      <c r="J19">
        <v>8</v>
      </c>
      <c r="K19">
        <v>52</v>
      </c>
      <c r="L19">
        <v>55</v>
      </c>
      <c r="M19">
        <v>6</v>
      </c>
      <c r="N19">
        <v>1995</v>
      </c>
      <c r="O19">
        <v>0.27</v>
      </c>
      <c r="P19">
        <v>2.4700000000000002</v>
      </c>
      <c r="Q19">
        <v>1.4999999999999999E-2</v>
      </c>
      <c r="R19">
        <v>80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531.11684296698331</v>
      </c>
      <c r="B20">
        <v>56</v>
      </c>
      <c r="C20">
        <v>6.6389605370872919</v>
      </c>
      <c r="D20">
        <v>501.05340000000001</v>
      </c>
      <c r="E20">
        <v>689.07551867219922</v>
      </c>
      <c r="F20">
        <v>156.64068</v>
      </c>
      <c r="G20">
        <v>103.03404</v>
      </c>
      <c r="H20">
        <v>112</v>
      </c>
      <c r="I20">
        <v>53</v>
      </c>
      <c r="J20">
        <v>8</v>
      </c>
      <c r="K20">
        <v>53</v>
      </c>
      <c r="L20">
        <v>57</v>
      </c>
      <c r="M20">
        <v>6</v>
      </c>
      <c r="N20">
        <v>1995</v>
      </c>
      <c r="O20">
        <v>0.27</v>
      </c>
      <c r="P20">
        <v>2.4700000000000002</v>
      </c>
      <c r="Q20">
        <v>1.4999999999999999E-2</v>
      </c>
      <c r="R20">
        <v>80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473.61156317744161</v>
      </c>
      <c r="B21">
        <v>50.400000000000013</v>
      </c>
      <c r="C21">
        <v>6.5779383774644664</v>
      </c>
      <c r="D21">
        <v>550.07460000000003</v>
      </c>
      <c r="E21">
        <v>690.72531120331951</v>
      </c>
      <c r="F21">
        <v>212.55449999999999</v>
      </c>
      <c r="G21">
        <v>91.919699999999992</v>
      </c>
      <c r="H21">
        <v>112</v>
      </c>
      <c r="I21">
        <v>50</v>
      </c>
      <c r="J21">
        <v>7</v>
      </c>
      <c r="K21">
        <v>96</v>
      </c>
      <c r="L21">
        <v>57</v>
      </c>
      <c r="M21">
        <v>26</v>
      </c>
      <c r="N21">
        <v>1995</v>
      </c>
      <c r="O21">
        <v>0.27</v>
      </c>
      <c r="P21">
        <v>2.4700000000000002</v>
      </c>
      <c r="Q21">
        <v>1.4999999999999999E-2</v>
      </c>
      <c r="R21">
        <v>80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419.84803324601648</v>
      </c>
      <c r="B22">
        <v>44.744</v>
      </c>
      <c r="C22">
        <v>6.5683359393932514</v>
      </c>
      <c r="D22">
        <v>553.15674000000001</v>
      </c>
      <c r="E22">
        <v>685.20497925311201</v>
      </c>
      <c r="F22">
        <v>469.99673999999999</v>
      </c>
      <c r="G22">
        <v>81.362340000000017</v>
      </c>
      <c r="H22">
        <v>131</v>
      </c>
      <c r="I22">
        <v>57</v>
      </c>
      <c r="J22">
        <v>4</v>
      </c>
      <c r="K22">
        <v>40</v>
      </c>
      <c r="L22">
        <v>60</v>
      </c>
      <c r="M22">
        <v>7</v>
      </c>
      <c r="N22">
        <v>1995</v>
      </c>
      <c r="O22">
        <v>0.27</v>
      </c>
      <c r="P22">
        <v>2.4700000000000002</v>
      </c>
      <c r="Q22">
        <v>1.4999999999999999E-2</v>
      </c>
      <c r="R22">
        <v>80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418.74083989378647</v>
      </c>
      <c r="B23">
        <v>44.744</v>
      </c>
      <c r="C23">
        <v>6.5510143913295762</v>
      </c>
      <c r="D23">
        <v>606.96</v>
      </c>
      <c r="E23">
        <v>686.00829875518673</v>
      </c>
      <c r="F23">
        <v>469.8</v>
      </c>
      <c r="G23">
        <v>81.165600000000012</v>
      </c>
      <c r="H23">
        <v>137</v>
      </c>
      <c r="I23">
        <v>50</v>
      </c>
      <c r="J23">
        <v>5</v>
      </c>
      <c r="K23">
        <v>40</v>
      </c>
      <c r="L23">
        <v>60</v>
      </c>
      <c r="M23">
        <v>7</v>
      </c>
      <c r="N23">
        <v>1995</v>
      </c>
      <c r="O23">
        <v>0.27</v>
      </c>
      <c r="P23">
        <v>2.4700000000000002</v>
      </c>
      <c r="Q23">
        <v>1.4999999999999999E-2</v>
      </c>
      <c r="R23">
        <v>80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417.66359507918332</v>
      </c>
      <c r="B24">
        <v>44.744</v>
      </c>
      <c r="C24">
        <v>6.5341613748307799</v>
      </c>
      <c r="D24">
        <v>606.70399999999995</v>
      </c>
      <c r="E24">
        <v>689.65975103734445</v>
      </c>
      <c r="F24">
        <v>469.67200000000003</v>
      </c>
      <c r="G24">
        <v>81.037600000000012</v>
      </c>
      <c r="H24">
        <v>178</v>
      </c>
      <c r="I24">
        <v>56</v>
      </c>
      <c r="J24">
        <v>5</v>
      </c>
      <c r="K24">
        <v>40</v>
      </c>
      <c r="L24">
        <v>60</v>
      </c>
      <c r="M24">
        <v>7</v>
      </c>
      <c r="N24">
        <v>1995</v>
      </c>
      <c r="O24">
        <v>0.27</v>
      </c>
      <c r="P24">
        <v>2.4700000000000002</v>
      </c>
      <c r="Q24">
        <v>1.4999999999999999E-2</v>
      </c>
      <c r="R24">
        <v>80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454.69201738624707</v>
      </c>
      <c r="B25">
        <v>49</v>
      </c>
      <c r="C25">
        <v>6.4956002483749593</v>
      </c>
      <c r="D25">
        <v>615.6468000000001</v>
      </c>
      <c r="E25">
        <v>688.74337141900503</v>
      </c>
      <c r="F25">
        <v>160.6824</v>
      </c>
      <c r="G25">
        <v>88.2</v>
      </c>
      <c r="H25">
        <v>39</v>
      </c>
      <c r="I25">
        <v>54</v>
      </c>
      <c r="J25">
        <v>9</v>
      </c>
      <c r="K25">
        <v>323</v>
      </c>
      <c r="L25">
        <v>59</v>
      </c>
      <c r="M25">
        <v>37</v>
      </c>
      <c r="N25">
        <v>1995</v>
      </c>
      <c r="O25">
        <v>0.27</v>
      </c>
      <c r="P25">
        <v>2.4700000000000002</v>
      </c>
      <c r="Q25">
        <v>1.4999999999999999E-2</v>
      </c>
      <c r="R25">
        <v>80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465.7010896345011</v>
      </c>
      <c r="B26">
        <v>50.400000000000013</v>
      </c>
      <c r="C26">
        <v>6.4680706893680693</v>
      </c>
      <c r="D26">
        <v>451.6182</v>
      </c>
      <c r="E26">
        <v>688.26224066390034</v>
      </c>
      <c r="F26">
        <v>201.75084000000001</v>
      </c>
      <c r="G26">
        <v>90.323640000000012</v>
      </c>
      <c r="H26">
        <v>112</v>
      </c>
      <c r="I26">
        <v>59</v>
      </c>
      <c r="J26">
        <v>6</v>
      </c>
      <c r="K26">
        <v>57</v>
      </c>
      <c r="L26">
        <v>53</v>
      </c>
      <c r="M26">
        <v>9</v>
      </c>
      <c r="N26">
        <v>1995</v>
      </c>
      <c r="O26">
        <v>0.27</v>
      </c>
      <c r="P26">
        <v>2.4700000000000002</v>
      </c>
      <c r="Q26">
        <v>1.4999999999999999E-2</v>
      </c>
      <c r="R26">
        <v>80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493.87349665472351</v>
      </c>
      <c r="B27">
        <v>53.666666666666657</v>
      </c>
      <c r="C27">
        <v>6.4418282172355248</v>
      </c>
      <c r="D27">
        <v>379.35</v>
      </c>
      <c r="E27">
        <v>690.75641808852879</v>
      </c>
      <c r="F27">
        <v>266.07960000000003</v>
      </c>
      <c r="G27">
        <v>95.852999999999994</v>
      </c>
      <c r="H27">
        <v>164</v>
      </c>
      <c r="I27">
        <v>51</v>
      </c>
      <c r="J27">
        <v>7</v>
      </c>
      <c r="K27">
        <v>111</v>
      </c>
      <c r="L27">
        <v>60</v>
      </c>
      <c r="M27">
        <v>12</v>
      </c>
      <c r="N27">
        <v>1995</v>
      </c>
      <c r="O27">
        <v>0.27</v>
      </c>
      <c r="P27">
        <v>2.4700000000000002</v>
      </c>
      <c r="Q27">
        <v>1.4999999999999999E-2</v>
      </c>
      <c r="R27">
        <v>80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462.79481472464852</v>
      </c>
      <c r="B28">
        <v>50.400000000000013</v>
      </c>
      <c r="C28">
        <v>6.427705760064562</v>
      </c>
      <c r="D28">
        <v>541.45440000000008</v>
      </c>
      <c r="E28">
        <v>688.74337141900503</v>
      </c>
      <c r="F28">
        <v>159.88319999999999</v>
      </c>
      <c r="G28">
        <v>89.77176</v>
      </c>
      <c r="H28">
        <v>39</v>
      </c>
      <c r="I28">
        <v>54</v>
      </c>
      <c r="J28">
        <v>9</v>
      </c>
      <c r="K28">
        <v>126</v>
      </c>
      <c r="L28">
        <v>59</v>
      </c>
      <c r="M28">
        <v>37</v>
      </c>
      <c r="N28">
        <v>1995</v>
      </c>
      <c r="O28">
        <v>0.27</v>
      </c>
      <c r="P28">
        <v>2.4700000000000002</v>
      </c>
      <c r="Q28">
        <v>1.4999999999999999E-2</v>
      </c>
      <c r="R28">
        <v>80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441.38092521287717</v>
      </c>
      <c r="B29">
        <v>49</v>
      </c>
      <c r="C29">
        <v>6.3054417887553891</v>
      </c>
      <c r="D29">
        <v>395.8125</v>
      </c>
      <c r="E29">
        <v>688.56171629905543</v>
      </c>
      <c r="F29">
        <v>198.78030000000001</v>
      </c>
      <c r="G29">
        <v>85.613700000000009</v>
      </c>
      <c r="H29">
        <v>52</v>
      </c>
      <c r="I29">
        <v>57</v>
      </c>
      <c r="J29">
        <v>11</v>
      </c>
      <c r="K29">
        <v>127</v>
      </c>
      <c r="L29">
        <v>56</v>
      </c>
      <c r="M29">
        <v>32</v>
      </c>
      <c r="N29">
        <v>1995</v>
      </c>
      <c r="O29">
        <v>0.27</v>
      </c>
      <c r="P29">
        <v>2.4700000000000002</v>
      </c>
      <c r="Q29">
        <v>1.4999999999999999E-2</v>
      </c>
      <c r="R29">
        <v>80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436.62653588354152</v>
      </c>
      <c r="B30">
        <v>49</v>
      </c>
      <c r="C30">
        <v>6.2375219411934486</v>
      </c>
      <c r="D30">
        <v>550.88639999999998</v>
      </c>
      <c r="E30">
        <v>690.51978507134891</v>
      </c>
      <c r="F30">
        <v>197.35919999999999</v>
      </c>
      <c r="G30">
        <v>84.736800000000002</v>
      </c>
      <c r="H30">
        <v>8</v>
      </c>
      <c r="I30">
        <v>51</v>
      </c>
      <c r="J30">
        <v>5</v>
      </c>
      <c r="K30">
        <v>127</v>
      </c>
      <c r="L30">
        <v>62</v>
      </c>
      <c r="M30">
        <v>28</v>
      </c>
      <c r="N30">
        <v>1995</v>
      </c>
      <c r="O30">
        <v>0.27</v>
      </c>
      <c r="P30">
        <v>2.4700000000000002</v>
      </c>
      <c r="Q30">
        <v>1.4999999999999999E-2</v>
      </c>
      <c r="R30">
        <v>80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426.1104712878161</v>
      </c>
      <c r="B31">
        <v>49</v>
      </c>
      <c r="C31">
        <v>6.0872924469688021</v>
      </c>
      <c r="D31">
        <v>381.32400000000001</v>
      </c>
      <c r="E31">
        <v>687.42236866665087</v>
      </c>
      <c r="F31">
        <v>190.62719999999999</v>
      </c>
      <c r="G31">
        <v>82.626000000000005</v>
      </c>
      <c r="H31">
        <v>53</v>
      </c>
      <c r="I31">
        <v>56</v>
      </c>
      <c r="J31">
        <v>11</v>
      </c>
      <c r="K31">
        <v>127</v>
      </c>
      <c r="L31">
        <v>57</v>
      </c>
      <c r="M31">
        <v>31</v>
      </c>
      <c r="N31">
        <v>1995</v>
      </c>
      <c r="O31">
        <v>0.27</v>
      </c>
      <c r="P31">
        <v>2.4700000000000002</v>
      </c>
      <c r="Q31">
        <v>1.4999999999999999E-2</v>
      </c>
      <c r="R31">
        <v>80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425.6694904924513</v>
      </c>
      <c r="B32">
        <v>49</v>
      </c>
      <c r="C32">
        <v>6.0809927213207331</v>
      </c>
      <c r="D32">
        <v>508.45800000000008</v>
      </c>
      <c r="E32">
        <v>688.81945108141042</v>
      </c>
      <c r="F32">
        <v>192.89519999999999</v>
      </c>
      <c r="G32">
        <v>82.572000000000003</v>
      </c>
      <c r="H32">
        <v>8</v>
      </c>
      <c r="I32">
        <v>50</v>
      </c>
      <c r="J32">
        <v>5</v>
      </c>
      <c r="K32">
        <v>319</v>
      </c>
      <c r="L32">
        <v>62</v>
      </c>
      <c r="M32">
        <v>30</v>
      </c>
      <c r="N32">
        <v>1995</v>
      </c>
      <c r="O32">
        <v>0.27</v>
      </c>
      <c r="P32">
        <v>2.4700000000000002</v>
      </c>
      <c r="Q32">
        <v>1.4999999999999999E-2</v>
      </c>
      <c r="R32">
        <v>80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483.14462105882887</v>
      </c>
      <c r="B33">
        <v>56</v>
      </c>
      <c r="C33">
        <v>6.0393077632353611</v>
      </c>
      <c r="D33">
        <v>496.70400000000001</v>
      </c>
      <c r="E33">
        <v>690.49485801739422</v>
      </c>
      <c r="F33">
        <v>161.392</v>
      </c>
      <c r="G33">
        <v>93.763999999999996</v>
      </c>
      <c r="H33">
        <v>39</v>
      </c>
      <c r="I33">
        <v>53</v>
      </c>
      <c r="J33">
        <v>10</v>
      </c>
      <c r="K33">
        <v>127</v>
      </c>
      <c r="L33">
        <v>59</v>
      </c>
      <c r="M33">
        <v>30</v>
      </c>
      <c r="N33">
        <v>1995</v>
      </c>
      <c r="O33">
        <v>0.27</v>
      </c>
      <c r="P33">
        <v>2.4700000000000002</v>
      </c>
      <c r="Q33">
        <v>1.4999999999999999E-2</v>
      </c>
      <c r="R33">
        <v>80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430.10678838557641</v>
      </c>
      <c r="B34">
        <v>50.4</v>
      </c>
      <c r="C34">
        <v>5.9737053942441172</v>
      </c>
      <c r="D34">
        <v>430.53199999999998</v>
      </c>
      <c r="E34">
        <v>691.51578322147952</v>
      </c>
      <c r="F34">
        <v>286.13580000000002</v>
      </c>
      <c r="G34">
        <v>83.494200000000006</v>
      </c>
      <c r="H34">
        <v>163</v>
      </c>
      <c r="I34">
        <v>55</v>
      </c>
      <c r="J34">
        <v>10</v>
      </c>
      <c r="K34">
        <v>148</v>
      </c>
      <c r="L34">
        <v>58</v>
      </c>
      <c r="M34">
        <v>38</v>
      </c>
      <c r="N34">
        <v>1995</v>
      </c>
      <c r="O34">
        <v>0.27</v>
      </c>
      <c r="P34">
        <v>2.4700000000000002</v>
      </c>
      <c r="Q34">
        <v>1.4999999999999999E-2</v>
      </c>
      <c r="R34">
        <v>80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472.45244557065172</v>
      </c>
      <c r="B35">
        <v>56</v>
      </c>
      <c r="C35">
        <v>5.9056555696331472</v>
      </c>
      <c r="D35">
        <v>454.76639999999998</v>
      </c>
      <c r="E35">
        <v>689.7531519939655</v>
      </c>
      <c r="F35">
        <v>157.9392</v>
      </c>
      <c r="G35">
        <v>91.670400000000001</v>
      </c>
      <c r="H35">
        <v>39</v>
      </c>
      <c r="I35">
        <v>57</v>
      </c>
      <c r="J35">
        <v>9</v>
      </c>
      <c r="K35">
        <v>319</v>
      </c>
      <c r="L35">
        <v>56</v>
      </c>
      <c r="M35">
        <v>35</v>
      </c>
      <c r="N35">
        <v>1995</v>
      </c>
      <c r="O35">
        <v>0.27</v>
      </c>
      <c r="P35">
        <v>2.4700000000000002</v>
      </c>
      <c r="Q35">
        <v>1.4999999999999999E-2</v>
      </c>
      <c r="R35">
        <v>80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452.29542867279031</v>
      </c>
      <c r="B36">
        <v>53.666666666666671</v>
      </c>
      <c r="C36">
        <v>5.8995055913842211</v>
      </c>
      <c r="D36">
        <v>482.49849999999998</v>
      </c>
      <c r="E36">
        <v>691.80139982526657</v>
      </c>
      <c r="F36">
        <v>232.10839999999999</v>
      </c>
      <c r="G36">
        <v>87.808399999999992</v>
      </c>
      <c r="H36">
        <v>164</v>
      </c>
      <c r="I36">
        <v>50</v>
      </c>
      <c r="J36">
        <v>6</v>
      </c>
      <c r="K36">
        <v>148</v>
      </c>
      <c r="L36">
        <v>59</v>
      </c>
      <c r="M36">
        <v>37</v>
      </c>
      <c r="N36">
        <v>1995</v>
      </c>
      <c r="O36">
        <v>0.27</v>
      </c>
      <c r="P36">
        <v>2.4700000000000002</v>
      </c>
      <c r="Q36">
        <v>1.4999999999999999E-2</v>
      </c>
      <c r="R36">
        <v>80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449.41833327712789</v>
      </c>
      <c r="B37">
        <v>56</v>
      </c>
      <c r="C37">
        <v>5.6177291659640991</v>
      </c>
      <c r="D37">
        <v>611.45040000000006</v>
      </c>
      <c r="E37">
        <v>683.42572614107894</v>
      </c>
      <c r="F37">
        <v>204.51599999999999</v>
      </c>
      <c r="G37">
        <v>87.05040000000001</v>
      </c>
      <c r="H37">
        <v>8</v>
      </c>
      <c r="I37">
        <v>56</v>
      </c>
      <c r="J37">
        <v>5</v>
      </c>
      <c r="K37">
        <v>111</v>
      </c>
      <c r="L37">
        <v>57</v>
      </c>
      <c r="M37">
        <v>12</v>
      </c>
      <c r="N37">
        <v>1995</v>
      </c>
      <c r="O37">
        <v>0.27</v>
      </c>
      <c r="P37">
        <v>2.4700000000000002</v>
      </c>
      <c r="Q37">
        <v>1.4999999999999999E-2</v>
      </c>
      <c r="R37">
        <v>80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418.50263242806818</v>
      </c>
      <c r="B38">
        <v>52.500000000000007</v>
      </c>
      <c r="C38">
        <v>5.5800350990409093</v>
      </c>
      <c r="D38">
        <v>542.14380000000006</v>
      </c>
      <c r="E38">
        <v>690.21738222958015</v>
      </c>
      <c r="F38">
        <v>162.86076</v>
      </c>
      <c r="G38">
        <v>81.212760000000003</v>
      </c>
      <c r="H38">
        <v>112</v>
      </c>
      <c r="I38">
        <v>51</v>
      </c>
      <c r="J38">
        <v>6</v>
      </c>
      <c r="K38">
        <v>147</v>
      </c>
      <c r="L38">
        <v>56</v>
      </c>
      <c r="M38">
        <v>3</v>
      </c>
      <c r="N38">
        <v>1995</v>
      </c>
      <c r="O38">
        <v>0.27</v>
      </c>
      <c r="P38">
        <v>2.4700000000000002</v>
      </c>
      <c r="Q38">
        <v>1.4999999999999999E-2</v>
      </c>
      <c r="R38">
        <v>80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446.29408682502901</v>
      </c>
      <c r="B39">
        <v>56</v>
      </c>
      <c r="C39">
        <v>5.5786760853128632</v>
      </c>
      <c r="D39">
        <v>371.12495999999999</v>
      </c>
      <c r="E39">
        <v>690.69144448243105</v>
      </c>
      <c r="F39">
        <v>194.304024</v>
      </c>
      <c r="G39">
        <v>86.617056000000005</v>
      </c>
      <c r="H39">
        <v>52</v>
      </c>
      <c r="I39">
        <v>53</v>
      </c>
      <c r="J39">
        <v>12</v>
      </c>
      <c r="K39">
        <v>125</v>
      </c>
      <c r="L39">
        <v>58</v>
      </c>
      <c r="M39">
        <v>31</v>
      </c>
      <c r="N39">
        <v>1995</v>
      </c>
      <c r="O39">
        <v>0.27</v>
      </c>
      <c r="P39">
        <v>2.4700000000000002</v>
      </c>
      <c r="Q39">
        <v>1.4999999999999999E-2</v>
      </c>
      <c r="R39">
        <v>80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445.00017027100131</v>
      </c>
      <c r="B40">
        <v>56</v>
      </c>
      <c r="C40">
        <v>5.5625021283875169</v>
      </c>
      <c r="D40">
        <v>522.45120000000009</v>
      </c>
      <c r="E40">
        <v>690.7113017140797</v>
      </c>
      <c r="F40">
        <v>196.30799999999999</v>
      </c>
      <c r="G40">
        <v>86.366399999999999</v>
      </c>
      <c r="H40">
        <v>8</v>
      </c>
      <c r="I40">
        <v>53</v>
      </c>
      <c r="J40">
        <v>5</v>
      </c>
      <c r="K40">
        <v>165</v>
      </c>
      <c r="L40">
        <v>60</v>
      </c>
      <c r="M40">
        <v>25</v>
      </c>
      <c r="N40">
        <v>1995</v>
      </c>
      <c r="O40">
        <v>0.27</v>
      </c>
      <c r="P40">
        <v>2.4700000000000002</v>
      </c>
      <c r="Q40">
        <v>1.4999999999999999E-2</v>
      </c>
      <c r="R40">
        <v>80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437.10279774812608</v>
      </c>
      <c r="B41">
        <v>56</v>
      </c>
      <c r="C41">
        <v>5.4637849718515774</v>
      </c>
      <c r="D41">
        <v>488.48985599999997</v>
      </c>
      <c r="E41">
        <v>691.86156896375894</v>
      </c>
      <c r="F41">
        <v>190.75612799999999</v>
      </c>
      <c r="G41">
        <v>84.860303999999999</v>
      </c>
      <c r="H41">
        <v>8</v>
      </c>
      <c r="I41">
        <v>51</v>
      </c>
      <c r="J41">
        <v>5</v>
      </c>
      <c r="K41">
        <v>85</v>
      </c>
      <c r="L41">
        <v>62</v>
      </c>
      <c r="M41">
        <v>29</v>
      </c>
      <c r="N41">
        <v>1995</v>
      </c>
      <c r="O41">
        <v>0.27</v>
      </c>
      <c r="P41">
        <v>2.4700000000000002</v>
      </c>
      <c r="Q41">
        <v>1.4999999999999999E-2</v>
      </c>
      <c r="R41">
        <v>80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488.21885895444137</v>
      </c>
      <c r="B42">
        <v>63</v>
      </c>
      <c r="C42">
        <v>5.4246539883826816</v>
      </c>
      <c r="D42">
        <v>469.39800000000002</v>
      </c>
      <c r="E42">
        <v>686.63839223003561</v>
      </c>
      <c r="F42">
        <v>160.05699999999999</v>
      </c>
      <c r="G42">
        <v>94.649000000000001</v>
      </c>
      <c r="H42">
        <v>39</v>
      </c>
      <c r="I42">
        <v>56</v>
      </c>
      <c r="J42">
        <v>10</v>
      </c>
      <c r="K42">
        <v>165</v>
      </c>
      <c r="L42">
        <v>57</v>
      </c>
      <c r="M42">
        <v>25</v>
      </c>
      <c r="N42">
        <v>1995</v>
      </c>
      <c r="O42">
        <v>0.27</v>
      </c>
      <c r="P42">
        <v>2.4700000000000002</v>
      </c>
      <c r="Q42">
        <v>1.4999999999999999E-2</v>
      </c>
      <c r="R42">
        <v>80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433.33683276060049</v>
      </c>
      <c r="B43">
        <v>56</v>
      </c>
      <c r="C43">
        <v>5.4167104095075072</v>
      </c>
      <c r="D43">
        <v>519.61536000000001</v>
      </c>
      <c r="E43">
        <v>688.72352598957434</v>
      </c>
      <c r="F43">
        <v>191.03471999999999</v>
      </c>
      <c r="G43">
        <v>84.057120000000012</v>
      </c>
      <c r="H43">
        <v>8</v>
      </c>
      <c r="I43">
        <v>51</v>
      </c>
      <c r="J43">
        <v>5</v>
      </c>
      <c r="K43">
        <v>41</v>
      </c>
      <c r="L43">
        <v>61</v>
      </c>
      <c r="M43">
        <v>29</v>
      </c>
      <c r="N43">
        <v>1995</v>
      </c>
      <c r="O43">
        <v>0.27</v>
      </c>
      <c r="P43">
        <v>2.4700000000000002</v>
      </c>
      <c r="Q43">
        <v>1.4999999999999999E-2</v>
      </c>
      <c r="R43">
        <v>80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432.83982928841272</v>
      </c>
      <c r="B44">
        <v>56</v>
      </c>
      <c r="C44">
        <v>5.4104978661051586</v>
      </c>
      <c r="D44">
        <v>450.08832000000012</v>
      </c>
      <c r="E44">
        <v>690.89705194707744</v>
      </c>
      <c r="F44">
        <v>187.88831999999999</v>
      </c>
      <c r="G44">
        <v>84.010560000000012</v>
      </c>
      <c r="H44">
        <v>8</v>
      </c>
      <c r="I44">
        <v>50</v>
      </c>
      <c r="J44">
        <v>5</v>
      </c>
      <c r="K44">
        <v>133</v>
      </c>
      <c r="L44">
        <v>63</v>
      </c>
      <c r="M44">
        <v>29</v>
      </c>
      <c r="N44">
        <v>1995</v>
      </c>
      <c r="O44">
        <v>0.27</v>
      </c>
      <c r="P44">
        <v>2.4700000000000002</v>
      </c>
      <c r="Q44">
        <v>1.4999999999999999E-2</v>
      </c>
      <c r="R44">
        <v>80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485.73346430971122</v>
      </c>
      <c r="B45">
        <v>63</v>
      </c>
      <c r="C45">
        <v>5.3970384923301236</v>
      </c>
      <c r="D45">
        <v>438.79608000000002</v>
      </c>
      <c r="E45">
        <v>691.59768291673868</v>
      </c>
      <c r="F45">
        <v>156.32604000000001</v>
      </c>
      <c r="G45">
        <v>94.294800000000009</v>
      </c>
      <c r="H45">
        <v>39</v>
      </c>
      <c r="I45">
        <v>54</v>
      </c>
      <c r="J45">
        <v>10</v>
      </c>
      <c r="K45">
        <v>333</v>
      </c>
      <c r="L45">
        <v>59</v>
      </c>
      <c r="M45">
        <v>30</v>
      </c>
      <c r="N45">
        <v>1995</v>
      </c>
      <c r="O45">
        <v>0.27</v>
      </c>
      <c r="P45">
        <v>2.4700000000000002</v>
      </c>
      <c r="Q45">
        <v>1.4999999999999999E-2</v>
      </c>
      <c r="R45">
        <v>80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431.56443303932241</v>
      </c>
      <c r="B46">
        <v>56</v>
      </c>
      <c r="C46">
        <v>5.3945554129915303</v>
      </c>
      <c r="D46">
        <v>565.13699999999994</v>
      </c>
      <c r="E46">
        <v>689.6630705394191</v>
      </c>
      <c r="F46">
        <v>187.61940000000001</v>
      </c>
      <c r="G46">
        <v>83.734800000000007</v>
      </c>
      <c r="H46">
        <v>9</v>
      </c>
      <c r="I46">
        <v>50</v>
      </c>
      <c r="J46">
        <v>4</v>
      </c>
      <c r="K46">
        <v>111</v>
      </c>
      <c r="L46">
        <v>62</v>
      </c>
      <c r="M46">
        <v>11</v>
      </c>
      <c r="N46">
        <v>1995</v>
      </c>
      <c r="O46">
        <v>0.27</v>
      </c>
      <c r="P46">
        <v>2.4700000000000002</v>
      </c>
      <c r="Q46">
        <v>1.4999999999999999E-2</v>
      </c>
      <c r="R46">
        <v>80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484.66239631974003</v>
      </c>
      <c r="B47">
        <v>63.000000000000007</v>
      </c>
      <c r="C47">
        <v>5.3851377368859996</v>
      </c>
      <c r="D47">
        <v>475.75367999999997</v>
      </c>
      <c r="E47">
        <v>687.94951473000197</v>
      </c>
      <c r="F47">
        <v>157.065192</v>
      </c>
      <c r="G47">
        <v>93.993192000000008</v>
      </c>
      <c r="H47">
        <v>39</v>
      </c>
      <c r="I47">
        <v>54</v>
      </c>
      <c r="J47">
        <v>10</v>
      </c>
      <c r="K47">
        <v>125</v>
      </c>
      <c r="L47">
        <v>59</v>
      </c>
      <c r="M47">
        <v>29</v>
      </c>
      <c r="N47">
        <v>1995</v>
      </c>
      <c r="O47">
        <v>0.27</v>
      </c>
      <c r="P47">
        <v>2.4700000000000002</v>
      </c>
      <c r="Q47">
        <v>1.4999999999999999E-2</v>
      </c>
      <c r="R47">
        <v>80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484.02717446316763</v>
      </c>
      <c r="B48">
        <v>63</v>
      </c>
      <c r="C48">
        <v>5.3780797162574183</v>
      </c>
      <c r="D48">
        <v>470.82600000000002</v>
      </c>
      <c r="E48">
        <v>687.94951473000197</v>
      </c>
      <c r="F48">
        <v>156.94200000000001</v>
      </c>
      <c r="G48">
        <v>93.87</v>
      </c>
      <c r="H48">
        <v>39</v>
      </c>
      <c r="I48">
        <v>54</v>
      </c>
      <c r="J48">
        <v>10</v>
      </c>
      <c r="K48">
        <v>124</v>
      </c>
      <c r="L48">
        <v>59</v>
      </c>
      <c r="M48">
        <v>29</v>
      </c>
      <c r="N48">
        <v>1995</v>
      </c>
      <c r="O48">
        <v>0.27</v>
      </c>
      <c r="P48">
        <v>2.4700000000000002</v>
      </c>
      <c r="Q48">
        <v>1.4999999999999999E-2</v>
      </c>
      <c r="R48">
        <v>80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483.29424404013372</v>
      </c>
      <c r="B49">
        <v>63</v>
      </c>
      <c r="C49">
        <v>5.3699360448903741</v>
      </c>
      <c r="D49">
        <v>434.16700800000001</v>
      </c>
      <c r="E49">
        <v>691.4069000640784</v>
      </c>
      <c r="F49">
        <v>155.17950400000001</v>
      </c>
      <c r="G49">
        <v>93.816391999999993</v>
      </c>
      <c r="H49">
        <v>39</v>
      </c>
      <c r="I49">
        <v>53</v>
      </c>
      <c r="J49">
        <v>10</v>
      </c>
      <c r="K49">
        <v>85</v>
      </c>
      <c r="L49">
        <v>59</v>
      </c>
      <c r="M49">
        <v>31</v>
      </c>
      <c r="N49">
        <v>1995</v>
      </c>
      <c r="O49">
        <v>0.27</v>
      </c>
      <c r="P49">
        <v>2.4700000000000002</v>
      </c>
      <c r="Q49">
        <v>1.4999999999999999E-2</v>
      </c>
      <c r="R49">
        <v>80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425.41566451197082</v>
      </c>
      <c r="B50">
        <v>56.000000000000007</v>
      </c>
      <c r="C50">
        <v>5.3176958063996338</v>
      </c>
      <c r="D50">
        <v>483.84528</v>
      </c>
      <c r="E50">
        <v>688.0331950207468</v>
      </c>
      <c r="F50">
        <v>188.22407999999999</v>
      </c>
      <c r="G50">
        <v>82.505040000000008</v>
      </c>
      <c r="H50">
        <v>8</v>
      </c>
      <c r="I50">
        <v>66</v>
      </c>
      <c r="J50">
        <v>4</v>
      </c>
      <c r="K50">
        <v>178</v>
      </c>
      <c r="L50">
        <v>47</v>
      </c>
      <c r="M50">
        <v>3</v>
      </c>
      <c r="N50">
        <v>1995</v>
      </c>
      <c r="O50">
        <v>0.27</v>
      </c>
      <c r="P50">
        <v>2.4700000000000002</v>
      </c>
      <c r="Q50">
        <v>1.4999999999999999E-2</v>
      </c>
      <c r="R50">
        <v>80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488.60068117436538</v>
      </c>
      <c r="B51">
        <v>64.358208955223887</v>
      </c>
      <c r="C51">
        <v>5.3143255906952076</v>
      </c>
      <c r="D51">
        <v>464.90375999999998</v>
      </c>
      <c r="E51">
        <v>689.21799915203633</v>
      </c>
      <c r="F51">
        <v>155.12371959999999</v>
      </c>
      <c r="G51">
        <v>94.789803500000005</v>
      </c>
      <c r="H51">
        <v>39</v>
      </c>
      <c r="I51">
        <v>53</v>
      </c>
      <c r="J51">
        <v>10</v>
      </c>
      <c r="K51">
        <v>316</v>
      </c>
      <c r="L51">
        <v>59</v>
      </c>
      <c r="M51">
        <v>37</v>
      </c>
      <c r="N51">
        <v>1995</v>
      </c>
      <c r="O51">
        <v>0.27</v>
      </c>
      <c r="P51">
        <v>2.4700000000000002</v>
      </c>
      <c r="Q51">
        <v>1.4999999999999999E-2</v>
      </c>
      <c r="R51">
        <v>80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424.49666725885157</v>
      </c>
      <c r="B52">
        <v>56</v>
      </c>
      <c r="C52">
        <v>5.3062083407356448</v>
      </c>
      <c r="D52">
        <v>493.12200000000001</v>
      </c>
      <c r="E52">
        <v>690.19534081790653</v>
      </c>
      <c r="F52">
        <v>185.29956000000001</v>
      </c>
      <c r="G52">
        <v>82.375439999999998</v>
      </c>
      <c r="H52">
        <v>9</v>
      </c>
      <c r="I52">
        <v>47</v>
      </c>
      <c r="J52">
        <v>4</v>
      </c>
      <c r="K52">
        <v>165</v>
      </c>
      <c r="L52">
        <v>64</v>
      </c>
      <c r="M52">
        <v>23</v>
      </c>
      <c r="N52">
        <v>1995</v>
      </c>
      <c r="O52">
        <v>0.27</v>
      </c>
      <c r="P52">
        <v>2.4700000000000002</v>
      </c>
      <c r="Q52">
        <v>1.4999999999999999E-2</v>
      </c>
      <c r="R52">
        <v>80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423.16389149422719</v>
      </c>
      <c r="B53">
        <v>56.000000000000007</v>
      </c>
      <c r="C53">
        <v>5.2895486436778389</v>
      </c>
      <c r="D53">
        <v>489.63120000000009</v>
      </c>
      <c r="E53">
        <v>691.6578524196791</v>
      </c>
      <c r="F53">
        <v>179.64160000000001</v>
      </c>
      <c r="G53">
        <v>82.149600000000007</v>
      </c>
      <c r="H53">
        <v>8</v>
      </c>
      <c r="I53">
        <v>47</v>
      </c>
      <c r="J53">
        <v>5</v>
      </c>
      <c r="K53">
        <v>327</v>
      </c>
      <c r="L53">
        <v>60</v>
      </c>
      <c r="M53">
        <v>37</v>
      </c>
      <c r="N53">
        <v>1995</v>
      </c>
      <c r="O53">
        <v>0.27</v>
      </c>
      <c r="P53">
        <v>2.4700000000000002</v>
      </c>
      <c r="Q53">
        <v>1.4999999999999999E-2</v>
      </c>
      <c r="R53">
        <v>80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422.45404524649899</v>
      </c>
      <c r="B54">
        <v>56.000000000000007</v>
      </c>
      <c r="C54">
        <v>5.2806755655812374</v>
      </c>
      <c r="D54">
        <v>525.97349999999994</v>
      </c>
      <c r="E54">
        <v>687.63271626121127</v>
      </c>
      <c r="F54">
        <v>180.60069999999999</v>
      </c>
      <c r="G54">
        <v>81.921700000000016</v>
      </c>
      <c r="H54">
        <v>52</v>
      </c>
      <c r="I54">
        <v>53</v>
      </c>
      <c r="J54">
        <v>11</v>
      </c>
      <c r="K54">
        <v>148</v>
      </c>
      <c r="L54">
        <v>59</v>
      </c>
      <c r="M54">
        <v>37</v>
      </c>
      <c r="N54">
        <v>1995</v>
      </c>
      <c r="O54">
        <v>0.27</v>
      </c>
      <c r="P54">
        <v>2.4700000000000002</v>
      </c>
      <c r="Q54">
        <v>1.4999999999999999E-2</v>
      </c>
      <c r="R54">
        <v>80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421.19154502514709</v>
      </c>
      <c r="B55">
        <v>56</v>
      </c>
      <c r="C55">
        <v>5.2648943128143397</v>
      </c>
      <c r="D55">
        <v>490.69020000000012</v>
      </c>
      <c r="E55">
        <v>690.11618257261409</v>
      </c>
      <c r="F55">
        <v>190.8075</v>
      </c>
      <c r="G55">
        <v>81.732300000000023</v>
      </c>
      <c r="H55">
        <v>8</v>
      </c>
      <c r="I55">
        <v>52</v>
      </c>
      <c r="J55">
        <v>5</v>
      </c>
      <c r="K55">
        <v>1</v>
      </c>
      <c r="L55">
        <v>57</v>
      </c>
      <c r="M55">
        <v>5</v>
      </c>
      <c r="N55">
        <v>1995</v>
      </c>
      <c r="O55">
        <v>0.27</v>
      </c>
      <c r="P55">
        <v>2.4700000000000002</v>
      </c>
      <c r="Q55">
        <v>1.4999999999999999E-2</v>
      </c>
      <c r="R55">
        <v>80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420.56696379223098</v>
      </c>
      <c r="B56">
        <v>56</v>
      </c>
      <c r="C56">
        <v>5.2570870474028863</v>
      </c>
      <c r="D56">
        <v>484.10543999999999</v>
      </c>
      <c r="E56">
        <v>689.00414937759342</v>
      </c>
      <c r="F56">
        <v>188.56392</v>
      </c>
      <c r="G56">
        <v>81.586320000000001</v>
      </c>
      <c r="H56">
        <v>8</v>
      </c>
      <c r="I56">
        <v>51</v>
      </c>
      <c r="J56">
        <v>5</v>
      </c>
      <c r="K56">
        <v>331</v>
      </c>
      <c r="L56">
        <v>60</v>
      </c>
      <c r="M56">
        <v>11</v>
      </c>
      <c r="N56">
        <v>1995</v>
      </c>
      <c r="O56">
        <v>0.27</v>
      </c>
      <c r="P56">
        <v>2.4700000000000002</v>
      </c>
      <c r="Q56">
        <v>1.4999999999999999E-2</v>
      </c>
      <c r="R56">
        <v>80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416.71614369547842</v>
      </c>
      <c r="B57">
        <v>56.000000000000007</v>
      </c>
      <c r="C57">
        <v>5.2089517961934799</v>
      </c>
      <c r="D57">
        <v>483.93408000000011</v>
      </c>
      <c r="E57">
        <v>690.45643153526976</v>
      </c>
      <c r="F57">
        <v>188.26848000000001</v>
      </c>
      <c r="G57">
        <v>80.87136000000001</v>
      </c>
      <c r="H57">
        <v>8</v>
      </c>
      <c r="I57">
        <v>64</v>
      </c>
      <c r="J57">
        <v>4</v>
      </c>
      <c r="K57">
        <v>177</v>
      </c>
      <c r="L57">
        <v>48</v>
      </c>
      <c r="M57">
        <v>3</v>
      </c>
      <c r="N57">
        <v>1995</v>
      </c>
      <c r="O57">
        <v>0.27</v>
      </c>
      <c r="P57">
        <v>2.4700000000000002</v>
      </c>
      <c r="Q57">
        <v>1.4999999999999999E-2</v>
      </c>
      <c r="R57">
        <v>80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468.49560673551503</v>
      </c>
      <c r="B58">
        <v>63</v>
      </c>
      <c r="C58">
        <v>5.2055067415057223</v>
      </c>
      <c r="D58">
        <v>438.87520000000001</v>
      </c>
      <c r="E58">
        <v>691.9668049792532</v>
      </c>
      <c r="F58">
        <v>155.19759999999999</v>
      </c>
      <c r="G58">
        <v>90.957599999999999</v>
      </c>
      <c r="H58">
        <v>39</v>
      </c>
      <c r="I58">
        <v>55</v>
      </c>
      <c r="J58">
        <v>10</v>
      </c>
      <c r="K58">
        <v>1</v>
      </c>
      <c r="L58">
        <v>56</v>
      </c>
      <c r="M58">
        <v>5</v>
      </c>
      <c r="N58">
        <v>1995</v>
      </c>
      <c r="O58">
        <v>0.27</v>
      </c>
      <c r="P58">
        <v>2.4700000000000002</v>
      </c>
      <c r="Q58">
        <v>1.4999999999999999E-2</v>
      </c>
      <c r="R58">
        <v>80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429.47454026161103</v>
      </c>
      <c r="B59">
        <v>58.100000000000009</v>
      </c>
      <c r="C59">
        <v>5.1743920513447108</v>
      </c>
      <c r="D59">
        <v>489.34400000000011</v>
      </c>
      <c r="E59">
        <v>691.88381742738591</v>
      </c>
      <c r="F59">
        <v>190.1344</v>
      </c>
      <c r="G59">
        <v>83.379840000000016</v>
      </c>
      <c r="H59">
        <v>8</v>
      </c>
      <c r="I59">
        <v>52</v>
      </c>
      <c r="J59">
        <v>5</v>
      </c>
      <c r="K59">
        <v>91</v>
      </c>
      <c r="L59">
        <v>58</v>
      </c>
      <c r="M59">
        <v>8</v>
      </c>
      <c r="N59">
        <v>1995</v>
      </c>
      <c r="O59">
        <v>0.27</v>
      </c>
      <c r="P59">
        <v>2.4700000000000002</v>
      </c>
      <c r="Q59">
        <v>1.4999999999999999E-2</v>
      </c>
      <c r="R59">
        <v>80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474.49685146481471</v>
      </c>
      <c r="B60">
        <v>65.100000000000009</v>
      </c>
      <c r="C60">
        <v>5.1021166824173623</v>
      </c>
      <c r="D60">
        <v>438.48320000000001</v>
      </c>
      <c r="E60">
        <v>690.57261410788396</v>
      </c>
      <c r="F60">
        <v>155.0016</v>
      </c>
      <c r="G60">
        <v>92.087679999999992</v>
      </c>
      <c r="H60">
        <v>39</v>
      </c>
      <c r="I60">
        <v>55</v>
      </c>
      <c r="J60">
        <v>10</v>
      </c>
      <c r="K60">
        <v>91</v>
      </c>
      <c r="L60">
        <v>56</v>
      </c>
      <c r="M60">
        <v>8</v>
      </c>
      <c r="N60">
        <v>1995</v>
      </c>
      <c r="O60">
        <v>0.27</v>
      </c>
      <c r="P60">
        <v>2.4700000000000002</v>
      </c>
      <c r="Q60">
        <v>1.4999999999999999E-2</v>
      </c>
      <c r="R60">
        <v>80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422.08641824456879</v>
      </c>
      <c r="B61">
        <v>58.074074074074083</v>
      </c>
      <c r="C61">
        <v>5.0876487913407864</v>
      </c>
      <c r="D61">
        <v>428.01479999999998</v>
      </c>
      <c r="E61">
        <v>691.500093968746</v>
      </c>
      <c r="F61">
        <v>181.13489999999999</v>
      </c>
      <c r="G61">
        <v>81.936900000000009</v>
      </c>
      <c r="H61">
        <v>8</v>
      </c>
      <c r="I61">
        <v>48</v>
      </c>
      <c r="J61">
        <v>5</v>
      </c>
      <c r="K61">
        <v>154</v>
      </c>
      <c r="L61">
        <v>59</v>
      </c>
      <c r="M61">
        <v>35</v>
      </c>
      <c r="N61">
        <v>1995</v>
      </c>
      <c r="O61">
        <v>0.27</v>
      </c>
      <c r="P61">
        <v>2.4700000000000002</v>
      </c>
      <c r="Q61">
        <v>1.4999999999999999E-2</v>
      </c>
      <c r="R61">
        <v>80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440.24267649476349</v>
      </c>
      <c r="B62">
        <v>68.599999999999994</v>
      </c>
      <c r="C62">
        <v>4.4922722091302409</v>
      </c>
      <c r="D62">
        <v>490.56960000000009</v>
      </c>
      <c r="E62">
        <v>689.18092607642325</v>
      </c>
      <c r="F62">
        <v>189.69839999999999</v>
      </c>
      <c r="G62">
        <v>85.407360000000011</v>
      </c>
      <c r="H62">
        <v>8</v>
      </c>
      <c r="I62">
        <v>53</v>
      </c>
      <c r="J62">
        <v>5</v>
      </c>
      <c r="K62">
        <v>325</v>
      </c>
      <c r="L62">
        <v>59</v>
      </c>
      <c r="M62">
        <v>27</v>
      </c>
      <c r="N62">
        <v>1995</v>
      </c>
      <c r="O62">
        <v>0.27</v>
      </c>
      <c r="P62">
        <v>2.4700000000000002</v>
      </c>
      <c r="Q62">
        <v>1.4999999999999999E-2</v>
      </c>
      <c r="R62">
        <v>80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421.72973238431092</v>
      </c>
      <c r="B63">
        <v>68.600000000000009</v>
      </c>
      <c r="C63">
        <v>4.3033646161664372</v>
      </c>
      <c r="D63">
        <v>463.03680000000003</v>
      </c>
      <c r="E63">
        <v>691.15375788391361</v>
      </c>
      <c r="F63">
        <v>179.3484</v>
      </c>
      <c r="G63">
        <v>81.859920000000002</v>
      </c>
      <c r="H63">
        <v>9</v>
      </c>
      <c r="I63">
        <v>47</v>
      </c>
      <c r="J63">
        <v>4</v>
      </c>
      <c r="K63">
        <v>325</v>
      </c>
      <c r="L63">
        <v>61</v>
      </c>
      <c r="M63">
        <v>26</v>
      </c>
      <c r="N63">
        <v>1995</v>
      </c>
      <c r="O63">
        <v>0.27</v>
      </c>
      <c r="P63">
        <v>2.4700000000000002</v>
      </c>
      <c r="Q63">
        <v>1.4999999999999999E-2</v>
      </c>
      <c r="R63">
        <v>80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437.6007036961725</v>
      </c>
      <c r="B64">
        <v>73.38144329896906</v>
      </c>
      <c r="C64">
        <v>4.1743590588606514</v>
      </c>
      <c r="D64">
        <v>519.93769499999996</v>
      </c>
      <c r="E64">
        <v>687.69245472662794</v>
      </c>
      <c r="F64">
        <v>181.9394355</v>
      </c>
      <c r="G64">
        <v>84.860303999999999</v>
      </c>
      <c r="H64">
        <v>8</v>
      </c>
      <c r="I64">
        <v>51</v>
      </c>
      <c r="J64">
        <v>5</v>
      </c>
      <c r="K64">
        <v>79</v>
      </c>
      <c r="L64">
        <v>62</v>
      </c>
      <c r="M64">
        <v>29</v>
      </c>
      <c r="N64">
        <v>1995</v>
      </c>
      <c r="O64">
        <v>0.27</v>
      </c>
      <c r="P64">
        <v>2.4700000000000002</v>
      </c>
      <c r="Q64">
        <v>1.4999999999999999E-2</v>
      </c>
      <c r="R64">
        <v>80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437.43460905752528</v>
      </c>
      <c r="B65">
        <v>73.38144329896906</v>
      </c>
      <c r="C65">
        <v>4.1727746494810303</v>
      </c>
      <c r="D65">
        <v>519.72613799999999</v>
      </c>
      <c r="E65">
        <v>689.08215947233828</v>
      </c>
      <c r="F65">
        <v>181.89007219999999</v>
      </c>
      <c r="G65">
        <v>84.860303999999999</v>
      </c>
      <c r="H65">
        <v>8</v>
      </c>
      <c r="I65">
        <v>51</v>
      </c>
      <c r="J65">
        <v>5</v>
      </c>
      <c r="K65">
        <v>78</v>
      </c>
      <c r="L65">
        <v>62</v>
      </c>
      <c r="M65">
        <v>29</v>
      </c>
      <c r="N65">
        <v>1995</v>
      </c>
      <c r="O65">
        <v>0.27</v>
      </c>
      <c r="P65">
        <v>2.4700000000000002</v>
      </c>
      <c r="Q65">
        <v>1.4999999999999999E-2</v>
      </c>
      <c r="R65">
        <v>80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443.53260808648719</v>
      </c>
      <c r="B66">
        <v>74.666666666666657</v>
      </c>
      <c r="C66">
        <v>4.1581182008108177</v>
      </c>
      <c r="D66">
        <v>390.36900000000003</v>
      </c>
      <c r="E66">
        <v>692.69753776034531</v>
      </c>
      <c r="F66">
        <v>208.90779000000001</v>
      </c>
      <c r="G66">
        <v>86.128249999999994</v>
      </c>
      <c r="H66">
        <v>164</v>
      </c>
      <c r="I66">
        <v>56</v>
      </c>
      <c r="J66">
        <v>5</v>
      </c>
      <c r="K66">
        <v>82</v>
      </c>
      <c r="L66">
        <v>57</v>
      </c>
      <c r="M66">
        <v>50</v>
      </c>
      <c r="N66">
        <v>1995</v>
      </c>
      <c r="O66">
        <v>0.27</v>
      </c>
      <c r="P66">
        <v>2.4700000000000002</v>
      </c>
      <c r="Q66">
        <v>1.4999999999999999E-2</v>
      </c>
      <c r="R66">
        <v>80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436.62653588354152</v>
      </c>
      <c r="B67">
        <v>74</v>
      </c>
      <c r="C67">
        <v>4.130251015114581</v>
      </c>
      <c r="D67">
        <v>520.14240000000007</v>
      </c>
      <c r="E67">
        <v>690.51978507134891</v>
      </c>
      <c r="F67">
        <v>181.9872</v>
      </c>
      <c r="G67">
        <v>84.736800000000002</v>
      </c>
      <c r="H67">
        <v>8</v>
      </c>
      <c r="I67">
        <v>51</v>
      </c>
      <c r="J67">
        <v>5</v>
      </c>
      <c r="K67">
        <v>116</v>
      </c>
      <c r="L67">
        <v>62</v>
      </c>
      <c r="M67">
        <v>28</v>
      </c>
      <c r="N67">
        <v>1995</v>
      </c>
      <c r="O67">
        <v>0.27</v>
      </c>
      <c r="P67">
        <v>2.4700000000000002</v>
      </c>
      <c r="Q67">
        <v>1.4999999999999999E-2</v>
      </c>
      <c r="R67">
        <v>80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429.79546576950588</v>
      </c>
      <c r="B68">
        <v>77</v>
      </c>
      <c r="C68">
        <v>3.907231506995509</v>
      </c>
      <c r="D68">
        <v>395.2355</v>
      </c>
      <c r="E68">
        <v>691.43389892041762</v>
      </c>
      <c r="F68">
        <v>175.1277</v>
      </c>
      <c r="G68">
        <v>83.431900000000013</v>
      </c>
      <c r="H68">
        <v>52</v>
      </c>
      <c r="I68">
        <v>55</v>
      </c>
      <c r="J68">
        <v>11</v>
      </c>
      <c r="K68">
        <v>87</v>
      </c>
      <c r="L68">
        <v>58</v>
      </c>
      <c r="M68">
        <v>34</v>
      </c>
      <c r="N68">
        <v>1995</v>
      </c>
      <c r="O68">
        <v>0.27</v>
      </c>
      <c r="P68">
        <v>2.4700000000000002</v>
      </c>
      <c r="Q68">
        <v>1.4999999999999999E-2</v>
      </c>
      <c r="R68">
        <v>80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422.84458716281949</v>
      </c>
      <c r="B69">
        <v>77</v>
      </c>
      <c r="C69">
        <v>3.8440417014801769</v>
      </c>
      <c r="D69">
        <v>542.88960000000009</v>
      </c>
      <c r="E69">
        <v>688.15791752430516</v>
      </c>
      <c r="F69">
        <v>173.9376</v>
      </c>
      <c r="G69">
        <v>82.009200000000007</v>
      </c>
      <c r="H69">
        <v>8</v>
      </c>
      <c r="I69">
        <v>49</v>
      </c>
      <c r="J69">
        <v>5</v>
      </c>
      <c r="K69">
        <v>87</v>
      </c>
      <c r="L69">
        <v>63</v>
      </c>
      <c r="M69">
        <v>30</v>
      </c>
      <c r="N69">
        <v>1995</v>
      </c>
      <c r="O69">
        <v>0.27</v>
      </c>
      <c r="P69">
        <v>2.4700000000000002</v>
      </c>
      <c r="Q69">
        <v>1.4999999999999999E-2</v>
      </c>
      <c r="R69">
        <v>80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478.91481852506502</v>
      </c>
      <c r="B70">
        <v>98</v>
      </c>
      <c r="C70">
        <v>3.420820132321893</v>
      </c>
      <c r="D70">
        <v>486.96960000000001</v>
      </c>
      <c r="E70">
        <v>690.65560165975103</v>
      </c>
      <c r="F70">
        <v>193.3056</v>
      </c>
      <c r="G70">
        <v>92.947200000000009</v>
      </c>
      <c r="H70">
        <v>8</v>
      </c>
      <c r="I70">
        <v>56</v>
      </c>
      <c r="J70">
        <v>5</v>
      </c>
      <c r="K70">
        <v>320</v>
      </c>
      <c r="L70">
        <v>55</v>
      </c>
      <c r="M70">
        <v>48</v>
      </c>
      <c r="N70">
        <v>1995</v>
      </c>
      <c r="O70">
        <v>0.27</v>
      </c>
      <c r="P70">
        <v>2.4700000000000002</v>
      </c>
      <c r="Q70">
        <v>1.4999999999999999E-2</v>
      </c>
      <c r="R70">
        <v>80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463.38090045430653</v>
      </c>
      <c r="B71">
        <v>97.999999999999986</v>
      </c>
      <c r="C71">
        <v>3.309863574673618</v>
      </c>
      <c r="D71">
        <v>451.72176000000002</v>
      </c>
      <c r="E71">
        <v>691.99170124481338</v>
      </c>
      <c r="F71">
        <v>179.77176</v>
      </c>
      <c r="G71">
        <v>89.96520000000001</v>
      </c>
      <c r="H71">
        <v>9</v>
      </c>
      <c r="I71">
        <v>49</v>
      </c>
      <c r="J71">
        <v>4</v>
      </c>
      <c r="K71">
        <v>320</v>
      </c>
      <c r="L71">
        <v>61</v>
      </c>
      <c r="M71">
        <v>45</v>
      </c>
      <c r="N71">
        <v>1995</v>
      </c>
      <c r="O71">
        <v>0.27</v>
      </c>
      <c r="P71">
        <v>2.4700000000000002</v>
      </c>
      <c r="Q71">
        <v>1.4999999999999999E-2</v>
      </c>
      <c r="R71">
        <v>80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444.87673530251709</v>
      </c>
      <c r="B72">
        <v>97.999999999999986</v>
      </c>
      <c r="C72">
        <v>3.1776909664465509</v>
      </c>
      <c r="D72">
        <v>431.39055999999999</v>
      </c>
      <c r="E72">
        <v>692.18921161825733</v>
      </c>
      <c r="F72">
        <v>172.39055999999999</v>
      </c>
      <c r="G72">
        <v>86.377279999999999</v>
      </c>
      <c r="H72">
        <v>6</v>
      </c>
      <c r="I72">
        <v>50</v>
      </c>
      <c r="J72">
        <v>7</v>
      </c>
      <c r="K72">
        <v>320</v>
      </c>
      <c r="L72">
        <v>58</v>
      </c>
      <c r="M72">
        <v>46</v>
      </c>
      <c r="N72">
        <v>1995</v>
      </c>
      <c r="O72">
        <v>0.27</v>
      </c>
      <c r="P72">
        <v>2.4700000000000002</v>
      </c>
      <c r="Q72">
        <v>1.4999999999999999E-2</v>
      </c>
      <c r="R72">
        <v>80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444.91584932953918</v>
      </c>
      <c r="B73">
        <v>99.714285714285708</v>
      </c>
      <c r="C73">
        <v>3.1233347589036429</v>
      </c>
      <c r="D73">
        <v>475.41420000000011</v>
      </c>
      <c r="E73">
        <v>688.98755186721996</v>
      </c>
      <c r="F73">
        <v>181.81347</v>
      </c>
      <c r="G73">
        <v>86.309399999999997</v>
      </c>
      <c r="H73">
        <v>8</v>
      </c>
      <c r="I73">
        <v>53</v>
      </c>
      <c r="J73">
        <v>5</v>
      </c>
      <c r="K73">
        <v>321</v>
      </c>
      <c r="L73">
        <v>57</v>
      </c>
      <c r="M73">
        <v>28</v>
      </c>
      <c r="N73">
        <v>1995</v>
      </c>
      <c r="O73">
        <v>0.27</v>
      </c>
      <c r="P73">
        <v>2.4700000000000002</v>
      </c>
      <c r="Q73">
        <v>1.4999999999999999E-2</v>
      </c>
      <c r="R73">
        <v>80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427.57785283320118</v>
      </c>
      <c r="B74">
        <v>98</v>
      </c>
      <c r="C74">
        <v>3.0541275202371518</v>
      </c>
      <c r="D74">
        <v>505.73759999999999</v>
      </c>
      <c r="E74">
        <v>688.15791752430528</v>
      </c>
      <c r="F74">
        <v>169.94159999999999</v>
      </c>
      <c r="G74">
        <v>82.927200000000013</v>
      </c>
      <c r="H74">
        <v>8</v>
      </c>
      <c r="I74">
        <v>49</v>
      </c>
      <c r="J74">
        <v>5</v>
      </c>
      <c r="K74">
        <v>83</v>
      </c>
      <c r="L74">
        <v>60</v>
      </c>
      <c r="M74">
        <v>36</v>
      </c>
      <c r="N74">
        <v>1995</v>
      </c>
      <c r="O74">
        <v>0.27</v>
      </c>
      <c r="P74">
        <v>2.4700000000000002</v>
      </c>
      <c r="Q74">
        <v>1.4999999999999999E-2</v>
      </c>
      <c r="R74">
        <v>80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426.39978535017082</v>
      </c>
      <c r="B75">
        <v>98</v>
      </c>
      <c r="C75">
        <v>3.04571275250122</v>
      </c>
      <c r="D75">
        <v>448.86099999999999</v>
      </c>
      <c r="E75">
        <v>690.11795162245221</v>
      </c>
      <c r="F75">
        <v>171.9905</v>
      </c>
      <c r="G75">
        <v>82.742999999999995</v>
      </c>
      <c r="H75">
        <v>8</v>
      </c>
      <c r="I75">
        <v>50</v>
      </c>
      <c r="J75">
        <v>5</v>
      </c>
      <c r="K75">
        <v>66</v>
      </c>
      <c r="L75">
        <v>63</v>
      </c>
      <c r="M75">
        <v>26</v>
      </c>
      <c r="N75">
        <v>1995</v>
      </c>
      <c r="O75">
        <v>0.27</v>
      </c>
      <c r="P75">
        <v>2.4700000000000002</v>
      </c>
      <c r="Q75">
        <v>1.4999999999999999E-2</v>
      </c>
      <c r="R75">
        <v>80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420.40219240104562</v>
      </c>
      <c r="B76">
        <v>98.000000000000014</v>
      </c>
      <c r="C76">
        <v>3.0028728028646121</v>
      </c>
      <c r="D76">
        <v>426.10960000000011</v>
      </c>
      <c r="E76">
        <v>691.14308970519471</v>
      </c>
      <c r="F76">
        <v>163.7612</v>
      </c>
      <c r="G76">
        <v>81.602000000000004</v>
      </c>
      <c r="H76">
        <v>8</v>
      </c>
      <c r="I76">
        <v>47</v>
      </c>
      <c r="J76">
        <v>5</v>
      </c>
      <c r="K76">
        <v>72</v>
      </c>
      <c r="L76">
        <v>59</v>
      </c>
      <c r="M76">
        <v>37</v>
      </c>
      <c r="N76">
        <v>1995</v>
      </c>
      <c r="O76">
        <v>0.27</v>
      </c>
      <c r="P76">
        <v>2.4700000000000002</v>
      </c>
      <c r="Q76">
        <v>1.4999999999999999E-2</v>
      </c>
      <c r="R76">
        <v>80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425.1668349507741</v>
      </c>
      <c r="B77">
        <v>99.714285714285708</v>
      </c>
      <c r="C77">
        <v>2.9846955462160372</v>
      </c>
      <c r="D77">
        <v>447.19749999999999</v>
      </c>
      <c r="E77">
        <v>689.45228215767634</v>
      </c>
      <c r="F77">
        <v>171.13037499999999</v>
      </c>
      <c r="G77">
        <v>82.488749999999996</v>
      </c>
      <c r="H77">
        <v>9</v>
      </c>
      <c r="I77">
        <v>47</v>
      </c>
      <c r="J77">
        <v>4</v>
      </c>
      <c r="K77">
        <v>321</v>
      </c>
      <c r="L77">
        <v>63</v>
      </c>
      <c r="M77">
        <v>25</v>
      </c>
      <c r="N77">
        <v>1995</v>
      </c>
      <c r="O77">
        <v>0.27</v>
      </c>
      <c r="P77">
        <v>2.4700000000000002</v>
      </c>
      <c r="Q77">
        <v>1.4999999999999999E-2</v>
      </c>
      <c r="R77">
        <v>80</v>
      </c>
      <c r="S77">
        <v>700</v>
      </c>
      <c r="T77">
        <v>475</v>
      </c>
      <c r="U77">
        <v>275</v>
      </c>
      <c r="V77">
        <v>370</v>
      </c>
      <c r="W77">
        <v>155</v>
      </c>
    </row>
  </sheetData>
  <sortState xmlns:xlrd2="http://schemas.microsoft.com/office/spreadsheetml/2017/richdata2" ref="A2:W77">
    <sortCondition descending="1" ref="C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B170F-5595-4A47-9A08-5E49DD444BBD}">
  <sheetPr codeName="Sheet14"/>
  <dimension ref="A1:W4"/>
  <sheetViews>
    <sheetView workbookViewId="0">
      <selection activeCell="A4" sqref="A4:XFD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415.17278046464651</v>
      </c>
      <c r="B2">
        <v>21</v>
      </c>
      <c r="C2">
        <v>13.839092682154879</v>
      </c>
      <c r="D2">
        <v>1210.5382500000001</v>
      </c>
      <c r="E2">
        <v>696.39834024896265</v>
      </c>
      <c r="F2">
        <v>161.4051</v>
      </c>
      <c r="G2">
        <v>80.702550000000002</v>
      </c>
      <c r="H2">
        <v>142</v>
      </c>
      <c r="I2">
        <v>111</v>
      </c>
      <c r="J2">
        <v>30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80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427.29815888594749</v>
      </c>
      <c r="B3">
        <v>29.400000000000009</v>
      </c>
      <c r="C3">
        <v>10.17376568776065</v>
      </c>
      <c r="D3">
        <v>408.42119999999989</v>
      </c>
      <c r="E3">
        <v>688.45145228215779</v>
      </c>
      <c r="F3">
        <v>247.1404</v>
      </c>
      <c r="G3">
        <v>82.879600000000011</v>
      </c>
      <c r="H3">
        <v>39</v>
      </c>
      <c r="I3">
        <v>59</v>
      </c>
      <c r="J3">
        <v>8</v>
      </c>
      <c r="K3">
        <v>163</v>
      </c>
      <c r="L3">
        <v>50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80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421.27891926638972</v>
      </c>
      <c r="B4">
        <v>32.666666666666671</v>
      </c>
      <c r="C4">
        <v>9.0274054128512056</v>
      </c>
      <c r="D4">
        <v>634.34280000000001</v>
      </c>
      <c r="E4">
        <v>686.00640064872005</v>
      </c>
      <c r="F4">
        <v>246.19504000000001</v>
      </c>
      <c r="G4">
        <v>81.657519999999991</v>
      </c>
      <c r="H4">
        <v>164</v>
      </c>
      <c r="I4">
        <v>56</v>
      </c>
      <c r="J4">
        <v>5</v>
      </c>
      <c r="K4">
        <v>142</v>
      </c>
      <c r="L4">
        <v>56</v>
      </c>
      <c r="M4">
        <v>22</v>
      </c>
      <c r="N4">
        <v>1995</v>
      </c>
      <c r="O4">
        <v>0.27</v>
      </c>
      <c r="P4">
        <v>2.4700000000000002</v>
      </c>
      <c r="Q4">
        <v>1.4999999999999999E-2</v>
      </c>
      <c r="R4">
        <v>80</v>
      </c>
      <c r="S4">
        <v>700</v>
      </c>
      <c r="T4">
        <v>475</v>
      </c>
      <c r="U4">
        <v>275</v>
      </c>
      <c r="V4">
        <v>370</v>
      </c>
      <c r="W4">
        <v>155</v>
      </c>
    </row>
  </sheetData>
  <sortState xmlns:xlrd2="http://schemas.microsoft.com/office/spreadsheetml/2017/richdata2" ref="A2:W4">
    <sortCondition descending="1" ref="C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5B68A-EB40-4A2D-8F24-76A1EF36F704}">
  <sheetPr codeName="Sheet15"/>
  <dimension ref="A1:W29"/>
  <sheetViews>
    <sheetView workbookViewId="0">
      <selection activeCell="L34" sqref="L3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446.51984882980821</v>
      </c>
      <c r="B2">
        <v>21</v>
      </c>
      <c r="C2">
        <v>14.88399496099361</v>
      </c>
      <c r="D2">
        <v>519.99360000000001</v>
      </c>
      <c r="E2">
        <v>690.89128630705409</v>
      </c>
      <c r="F2">
        <v>173.3312</v>
      </c>
      <c r="G2">
        <v>86.665599999999998</v>
      </c>
      <c r="H2">
        <v>39</v>
      </c>
      <c r="I2">
        <v>106</v>
      </c>
      <c r="J2">
        <v>7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85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447.19128670200553</v>
      </c>
      <c r="B3">
        <v>39.666666666666657</v>
      </c>
      <c r="C3">
        <v>7.8916109418000966</v>
      </c>
      <c r="D3">
        <v>491.976</v>
      </c>
      <c r="E3">
        <v>690.58233897776768</v>
      </c>
      <c r="F3">
        <v>236.0916</v>
      </c>
      <c r="G3">
        <v>86.788600000000002</v>
      </c>
      <c r="H3">
        <v>164</v>
      </c>
      <c r="I3">
        <v>55</v>
      </c>
      <c r="J3">
        <v>5</v>
      </c>
      <c r="K3">
        <v>323</v>
      </c>
      <c r="L3">
        <v>58</v>
      </c>
      <c r="M3">
        <v>43</v>
      </c>
      <c r="N3">
        <v>1995</v>
      </c>
      <c r="O3">
        <v>0.27</v>
      </c>
      <c r="P3">
        <v>2.4700000000000002</v>
      </c>
      <c r="Q3">
        <v>1.4999999999999999E-2</v>
      </c>
      <c r="R3">
        <v>85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455.14821631227511</v>
      </c>
      <c r="B4">
        <v>41.06666666666667</v>
      </c>
      <c r="C4">
        <v>7.7582082325955994</v>
      </c>
      <c r="D4">
        <v>405.21600000000001</v>
      </c>
      <c r="E4">
        <v>691.64222062928809</v>
      </c>
      <c r="F4">
        <v>241.05600000000001</v>
      </c>
      <c r="G4">
        <v>88.358399999999989</v>
      </c>
      <c r="H4">
        <v>164</v>
      </c>
      <c r="I4">
        <v>48</v>
      </c>
      <c r="J4">
        <v>6</v>
      </c>
      <c r="K4">
        <v>126</v>
      </c>
      <c r="L4">
        <v>58</v>
      </c>
      <c r="M4">
        <v>40</v>
      </c>
      <c r="N4">
        <v>1995</v>
      </c>
      <c r="O4">
        <v>0.27</v>
      </c>
      <c r="P4">
        <v>2.4700000000000002</v>
      </c>
      <c r="Q4">
        <v>1.4999999999999999E-2</v>
      </c>
      <c r="R4">
        <v>85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542.81766712170202</v>
      </c>
      <c r="B5">
        <v>50.4</v>
      </c>
      <c r="C5">
        <v>7.5391342655791949</v>
      </c>
      <c r="D5">
        <v>464.00519999999989</v>
      </c>
      <c r="E5">
        <v>690.46970954356846</v>
      </c>
      <c r="F5">
        <v>224.66904</v>
      </c>
      <c r="G5">
        <v>105.34404000000001</v>
      </c>
      <c r="H5">
        <v>112</v>
      </c>
      <c r="I5">
        <v>53</v>
      </c>
      <c r="J5">
        <v>8</v>
      </c>
      <c r="K5">
        <v>163</v>
      </c>
      <c r="L5">
        <v>55</v>
      </c>
      <c r="M5">
        <v>6</v>
      </c>
      <c r="N5">
        <v>1995</v>
      </c>
      <c r="O5">
        <v>0.27</v>
      </c>
      <c r="P5">
        <v>2.4700000000000002</v>
      </c>
      <c r="Q5">
        <v>1.4999999999999999E-2</v>
      </c>
      <c r="R5">
        <v>85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533.63469421194816</v>
      </c>
      <c r="B6">
        <v>50.400000000000013</v>
      </c>
      <c r="C6">
        <v>7.411592975165946</v>
      </c>
      <c r="D6">
        <v>601.41800000000001</v>
      </c>
      <c r="E6">
        <v>688.09792531120331</v>
      </c>
      <c r="F6">
        <v>215.41985</v>
      </c>
      <c r="G6">
        <v>103.49485</v>
      </c>
      <c r="H6">
        <v>111</v>
      </c>
      <c r="I6">
        <v>57</v>
      </c>
      <c r="J6">
        <v>32</v>
      </c>
      <c r="K6">
        <v>96</v>
      </c>
      <c r="L6">
        <v>55</v>
      </c>
      <c r="M6">
        <v>25</v>
      </c>
      <c r="N6">
        <v>1995</v>
      </c>
      <c r="O6">
        <v>0.27</v>
      </c>
      <c r="P6">
        <v>2.4700000000000002</v>
      </c>
      <c r="Q6">
        <v>1.4999999999999999E-2</v>
      </c>
      <c r="R6">
        <v>85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515.34388523950713</v>
      </c>
      <c r="B7">
        <v>50.4</v>
      </c>
      <c r="C7">
        <v>7.1575539616598221</v>
      </c>
      <c r="D7">
        <v>376.67200000000003</v>
      </c>
      <c r="E7">
        <v>688.5860776162599</v>
      </c>
      <c r="F7">
        <v>184.61680000000001</v>
      </c>
      <c r="G7">
        <v>99.960800000000006</v>
      </c>
      <c r="H7">
        <v>165</v>
      </c>
      <c r="I7">
        <v>60</v>
      </c>
      <c r="J7">
        <v>64</v>
      </c>
      <c r="K7">
        <v>96</v>
      </c>
      <c r="L7">
        <v>52</v>
      </c>
      <c r="M7">
        <v>20</v>
      </c>
      <c r="N7">
        <v>1995</v>
      </c>
      <c r="O7">
        <v>0.27</v>
      </c>
      <c r="P7">
        <v>2.4700000000000002</v>
      </c>
      <c r="Q7">
        <v>1.4999999999999999E-2</v>
      </c>
      <c r="R7">
        <v>85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538.47895080633862</v>
      </c>
      <c r="B8">
        <v>56</v>
      </c>
      <c r="C8">
        <v>6.7309868850792327</v>
      </c>
      <c r="D8">
        <v>519.61619999999994</v>
      </c>
      <c r="E8">
        <v>688.07966804979253</v>
      </c>
      <c r="F8">
        <v>162.13164</v>
      </c>
      <c r="G8">
        <v>104.43384</v>
      </c>
      <c r="H8">
        <v>112</v>
      </c>
      <c r="I8">
        <v>53</v>
      </c>
      <c r="J8">
        <v>8</v>
      </c>
      <c r="K8">
        <v>52</v>
      </c>
      <c r="L8">
        <v>58</v>
      </c>
      <c r="M8">
        <v>6</v>
      </c>
      <c r="N8">
        <v>1995</v>
      </c>
      <c r="O8">
        <v>0.27</v>
      </c>
      <c r="P8">
        <v>2.4700000000000002</v>
      </c>
      <c r="Q8">
        <v>1.4999999999999999E-2</v>
      </c>
      <c r="R8">
        <v>85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458.95655573146422</v>
      </c>
      <c r="B9">
        <v>49.000000000000007</v>
      </c>
      <c r="C9">
        <v>6.5565222247352031</v>
      </c>
      <c r="D9">
        <v>409.13119999999998</v>
      </c>
      <c r="E9">
        <v>691.21631579656321</v>
      </c>
      <c r="F9">
        <v>160.26143999999999</v>
      </c>
      <c r="G9">
        <v>89.08735999999999</v>
      </c>
      <c r="H9">
        <v>39</v>
      </c>
      <c r="I9">
        <v>57</v>
      </c>
      <c r="J9">
        <v>8</v>
      </c>
      <c r="K9">
        <v>84</v>
      </c>
      <c r="L9">
        <v>56</v>
      </c>
      <c r="M9">
        <v>44</v>
      </c>
      <c r="N9">
        <v>1995</v>
      </c>
      <c r="O9">
        <v>0.27</v>
      </c>
      <c r="P9">
        <v>2.4700000000000002</v>
      </c>
      <c r="Q9">
        <v>1.4999999999999999E-2</v>
      </c>
      <c r="R9">
        <v>85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524.12256563170695</v>
      </c>
      <c r="B10">
        <v>56.000000000000007</v>
      </c>
      <c r="C10">
        <v>6.5515320703963376</v>
      </c>
      <c r="D10">
        <v>483.65939999999989</v>
      </c>
      <c r="E10">
        <v>688.91618257261405</v>
      </c>
      <c r="F10">
        <v>156.79187999999999</v>
      </c>
      <c r="G10">
        <v>101.67276</v>
      </c>
      <c r="H10">
        <v>112</v>
      </c>
      <c r="I10">
        <v>58</v>
      </c>
      <c r="J10">
        <v>7</v>
      </c>
      <c r="K10">
        <v>53</v>
      </c>
      <c r="L10">
        <v>52</v>
      </c>
      <c r="M10">
        <v>7</v>
      </c>
      <c r="N10">
        <v>1995</v>
      </c>
      <c r="O10">
        <v>0.27</v>
      </c>
      <c r="P10">
        <v>2.4700000000000002</v>
      </c>
      <c r="Q10">
        <v>1.4999999999999999E-2</v>
      </c>
      <c r="R10">
        <v>85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499.81675767922229</v>
      </c>
      <c r="B11">
        <v>53.666666666666671</v>
      </c>
      <c r="C11">
        <v>6.5193490132072469</v>
      </c>
      <c r="D11">
        <v>386.48700000000002</v>
      </c>
      <c r="E11">
        <v>692.09721242915725</v>
      </c>
      <c r="F11">
        <v>263.7774</v>
      </c>
      <c r="G11">
        <v>97.042000000000002</v>
      </c>
      <c r="H11">
        <v>164</v>
      </c>
      <c r="I11">
        <v>50</v>
      </c>
      <c r="J11">
        <v>7</v>
      </c>
      <c r="K11">
        <v>111</v>
      </c>
      <c r="L11">
        <v>60</v>
      </c>
      <c r="M11">
        <v>13</v>
      </c>
      <c r="N11">
        <v>1995</v>
      </c>
      <c r="O11">
        <v>0.27</v>
      </c>
      <c r="P11">
        <v>2.4700000000000002</v>
      </c>
      <c r="Q11">
        <v>1.4999999999999999E-2</v>
      </c>
      <c r="R11">
        <v>85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455.96428139067967</v>
      </c>
      <c r="B12">
        <v>49.000000000000007</v>
      </c>
      <c r="C12">
        <v>6.513775448438281</v>
      </c>
      <c r="D12">
        <v>622.78439999999989</v>
      </c>
      <c r="E12">
        <v>688.5285217914485</v>
      </c>
      <c r="F12">
        <v>157.59440000000001</v>
      </c>
      <c r="G12">
        <v>88.441600000000008</v>
      </c>
      <c r="H12">
        <v>39</v>
      </c>
      <c r="I12">
        <v>56</v>
      </c>
      <c r="J12">
        <v>8</v>
      </c>
      <c r="K12">
        <v>323</v>
      </c>
      <c r="L12">
        <v>57</v>
      </c>
      <c r="M12">
        <v>44</v>
      </c>
      <c r="N12">
        <v>1995</v>
      </c>
      <c r="O12">
        <v>0.27</v>
      </c>
      <c r="P12">
        <v>2.4700000000000002</v>
      </c>
      <c r="Q12">
        <v>1.4999999999999999E-2</v>
      </c>
      <c r="R12">
        <v>85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457.25651565983583</v>
      </c>
      <c r="B13">
        <v>50.400000000000013</v>
      </c>
      <c r="C13">
        <v>6.350784939719941</v>
      </c>
      <c r="D13">
        <v>438.327</v>
      </c>
      <c r="E13">
        <v>689.84564315352691</v>
      </c>
      <c r="F13">
        <v>205.3998</v>
      </c>
      <c r="G13">
        <v>88.724159999999998</v>
      </c>
      <c r="H13">
        <v>112</v>
      </c>
      <c r="I13">
        <v>56</v>
      </c>
      <c r="J13">
        <v>6</v>
      </c>
      <c r="K13">
        <v>57</v>
      </c>
      <c r="L13">
        <v>56</v>
      </c>
      <c r="M13">
        <v>9</v>
      </c>
      <c r="N13">
        <v>1995</v>
      </c>
      <c r="O13">
        <v>0.27</v>
      </c>
      <c r="P13">
        <v>2.4700000000000002</v>
      </c>
      <c r="Q13">
        <v>1.4999999999999999E-2</v>
      </c>
      <c r="R13">
        <v>85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505.0297741340525</v>
      </c>
      <c r="B14">
        <v>55.999999999999993</v>
      </c>
      <c r="C14">
        <v>6.3128721766756577</v>
      </c>
      <c r="D14">
        <v>1671.1746000000001</v>
      </c>
      <c r="E14">
        <v>672.49626556016597</v>
      </c>
      <c r="F14">
        <v>165.15971999999999</v>
      </c>
      <c r="G14">
        <v>97.529640000000015</v>
      </c>
      <c r="H14">
        <v>111</v>
      </c>
      <c r="I14">
        <v>57</v>
      </c>
      <c r="J14">
        <v>27</v>
      </c>
      <c r="K14">
        <v>161</v>
      </c>
      <c r="L14">
        <v>56</v>
      </c>
      <c r="M14">
        <v>34</v>
      </c>
      <c r="N14">
        <v>1995</v>
      </c>
      <c r="O14">
        <v>0.27</v>
      </c>
      <c r="P14">
        <v>2.4700000000000002</v>
      </c>
      <c r="Q14">
        <v>1.4999999999999999E-2</v>
      </c>
      <c r="R14">
        <v>85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444.07230350371179</v>
      </c>
      <c r="B15">
        <v>50.400000000000013</v>
      </c>
      <c r="C15">
        <v>6.1676708819959973</v>
      </c>
      <c r="D15">
        <v>431.0172</v>
      </c>
      <c r="E15">
        <v>691.43900414937752</v>
      </c>
      <c r="F15">
        <v>202.32504</v>
      </c>
      <c r="G15">
        <v>86.203440000000001</v>
      </c>
      <c r="H15">
        <v>112</v>
      </c>
      <c r="I15">
        <v>54</v>
      </c>
      <c r="J15">
        <v>6</v>
      </c>
      <c r="K15">
        <v>295</v>
      </c>
      <c r="L15">
        <v>56</v>
      </c>
      <c r="M15">
        <v>9</v>
      </c>
      <c r="N15">
        <v>1995</v>
      </c>
      <c r="O15">
        <v>0.27</v>
      </c>
      <c r="P15">
        <v>2.4700000000000002</v>
      </c>
      <c r="Q15">
        <v>1.4999999999999999E-2</v>
      </c>
      <c r="R15">
        <v>85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485.06816319548523</v>
      </c>
      <c r="B16">
        <v>56</v>
      </c>
      <c r="C16">
        <v>6.0633520399435659</v>
      </c>
      <c r="D16">
        <v>495.74400000000003</v>
      </c>
      <c r="E16">
        <v>690.7554586861437</v>
      </c>
      <c r="F16">
        <v>160.87039999999999</v>
      </c>
      <c r="G16">
        <v>94.144000000000005</v>
      </c>
      <c r="H16">
        <v>39</v>
      </c>
      <c r="I16">
        <v>52</v>
      </c>
      <c r="J16">
        <v>10</v>
      </c>
      <c r="K16">
        <v>127</v>
      </c>
      <c r="L16">
        <v>58</v>
      </c>
      <c r="M16">
        <v>32</v>
      </c>
      <c r="N16">
        <v>1995</v>
      </c>
      <c r="O16">
        <v>0.27</v>
      </c>
      <c r="P16">
        <v>2.4700000000000002</v>
      </c>
      <c r="Q16">
        <v>1.4999999999999999E-2</v>
      </c>
      <c r="R16">
        <v>85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453.91683640745151</v>
      </c>
      <c r="B17">
        <v>53.666666666666657</v>
      </c>
      <c r="C17">
        <v>5.9206543879232809</v>
      </c>
      <c r="D17">
        <v>496.50299999999999</v>
      </c>
      <c r="E17">
        <v>689.78982404879798</v>
      </c>
      <c r="F17">
        <v>221.91120000000001</v>
      </c>
      <c r="G17">
        <v>88.074799999999996</v>
      </c>
      <c r="H17">
        <v>164</v>
      </c>
      <c r="I17">
        <v>56</v>
      </c>
      <c r="J17">
        <v>5</v>
      </c>
      <c r="K17">
        <v>148</v>
      </c>
      <c r="L17">
        <v>57</v>
      </c>
      <c r="M17">
        <v>43</v>
      </c>
      <c r="N17">
        <v>1995</v>
      </c>
      <c r="O17">
        <v>0.27</v>
      </c>
      <c r="P17">
        <v>2.4700000000000002</v>
      </c>
      <c r="Q17">
        <v>1.4999999999999999E-2</v>
      </c>
      <c r="R17">
        <v>85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472.67955867021271</v>
      </c>
      <c r="B18">
        <v>55.999999999999993</v>
      </c>
      <c r="C18">
        <v>5.9084944833776598</v>
      </c>
      <c r="D18">
        <v>448.37279999999998</v>
      </c>
      <c r="E18">
        <v>686.84365845664206</v>
      </c>
      <c r="F18">
        <v>156.22272000000001</v>
      </c>
      <c r="G18">
        <v>91.641600000000011</v>
      </c>
      <c r="H18">
        <v>39</v>
      </c>
      <c r="I18">
        <v>55</v>
      </c>
      <c r="J18">
        <v>9</v>
      </c>
      <c r="K18">
        <v>319</v>
      </c>
      <c r="L18">
        <v>58</v>
      </c>
      <c r="M18">
        <v>36</v>
      </c>
      <c r="N18">
        <v>1995</v>
      </c>
      <c r="O18">
        <v>0.27</v>
      </c>
      <c r="P18">
        <v>2.4700000000000002</v>
      </c>
      <c r="Q18">
        <v>1.4999999999999999E-2</v>
      </c>
      <c r="R18">
        <v>85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463.68683903179618</v>
      </c>
      <c r="B19">
        <v>56.000000000000007</v>
      </c>
      <c r="C19">
        <v>5.7960854878974528</v>
      </c>
      <c r="D19">
        <v>1616.8338000000001</v>
      </c>
      <c r="E19">
        <v>671.48713692946058</v>
      </c>
      <c r="F19">
        <v>156.33395999999999</v>
      </c>
      <c r="G19">
        <v>89.520840000000007</v>
      </c>
      <c r="H19">
        <v>112</v>
      </c>
      <c r="I19">
        <v>53</v>
      </c>
      <c r="J19">
        <v>6</v>
      </c>
      <c r="K19">
        <v>161</v>
      </c>
      <c r="L19">
        <v>57</v>
      </c>
      <c r="M19">
        <v>33</v>
      </c>
      <c r="N19">
        <v>1995</v>
      </c>
      <c r="O19">
        <v>0.27</v>
      </c>
      <c r="P19">
        <v>2.4700000000000002</v>
      </c>
      <c r="Q19">
        <v>1.4999999999999999E-2</v>
      </c>
      <c r="R19">
        <v>85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458.42516542886068</v>
      </c>
      <c r="B20">
        <v>56.000000000000007</v>
      </c>
      <c r="C20">
        <v>5.7303145678607583</v>
      </c>
      <c r="D20">
        <v>612.16800000000001</v>
      </c>
      <c r="E20">
        <v>687.73278008298746</v>
      </c>
      <c r="F20">
        <v>203.19120000000001</v>
      </c>
      <c r="G20">
        <v>88.899600000000007</v>
      </c>
      <c r="H20">
        <v>8</v>
      </c>
      <c r="I20">
        <v>55</v>
      </c>
      <c r="J20">
        <v>5</v>
      </c>
      <c r="K20">
        <v>111</v>
      </c>
      <c r="L20">
        <v>58</v>
      </c>
      <c r="M20">
        <v>13</v>
      </c>
      <c r="N20">
        <v>1995</v>
      </c>
      <c r="O20">
        <v>0.27</v>
      </c>
      <c r="P20">
        <v>2.4700000000000002</v>
      </c>
      <c r="Q20">
        <v>1.4999999999999999E-2</v>
      </c>
      <c r="R20">
        <v>85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510.82193425690889</v>
      </c>
      <c r="B21">
        <v>63.000000000000007</v>
      </c>
      <c r="C21">
        <v>5.6757992695212094</v>
      </c>
      <c r="D21">
        <v>554.24459999999999</v>
      </c>
      <c r="E21">
        <v>689.2481327800831</v>
      </c>
      <c r="F21">
        <v>164.29660000000001</v>
      </c>
      <c r="G21">
        <v>99.101600000000005</v>
      </c>
      <c r="H21">
        <v>39</v>
      </c>
      <c r="I21">
        <v>52</v>
      </c>
      <c r="J21">
        <v>11</v>
      </c>
      <c r="K21">
        <v>111</v>
      </c>
      <c r="L21">
        <v>60</v>
      </c>
      <c r="M21">
        <v>13</v>
      </c>
      <c r="N21">
        <v>1995</v>
      </c>
      <c r="O21">
        <v>0.27</v>
      </c>
      <c r="P21">
        <v>2.4700000000000002</v>
      </c>
      <c r="Q21">
        <v>1.4999999999999999E-2</v>
      </c>
      <c r="R21">
        <v>85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448.66202904636538</v>
      </c>
      <c r="B22">
        <v>56</v>
      </c>
      <c r="C22">
        <v>5.6082753630795663</v>
      </c>
      <c r="D22">
        <v>520.54079999999999</v>
      </c>
      <c r="E22">
        <v>690.93089352411016</v>
      </c>
      <c r="F22">
        <v>195.624</v>
      </c>
      <c r="G22">
        <v>87.08232000000001</v>
      </c>
      <c r="H22">
        <v>8</v>
      </c>
      <c r="I22">
        <v>52</v>
      </c>
      <c r="J22">
        <v>5</v>
      </c>
      <c r="K22">
        <v>165</v>
      </c>
      <c r="L22">
        <v>61</v>
      </c>
      <c r="M22">
        <v>26</v>
      </c>
      <c r="N22">
        <v>1995</v>
      </c>
      <c r="O22">
        <v>0.27</v>
      </c>
      <c r="P22">
        <v>2.4700000000000002</v>
      </c>
      <c r="Q22">
        <v>1.4999999999999999E-2</v>
      </c>
      <c r="R22">
        <v>85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447.2001842557334</v>
      </c>
      <c r="B23">
        <v>56</v>
      </c>
      <c r="C23">
        <v>5.5900023031966679</v>
      </c>
      <c r="D23">
        <v>371.90273999999999</v>
      </c>
      <c r="E23">
        <v>689.08111651547222</v>
      </c>
      <c r="F23">
        <v>193.470156</v>
      </c>
      <c r="G23">
        <v>86.754756000000015</v>
      </c>
      <c r="H23">
        <v>52</v>
      </c>
      <c r="I23">
        <v>57</v>
      </c>
      <c r="J23">
        <v>11</v>
      </c>
      <c r="K23">
        <v>125</v>
      </c>
      <c r="L23">
        <v>56</v>
      </c>
      <c r="M23">
        <v>33</v>
      </c>
      <c r="N23">
        <v>1995</v>
      </c>
      <c r="O23">
        <v>0.27</v>
      </c>
      <c r="P23">
        <v>2.4700000000000002</v>
      </c>
      <c r="Q23">
        <v>1.4999999999999999E-2</v>
      </c>
      <c r="R23">
        <v>85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439.18555907571209</v>
      </c>
      <c r="B24">
        <v>56.000000000000007</v>
      </c>
      <c r="C24">
        <v>5.4898194884464022</v>
      </c>
      <c r="D24">
        <v>599.11080000000004</v>
      </c>
      <c r="E24">
        <v>689.58838174273853</v>
      </c>
      <c r="F24">
        <v>200.57975999999999</v>
      </c>
      <c r="G24">
        <v>85.211760000000012</v>
      </c>
      <c r="H24">
        <v>8</v>
      </c>
      <c r="I24">
        <v>55</v>
      </c>
      <c r="J24">
        <v>5</v>
      </c>
      <c r="K24">
        <v>112</v>
      </c>
      <c r="L24">
        <v>52</v>
      </c>
      <c r="M24">
        <v>3</v>
      </c>
      <c r="N24">
        <v>1995</v>
      </c>
      <c r="O24">
        <v>0.27</v>
      </c>
      <c r="P24">
        <v>2.4700000000000002</v>
      </c>
      <c r="Q24">
        <v>1.4999999999999999E-2</v>
      </c>
      <c r="R24">
        <v>85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493.8360701078231</v>
      </c>
      <c r="B25">
        <v>63</v>
      </c>
      <c r="C25">
        <v>5.4870674456424791</v>
      </c>
      <c r="D25">
        <v>462.99599999999998</v>
      </c>
      <c r="E25">
        <v>687.49349370665982</v>
      </c>
      <c r="F25">
        <v>158.27832000000001</v>
      </c>
      <c r="G25">
        <v>95.760360000000006</v>
      </c>
      <c r="H25">
        <v>39</v>
      </c>
      <c r="I25">
        <v>54</v>
      </c>
      <c r="J25">
        <v>10</v>
      </c>
      <c r="K25">
        <v>165</v>
      </c>
      <c r="L25">
        <v>59</v>
      </c>
      <c r="M25">
        <v>27</v>
      </c>
      <c r="N25">
        <v>1995</v>
      </c>
      <c r="O25">
        <v>0.27</v>
      </c>
      <c r="P25">
        <v>2.4700000000000002</v>
      </c>
      <c r="Q25">
        <v>1.4999999999999999E-2</v>
      </c>
      <c r="R25">
        <v>85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443.93491483393541</v>
      </c>
      <c r="B26">
        <v>74.666666666666657</v>
      </c>
      <c r="C26">
        <v>4.161889826568145</v>
      </c>
      <c r="D26">
        <v>395.17</v>
      </c>
      <c r="E26">
        <v>692.14622506147543</v>
      </c>
      <c r="F26">
        <v>203.5085</v>
      </c>
      <c r="G26">
        <v>86.193404999999998</v>
      </c>
      <c r="H26">
        <v>164</v>
      </c>
      <c r="I26">
        <v>54</v>
      </c>
      <c r="J26">
        <v>5</v>
      </c>
      <c r="K26">
        <v>82</v>
      </c>
      <c r="L26">
        <v>59</v>
      </c>
      <c r="M26">
        <v>51</v>
      </c>
      <c r="N26">
        <v>1995</v>
      </c>
      <c r="O26">
        <v>0.27</v>
      </c>
      <c r="P26">
        <v>2.4700000000000002</v>
      </c>
      <c r="Q26">
        <v>1.4999999999999999E-2</v>
      </c>
      <c r="R26">
        <v>85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484.32572548243547</v>
      </c>
      <c r="B27">
        <v>98</v>
      </c>
      <c r="C27">
        <v>3.4594694677316822</v>
      </c>
      <c r="D27">
        <v>479.61599999999999</v>
      </c>
      <c r="E27">
        <v>689.66804979253106</v>
      </c>
      <c r="F27">
        <v>191.196</v>
      </c>
      <c r="G27">
        <v>93.971999999999994</v>
      </c>
      <c r="H27">
        <v>8</v>
      </c>
      <c r="I27">
        <v>55</v>
      </c>
      <c r="J27">
        <v>5</v>
      </c>
      <c r="K27">
        <v>320</v>
      </c>
      <c r="L27">
        <v>56</v>
      </c>
      <c r="M27">
        <v>50</v>
      </c>
      <c r="N27">
        <v>1995</v>
      </c>
      <c r="O27">
        <v>0.27</v>
      </c>
      <c r="P27">
        <v>2.4700000000000002</v>
      </c>
      <c r="Q27">
        <v>1.4999999999999999E-2</v>
      </c>
      <c r="R27">
        <v>85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463.38090045430653</v>
      </c>
      <c r="B28">
        <v>97.999999999999986</v>
      </c>
      <c r="C28">
        <v>3.309863574673618</v>
      </c>
      <c r="D28">
        <v>452.9076</v>
      </c>
      <c r="E28">
        <v>691.99170124481338</v>
      </c>
      <c r="F28">
        <v>180.95760000000001</v>
      </c>
      <c r="G28">
        <v>89.96520000000001</v>
      </c>
      <c r="H28">
        <v>9</v>
      </c>
      <c r="I28">
        <v>49</v>
      </c>
      <c r="J28">
        <v>4</v>
      </c>
      <c r="K28">
        <v>320</v>
      </c>
      <c r="L28">
        <v>61</v>
      </c>
      <c r="M28">
        <v>45</v>
      </c>
      <c r="N28">
        <v>1995</v>
      </c>
      <c r="O28">
        <v>0.27</v>
      </c>
      <c r="P28">
        <v>2.4700000000000002</v>
      </c>
      <c r="Q28">
        <v>1.4999999999999999E-2</v>
      </c>
      <c r="R28">
        <v>85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448.10121736313448</v>
      </c>
      <c r="B29">
        <v>99.714285714285694</v>
      </c>
      <c r="C29">
        <v>3.1456962250420619</v>
      </c>
      <c r="D29">
        <v>468.12105000000003</v>
      </c>
      <c r="E29">
        <v>688.51452282157675</v>
      </c>
      <c r="F29">
        <v>179.2047225</v>
      </c>
      <c r="G29">
        <v>86.9161</v>
      </c>
      <c r="H29">
        <v>8</v>
      </c>
      <c r="I29">
        <v>52</v>
      </c>
      <c r="J29">
        <v>5</v>
      </c>
      <c r="K29">
        <v>321</v>
      </c>
      <c r="L29">
        <v>58</v>
      </c>
      <c r="M29">
        <v>29</v>
      </c>
      <c r="N29">
        <v>1995</v>
      </c>
      <c r="O29">
        <v>0.27</v>
      </c>
      <c r="P29">
        <v>2.4700000000000002</v>
      </c>
      <c r="Q29">
        <v>1.4999999999999999E-2</v>
      </c>
      <c r="R29">
        <v>85</v>
      </c>
      <c r="S29">
        <v>700</v>
      </c>
      <c r="T29">
        <v>475</v>
      </c>
      <c r="U29">
        <v>275</v>
      </c>
      <c r="V29">
        <v>370</v>
      </c>
      <c r="W29">
        <v>155</v>
      </c>
    </row>
  </sheetData>
  <sortState xmlns:xlrd2="http://schemas.microsoft.com/office/spreadsheetml/2017/richdata2" ref="A2:W29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49530-F164-41EC-A57A-F11E624184F5}">
  <sheetPr codeName="Sheet16"/>
  <dimension ref="A1:W2"/>
  <sheetViews>
    <sheetView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446.51984882980821</v>
      </c>
      <c r="B2">
        <v>21</v>
      </c>
      <c r="C2">
        <v>14.88399496099361</v>
      </c>
      <c r="D2">
        <v>519.99360000000001</v>
      </c>
      <c r="E2">
        <v>690.89128630705409</v>
      </c>
      <c r="F2">
        <v>173.3312</v>
      </c>
      <c r="G2">
        <v>86.665599999999998</v>
      </c>
      <c r="H2">
        <v>39</v>
      </c>
      <c r="I2">
        <v>106</v>
      </c>
      <c r="J2">
        <v>7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85</v>
      </c>
      <c r="S2">
        <v>700</v>
      </c>
      <c r="T2">
        <v>475</v>
      </c>
      <c r="U2">
        <v>275</v>
      </c>
      <c r="V2">
        <v>370</v>
      </c>
      <c r="W2">
        <v>155</v>
      </c>
    </row>
  </sheetData>
  <sortState xmlns:xlrd2="http://schemas.microsoft.com/office/spreadsheetml/2017/richdata2" ref="A2:W2">
    <sortCondition descending="1" ref="C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A8D65-47FD-466D-8133-F6BE56A3A9BC}">
  <sheetPr codeName="Sheet3"/>
  <dimension ref="A1:W14"/>
  <sheetViews>
    <sheetView workbookViewId="0">
      <selection activeCell="M21" sqref="M2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538.82722914861324</v>
      </c>
      <c r="B2">
        <v>50.4</v>
      </c>
      <c r="C2">
        <v>7.4837115159529617</v>
      </c>
      <c r="D2">
        <v>446.16</v>
      </c>
      <c r="E2">
        <v>687.58838174273853</v>
      </c>
      <c r="F2">
        <v>225.98400000000001</v>
      </c>
      <c r="G2">
        <v>104.48736</v>
      </c>
      <c r="H2">
        <v>112</v>
      </c>
      <c r="I2">
        <v>52</v>
      </c>
      <c r="J2">
        <v>8</v>
      </c>
      <c r="K2">
        <v>163</v>
      </c>
      <c r="L2">
        <v>56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90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533.63469421194816</v>
      </c>
      <c r="B3">
        <v>50.400000000000013</v>
      </c>
      <c r="C3">
        <v>7.411592975165946</v>
      </c>
      <c r="D3">
        <v>601.41800000000001</v>
      </c>
      <c r="E3">
        <v>688.09792531120331</v>
      </c>
      <c r="F3">
        <v>215.41985</v>
      </c>
      <c r="G3">
        <v>103.49485</v>
      </c>
      <c r="H3">
        <v>111</v>
      </c>
      <c r="I3">
        <v>57</v>
      </c>
      <c r="J3">
        <v>32</v>
      </c>
      <c r="K3">
        <v>96</v>
      </c>
      <c r="L3">
        <v>55</v>
      </c>
      <c r="M3">
        <v>25</v>
      </c>
      <c r="N3">
        <v>1995</v>
      </c>
      <c r="O3">
        <v>0.27</v>
      </c>
      <c r="P3">
        <v>2.4700000000000002</v>
      </c>
      <c r="Q3">
        <v>1.4999999999999999E-2</v>
      </c>
      <c r="R3">
        <v>90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515.34388523950713</v>
      </c>
      <c r="B4">
        <v>50.4</v>
      </c>
      <c r="C4">
        <v>7.1575539616598221</v>
      </c>
      <c r="D4">
        <v>376.67200000000003</v>
      </c>
      <c r="E4">
        <v>688.5860776162599</v>
      </c>
      <c r="F4">
        <v>184.61680000000001</v>
      </c>
      <c r="G4">
        <v>99.960800000000006</v>
      </c>
      <c r="H4">
        <v>165</v>
      </c>
      <c r="I4">
        <v>60</v>
      </c>
      <c r="J4">
        <v>64</v>
      </c>
      <c r="K4">
        <v>96</v>
      </c>
      <c r="L4">
        <v>52</v>
      </c>
      <c r="M4">
        <v>20</v>
      </c>
      <c r="N4">
        <v>1995</v>
      </c>
      <c r="O4">
        <v>0.27</v>
      </c>
      <c r="P4">
        <v>2.4700000000000002</v>
      </c>
      <c r="Q4">
        <v>1.4999999999999999E-2</v>
      </c>
      <c r="R4">
        <v>90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535.24651260618054</v>
      </c>
      <c r="B5">
        <v>56.000000000000007</v>
      </c>
      <c r="C5">
        <v>6.6905814075772563</v>
      </c>
      <c r="D5">
        <v>506.91969999999998</v>
      </c>
      <c r="E5">
        <v>689.75269709543568</v>
      </c>
      <c r="F5">
        <v>163.33673999999999</v>
      </c>
      <c r="G5">
        <v>103.85438000000001</v>
      </c>
      <c r="H5">
        <v>112</v>
      </c>
      <c r="I5">
        <v>59</v>
      </c>
      <c r="J5">
        <v>7</v>
      </c>
      <c r="K5">
        <v>52</v>
      </c>
      <c r="L5">
        <v>52</v>
      </c>
      <c r="M5">
        <v>7</v>
      </c>
      <c r="N5">
        <v>1995</v>
      </c>
      <c r="O5">
        <v>0.27</v>
      </c>
      <c r="P5">
        <v>2.4700000000000002</v>
      </c>
      <c r="Q5">
        <v>1.4999999999999999E-2</v>
      </c>
      <c r="R5">
        <v>90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500.5599495877903</v>
      </c>
      <c r="B6">
        <v>53.666666666666671</v>
      </c>
      <c r="C6">
        <v>6.5290428207103082</v>
      </c>
      <c r="D6">
        <v>395.38799999999998</v>
      </c>
      <c r="E6">
        <v>692.90053193123197</v>
      </c>
      <c r="F6">
        <v>265.55759999999998</v>
      </c>
      <c r="G6">
        <v>97.207599999999999</v>
      </c>
      <c r="H6">
        <v>164</v>
      </c>
      <c r="I6">
        <v>50</v>
      </c>
      <c r="J6">
        <v>7</v>
      </c>
      <c r="K6">
        <v>111</v>
      </c>
      <c r="L6">
        <v>56</v>
      </c>
      <c r="M6">
        <v>14</v>
      </c>
      <c r="N6">
        <v>1995</v>
      </c>
      <c r="O6">
        <v>0.27</v>
      </c>
      <c r="P6">
        <v>2.4700000000000002</v>
      </c>
      <c r="Q6">
        <v>1.4999999999999999E-2</v>
      </c>
      <c r="R6">
        <v>90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489.72414755499682</v>
      </c>
      <c r="B7">
        <v>56</v>
      </c>
      <c r="C7">
        <v>6.1215518444374597</v>
      </c>
      <c r="D7">
        <v>371.24351999999999</v>
      </c>
      <c r="E7">
        <v>689.12863070539424</v>
      </c>
      <c r="F7">
        <v>155.41632000000001</v>
      </c>
      <c r="G7">
        <v>95.005440000000007</v>
      </c>
      <c r="H7">
        <v>137</v>
      </c>
      <c r="I7">
        <v>60</v>
      </c>
      <c r="J7">
        <v>5</v>
      </c>
      <c r="K7">
        <v>8</v>
      </c>
      <c r="L7">
        <v>48</v>
      </c>
      <c r="M7">
        <v>3</v>
      </c>
      <c r="N7">
        <v>1995</v>
      </c>
      <c r="O7">
        <v>0.27</v>
      </c>
      <c r="P7">
        <v>2.4700000000000002</v>
      </c>
      <c r="Q7">
        <v>1.4999999999999999E-2</v>
      </c>
      <c r="R7">
        <v>90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483.80655880899138</v>
      </c>
      <c r="B8">
        <v>56</v>
      </c>
      <c r="C8">
        <v>6.0475819851123944</v>
      </c>
      <c r="D8">
        <v>492.73919999999993</v>
      </c>
      <c r="E8">
        <v>684.98413717769211</v>
      </c>
      <c r="F8">
        <v>159.59520000000001</v>
      </c>
      <c r="G8">
        <v>93.751200000000011</v>
      </c>
      <c r="H8">
        <v>39</v>
      </c>
      <c r="I8">
        <v>56</v>
      </c>
      <c r="J8">
        <v>9</v>
      </c>
      <c r="K8">
        <v>127</v>
      </c>
      <c r="L8">
        <v>57</v>
      </c>
      <c r="M8">
        <v>34</v>
      </c>
      <c r="N8">
        <v>1995</v>
      </c>
      <c r="O8">
        <v>0.27</v>
      </c>
      <c r="P8">
        <v>2.4700000000000002</v>
      </c>
      <c r="Q8">
        <v>1.4999999999999999E-2</v>
      </c>
      <c r="R8">
        <v>90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474.94901073225071</v>
      </c>
      <c r="B9">
        <v>56</v>
      </c>
      <c r="C9">
        <v>5.9368626341531341</v>
      </c>
      <c r="D9">
        <v>446.68259999999998</v>
      </c>
      <c r="E9">
        <v>688.74337141900503</v>
      </c>
      <c r="F9">
        <v>155.96711999999999</v>
      </c>
      <c r="G9">
        <v>92.12939999999999</v>
      </c>
      <c r="H9">
        <v>39</v>
      </c>
      <c r="I9">
        <v>54</v>
      </c>
      <c r="J9">
        <v>9</v>
      </c>
      <c r="K9">
        <v>319</v>
      </c>
      <c r="L9">
        <v>59</v>
      </c>
      <c r="M9">
        <v>37</v>
      </c>
      <c r="N9">
        <v>1995</v>
      </c>
      <c r="O9">
        <v>0.27</v>
      </c>
      <c r="P9">
        <v>2.4700000000000002</v>
      </c>
      <c r="Q9">
        <v>1.4999999999999999E-2</v>
      </c>
      <c r="R9">
        <v>90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510.61909766473372</v>
      </c>
      <c r="B10">
        <v>63.000000000000007</v>
      </c>
      <c r="C10">
        <v>5.6735455296081527</v>
      </c>
      <c r="D10">
        <v>561.74400000000003</v>
      </c>
      <c r="E10">
        <v>688.18921161825733</v>
      </c>
      <c r="F10">
        <v>165.6096</v>
      </c>
      <c r="G10">
        <v>99.033600000000007</v>
      </c>
      <c r="H10">
        <v>39</v>
      </c>
      <c r="I10">
        <v>57</v>
      </c>
      <c r="J10">
        <v>10</v>
      </c>
      <c r="K10">
        <v>111</v>
      </c>
      <c r="L10">
        <v>56</v>
      </c>
      <c r="M10">
        <v>14</v>
      </c>
      <c r="N10">
        <v>1995</v>
      </c>
      <c r="O10">
        <v>0.27</v>
      </c>
      <c r="P10">
        <v>2.4700000000000002</v>
      </c>
      <c r="Q10">
        <v>1.4999999999999999E-2</v>
      </c>
      <c r="R10">
        <v>90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496.62883067241557</v>
      </c>
      <c r="B11">
        <v>63</v>
      </c>
      <c r="C11">
        <v>5.5180981185823956</v>
      </c>
      <c r="D11">
        <v>466.12799999999999</v>
      </c>
      <c r="E11">
        <v>691.08755770418645</v>
      </c>
      <c r="F11">
        <v>159.46848</v>
      </c>
      <c r="G11">
        <v>96.396480000000011</v>
      </c>
      <c r="H11">
        <v>39</v>
      </c>
      <c r="I11">
        <v>54</v>
      </c>
      <c r="J11">
        <v>10</v>
      </c>
      <c r="K11">
        <v>165</v>
      </c>
      <c r="L11">
        <v>58</v>
      </c>
      <c r="M11">
        <v>28</v>
      </c>
      <c r="N11">
        <v>1995</v>
      </c>
      <c r="O11">
        <v>0.27</v>
      </c>
      <c r="P11">
        <v>2.4700000000000002</v>
      </c>
      <c r="Q11">
        <v>1.4999999999999999E-2</v>
      </c>
      <c r="R11">
        <v>90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491.36241778733438</v>
      </c>
      <c r="B12">
        <v>63.000000000000007</v>
      </c>
      <c r="C12">
        <v>5.4595824198592711</v>
      </c>
      <c r="D12">
        <v>470.99520000000001</v>
      </c>
      <c r="E12">
        <v>689.7531519939655</v>
      </c>
      <c r="F12">
        <v>155.25792000000001</v>
      </c>
      <c r="G12">
        <v>95.339519999999993</v>
      </c>
      <c r="H12">
        <v>39</v>
      </c>
      <c r="I12">
        <v>57</v>
      </c>
      <c r="J12">
        <v>9</v>
      </c>
      <c r="K12">
        <v>125</v>
      </c>
      <c r="L12">
        <v>56</v>
      </c>
      <c r="M12">
        <v>35</v>
      </c>
      <c r="N12">
        <v>1995</v>
      </c>
      <c r="O12">
        <v>0.27</v>
      </c>
      <c r="P12">
        <v>2.4700000000000002</v>
      </c>
      <c r="Q12">
        <v>1.4999999999999999E-2</v>
      </c>
      <c r="R12">
        <v>90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490.63511116361582</v>
      </c>
      <c r="B13">
        <v>63</v>
      </c>
      <c r="C13">
        <v>5.4515012351512864</v>
      </c>
      <c r="D13">
        <v>465.35039999999998</v>
      </c>
      <c r="E13">
        <v>689.7531519939655</v>
      </c>
      <c r="F13">
        <v>155.11680000000001</v>
      </c>
      <c r="G13">
        <v>95.198399999999992</v>
      </c>
      <c r="H13">
        <v>39</v>
      </c>
      <c r="I13">
        <v>57</v>
      </c>
      <c r="J13">
        <v>9</v>
      </c>
      <c r="K13">
        <v>124</v>
      </c>
      <c r="L13">
        <v>56</v>
      </c>
      <c r="M13">
        <v>35</v>
      </c>
      <c r="N13">
        <v>1995</v>
      </c>
      <c r="O13">
        <v>0.27</v>
      </c>
      <c r="P13">
        <v>2.4700000000000002</v>
      </c>
      <c r="Q13">
        <v>1.4999999999999999E-2</v>
      </c>
      <c r="R13">
        <v>90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489.9774816316538</v>
      </c>
      <c r="B14">
        <v>98.000000000000014</v>
      </c>
      <c r="C14">
        <v>3.4998391545118119</v>
      </c>
      <c r="D14">
        <v>472.28832000000011</v>
      </c>
      <c r="E14">
        <v>688.8995850622407</v>
      </c>
      <c r="F14">
        <v>189.11232000000001</v>
      </c>
      <c r="G14">
        <v>95.04864000000002</v>
      </c>
      <c r="H14">
        <v>8</v>
      </c>
      <c r="I14">
        <v>54</v>
      </c>
      <c r="J14">
        <v>5</v>
      </c>
      <c r="K14">
        <v>320</v>
      </c>
      <c r="L14">
        <v>57</v>
      </c>
      <c r="M14">
        <v>52</v>
      </c>
      <c r="N14">
        <v>1995</v>
      </c>
      <c r="O14">
        <v>0.27</v>
      </c>
      <c r="P14">
        <v>2.4700000000000002</v>
      </c>
      <c r="Q14">
        <v>1.4999999999999999E-2</v>
      </c>
      <c r="R14">
        <v>90</v>
      </c>
      <c r="S14">
        <v>700</v>
      </c>
      <c r="T14">
        <v>475</v>
      </c>
      <c r="U14">
        <v>275</v>
      </c>
      <c r="V14">
        <v>370</v>
      </c>
      <c r="W14">
        <v>155</v>
      </c>
    </row>
  </sheetData>
  <sortState xmlns:xlrd2="http://schemas.microsoft.com/office/spreadsheetml/2017/richdata2" ref="A2:W14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77BF-7507-4CD0-9F1E-2F9EDFE8ABA4}">
  <sheetPr codeName="Sheet4"/>
  <dimension ref="A1:W1"/>
  <sheetViews>
    <sheetView workbookViewId="0">
      <selection activeCell="K30" sqref="K30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C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7"/>
  <sheetViews>
    <sheetView workbookViewId="0">
      <selection activeCell="N32" sqref="N3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533.26933173860664</v>
      </c>
      <c r="B2">
        <v>50.400000000000013</v>
      </c>
      <c r="C2">
        <v>7.4065184963695367</v>
      </c>
      <c r="D2">
        <v>444.92909999999989</v>
      </c>
      <c r="E2">
        <v>688.31203319502083</v>
      </c>
      <c r="F2">
        <v>234.28482</v>
      </c>
      <c r="G2">
        <v>103.43004000000001</v>
      </c>
      <c r="H2">
        <v>112</v>
      </c>
      <c r="I2">
        <v>57</v>
      </c>
      <c r="J2">
        <v>7</v>
      </c>
      <c r="K2">
        <v>163</v>
      </c>
      <c r="L2">
        <v>51</v>
      </c>
      <c r="M2">
        <v>7</v>
      </c>
      <c r="N2">
        <v>1995</v>
      </c>
      <c r="O2">
        <v>0.27</v>
      </c>
      <c r="P2">
        <v>2.4700000000000002</v>
      </c>
      <c r="Q2">
        <v>1.4999999999999999E-2</v>
      </c>
      <c r="R2">
        <v>95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505.01393563772172</v>
      </c>
      <c r="B3">
        <v>53.666666666666657</v>
      </c>
      <c r="C3">
        <v>6.5871382909268057</v>
      </c>
      <c r="D3">
        <v>398.54700000000003</v>
      </c>
      <c r="E3">
        <v>691.90814988542968</v>
      </c>
      <c r="F3">
        <v>261.92700000000002</v>
      </c>
      <c r="G3">
        <v>98.046000000000006</v>
      </c>
      <c r="H3">
        <v>164</v>
      </c>
      <c r="I3">
        <v>57</v>
      </c>
      <c r="J3">
        <v>6</v>
      </c>
      <c r="K3">
        <v>111</v>
      </c>
      <c r="L3">
        <v>56</v>
      </c>
      <c r="M3">
        <v>15</v>
      </c>
      <c r="N3">
        <v>1995</v>
      </c>
      <c r="O3">
        <v>0.27</v>
      </c>
      <c r="P3">
        <v>2.4700000000000002</v>
      </c>
      <c r="Q3">
        <v>1.4999999999999999E-2</v>
      </c>
      <c r="R3">
        <v>95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525.96934701908515</v>
      </c>
      <c r="B4">
        <v>56.000000000000007</v>
      </c>
      <c r="C4">
        <v>6.5746168377385636</v>
      </c>
      <c r="D4">
        <v>509.67909999999989</v>
      </c>
      <c r="E4">
        <v>685.50041493775939</v>
      </c>
      <c r="F4">
        <v>167.46281999999999</v>
      </c>
      <c r="G4">
        <v>101.93582000000001</v>
      </c>
      <c r="H4">
        <v>112</v>
      </c>
      <c r="I4">
        <v>56</v>
      </c>
      <c r="J4">
        <v>7</v>
      </c>
      <c r="K4">
        <v>52</v>
      </c>
      <c r="L4">
        <v>55</v>
      </c>
      <c r="M4">
        <v>7</v>
      </c>
      <c r="N4">
        <v>1995</v>
      </c>
      <c r="O4">
        <v>0.27</v>
      </c>
      <c r="P4">
        <v>2.4700000000000002</v>
      </c>
      <c r="Q4">
        <v>1.4999999999999999E-2</v>
      </c>
      <c r="R4">
        <v>95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516.6918378357027</v>
      </c>
      <c r="B5">
        <v>56.000000000000007</v>
      </c>
      <c r="C5">
        <v>6.4586479729462836</v>
      </c>
      <c r="D5">
        <v>482.85719999999998</v>
      </c>
      <c r="E5">
        <v>690.5892116182572</v>
      </c>
      <c r="F5">
        <v>161.25144</v>
      </c>
      <c r="G5">
        <v>100.2771</v>
      </c>
      <c r="H5">
        <v>112</v>
      </c>
      <c r="I5">
        <v>55</v>
      </c>
      <c r="J5">
        <v>7</v>
      </c>
      <c r="K5">
        <v>53</v>
      </c>
      <c r="L5">
        <v>56</v>
      </c>
      <c r="M5">
        <v>7</v>
      </c>
      <c r="N5">
        <v>1995</v>
      </c>
      <c r="O5">
        <v>0.27</v>
      </c>
      <c r="P5">
        <v>2.4700000000000002</v>
      </c>
      <c r="Q5">
        <v>1.4999999999999999E-2</v>
      </c>
      <c r="R5">
        <v>95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513.49980249484827</v>
      </c>
      <c r="B6">
        <v>63</v>
      </c>
      <c r="C6">
        <v>5.7055533610538696</v>
      </c>
      <c r="D6">
        <v>563.22299999999996</v>
      </c>
      <c r="E6">
        <v>687.11203319502079</v>
      </c>
      <c r="F6">
        <v>164.971</v>
      </c>
      <c r="G6">
        <v>99.563000000000002</v>
      </c>
      <c r="H6">
        <v>39</v>
      </c>
      <c r="I6">
        <v>56</v>
      </c>
      <c r="J6">
        <v>10</v>
      </c>
      <c r="K6">
        <v>111</v>
      </c>
      <c r="L6">
        <v>55</v>
      </c>
      <c r="M6">
        <v>15</v>
      </c>
      <c r="N6">
        <v>1995</v>
      </c>
      <c r="O6">
        <v>0.27</v>
      </c>
      <c r="P6">
        <v>2.4700000000000002</v>
      </c>
      <c r="Q6">
        <v>1.4999999999999999E-2</v>
      </c>
      <c r="R6">
        <v>95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503.9483161483127</v>
      </c>
      <c r="B7">
        <v>62.999999999999993</v>
      </c>
      <c r="C7">
        <v>5.5994257349812537</v>
      </c>
      <c r="D7">
        <v>459.30239999999998</v>
      </c>
      <c r="E7">
        <v>691.91731956236856</v>
      </c>
      <c r="F7">
        <v>157.75775999999999</v>
      </c>
      <c r="G7">
        <v>97.839359999999985</v>
      </c>
      <c r="H7">
        <v>39</v>
      </c>
      <c r="I7">
        <v>57</v>
      </c>
      <c r="J7">
        <v>9</v>
      </c>
      <c r="K7">
        <v>165</v>
      </c>
      <c r="L7">
        <v>56</v>
      </c>
      <c r="M7">
        <v>33</v>
      </c>
      <c r="N7">
        <v>1995</v>
      </c>
      <c r="O7">
        <v>0.27</v>
      </c>
      <c r="P7">
        <v>2.4700000000000002</v>
      </c>
      <c r="Q7">
        <v>1.4999999999999999E-2</v>
      </c>
      <c r="R7">
        <v>95</v>
      </c>
      <c r="S7">
        <v>700</v>
      </c>
      <c r="T7">
        <v>475</v>
      </c>
      <c r="U7">
        <v>275</v>
      </c>
      <c r="V7">
        <v>370</v>
      </c>
      <c r="W7">
        <v>155</v>
      </c>
    </row>
  </sheetData>
  <sortState xmlns:xlrd2="http://schemas.microsoft.com/office/spreadsheetml/2017/richdata2" ref="A2:W7">
    <sortCondition descending="1" ref="C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A46D-4699-4E73-9219-07B62EAD2333}">
  <sheetPr codeName="Sheet2"/>
  <dimension ref="A1:W1"/>
  <sheetViews>
    <sheetView workbookViewId="0">
      <selection activeCell="I28" sqref="I28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C2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0E4F3-41BC-48E6-9C75-F1F37A92A818}">
  <sheetPr codeName="Sheet17"/>
  <dimension ref="A1:AM26"/>
  <sheetViews>
    <sheetView tabSelected="1" workbookViewId="0">
      <selection activeCell="F15" sqref="F15"/>
    </sheetView>
  </sheetViews>
  <sheetFormatPr defaultRowHeight="14.4"/>
  <cols>
    <col min="1" max="3" width="9" bestFit="1" customWidth="1"/>
    <col min="4" max="5" width="9" customWidth="1"/>
    <col min="6" max="8" width="9" bestFit="1" customWidth="1"/>
    <col min="9" max="9" width="9.5546875" bestFit="1" customWidth="1"/>
    <col min="10" max="10" width="8.5546875" bestFit="1" customWidth="1"/>
    <col min="11" max="11" width="4" bestFit="1" customWidth="1"/>
    <col min="12" max="12" width="3" bestFit="1" customWidth="1"/>
    <col min="13" max="13" width="8.5546875" bestFit="1" customWidth="1"/>
    <col min="14" max="15" width="3" bestFit="1" customWidth="1"/>
    <col min="36" max="36" width="13.77734375" customWidth="1"/>
  </cols>
  <sheetData>
    <row r="1" spans="1:39">
      <c r="A1" s="1" t="s">
        <v>0</v>
      </c>
      <c r="B1" s="1" t="s">
        <v>30</v>
      </c>
      <c r="C1" s="1" t="s">
        <v>29</v>
      </c>
      <c r="D1" s="1" t="s">
        <v>1421</v>
      </c>
      <c r="E1" s="1" t="s">
        <v>1420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7</v>
      </c>
      <c r="K1" s="4" t="s">
        <v>36</v>
      </c>
      <c r="L1" s="4" t="s">
        <v>37</v>
      </c>
      <c r="M1" s="1" t="s">
        <v>10</v>
      </c>
      <c r="N1" s="4" t="s">
        <v>36</v>
      </c>
      <c r="O1" s="4" t="s">
        <v>37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</row>
    <row r="2" spans="1:39">
      <c r="A2" s="2">
        <v>590.78069001751476</v>
      </c>
      <c r="B2" s="2">
        <v>7.384758625218935</v>
      </c>
      <c r="C2" s="2">
        <v>56</v>
      </c>
      <c r="D2" s="2">
        <f>((0.8*A2)-(0.1*A2))/E2</f>
        <v>9.8463448336252473</v>
      </c>
      <c r="E2" s="2">
        <f>MAX(AC2, AF2)</f>
        <v>42</v>
      </c>
      <c r="F2" s="2">
        <v>1288.7460000000001</v>
      </c>
      <c r="G2" s="2">
        <v>674.73360995850624</v>
      </c>
      <c r="H2" s="2">
        <v>155.18520000000001</v>
      </c>
      <c r="I2" s="2">
        <v>114.1596</v>
      </c>
      <c r="J2">
        <v>111</v>
      </c>
      <c r="K2">
        <v>58</v>
      </c>
      <c r="L2">
        <v>39</v>
      </c>
      <c r="M2">
        <v>161</v>
      </c>
      <c r="N2">
        <v>55</v>
      </c>
      <c r="O2">
        <v>21</v>
      </c>
      <c r="P2">
        <v>1995</v>
      </c>
      <c r="Q2">
        <v>0.27</v>
      </c>
      <c r="R2">
        <v>2.4700000000000002</v>
      </c>
      <c r="S2">
        <v>1.4999999999999999E-2</v>
      </c>
      <c r="T2">
        <v>70</v>
      </c>
      <c r="U2">
        <v>700</v>
      </c>
      <c r="V2">
        <v>475</v>
      </c>
      <c r="W2">
        <v>275</v>
      </c>
      <c r="X2">
        <v>370</v>
      </c>
      <c r="Y2">
        <v>155</v>
      </c>
      <c r="AC2">
        <v>42</v>
      </c>
      <c r="AD2">
        <v>114004.80000000002</v>
      </c>
      <c r="AF2">
        <v>14</v>
      </c>
      <c r="AG2">
        <v>69854.400000000009</v>
      </c>
      <c r="AI2">
        <v>55</v>
      </c>
      <c r="AJ2">
        <v>21</v>
      </c>
      <c r="AK2">
        <v>4.8</v>
      </c>
      <c r="AL2">
        <v>4.2</v>
      </c>
      <c r="AM2">
        <v>14.4</v>
      </c>
    </row>
    <row r="3" spans="1:39">
      <c r="A3" s="2">
        <v>587.07762082574561</v>
      </c>
      <c r="B3" s="2">
        <v>8.1538558448020222</v>
      </c>
      <c r="C3" s="2">
        <v>50.4</v>
      </c>
      <c r="D3" s="2">
        <f t="shared" ref="D3:D16" si="0">((0.8*A3)-(0.1*A3))/E3</f>
        <v>9.7846270137624263</v>
      </c>
      <c r="E3" s="2">
        <f t="shared" ref="E3:E16" si="1">MAX(AC3, AF3)</f>
        <v>42</v>
      </c>
      <c r="F3" s="2">
        <v>629.40599999999995</v>
      </c>
      <c r="G3" s="2">
        <v>685.96182572614111</v>
      </c>
      <c r="H3" s="2">
        <v>194.3793</v>
      </c>
      <c r="I3" s="2">
        <v>113.7933</v>
      </c>
      <c r="J3">
        <v>111</v>
      </c>
      <c r="K3">
        <v>58</v>
      </c>
      <c r="L3">
        <v>39</v>
      </c>
      <c r="M3">
        <v>96</v>
      </c>
      <c r="N3">
        <v>55</v>
      </c>
      <c r="O3">
        <v>18</v>
      </c>
      <c r="P3">
        <v>1995</v>
      </c>
      <c r="Q3">
        <v>0.27</v>
      </c>
      <c r="R3">
        <v>2.4700000000000002</v>
      </c>
      <c r="S3">
        <v>1.4999999999999999E-2</v>
      </c>
      <c r="T3">
        <v>70</v>
      </c>
      <c r="U3">
        <v>700</v>
      </c>
      <c r="V3">
        <v>475</v>
      </c>
      <c r="W3">
        <v>275</v>
      </c>
      <c r="X3">
        <v>370</v>
      </c>
      <c r="Y3">
        <v>155</v>
      </c>
      <c r="AC3">
        <v>42</v>
      </c>
      <c r="AD3">
        <v>114004.80000000002</v>
      </c>
      <c r="AF3">
        <v>8.4</v>
      </c>
      <c r="AG3">
        <v>114345</v>
      </c>
      <c r="AI3">
        <v>55</v>
      </c>
      <c r="AJ3">
        <v>18</v>
      </c>
      <c r="AK3">
        <v>5.5</v>
      </c>
      <c r="AL3">
        <v>4.2</v>
      </c>
      <c r="AM3">
        <v>27.5</v>
      </c>
    </row>
    <row r="4" spans="1:39">
      <c r="A4" s="2">
        <v>559.63357332991097</v>
      </c>
      <c r="B4" s="2">
        <v>7.7726885184709857</v>
      </c>
      <c r="C4" s="2">
        <v>50.400000000000013</v>
      </c>
      <c r="D4" s="2">
        <f t="shared" si="0"/>
        <v>9.3272262221651836</v>
      </c>
      <c r="E4" s="2">
        <f t="shared" si="1"/>
        <v>42</v>
      </c>
      <c r="F4" s="2">
        <v>475.07639999999998</v>
      </c>
      <c r="G4" s="2">
        <v>672.26556016597499</v>
      </c>
      <c r="H4" s="2">
        <v>186.18328</v>
      </c>
      <c r="I4" s="2">
        <v>108.0677</v>
      </c>
      <c r="J4">
        <v>112</v>
      </c>
      <c r="K4">
        <v>55</v>
      </c>
      <c r="L4">
        <v>9</v>
      </c>
      <c r="M4">
        <v>163</v>
      </c>
      <c r="N4">
        <v>56</v>
      </c>
      <c r="O4">
        <v>4</v>
      </c>
      <c r="P4">
        <v>1995</v>
      </c>
      <c r="Q4">
        <v>0.27</v>
      </c>
      <c r="R4">
        <v>2.4700000000000002</v>
      </c>
      <c r="S4">
        <v>1.4999999999999999E-2</v>
      </c>
      <c r="T4">
        <v>60</v>
      </c>
      <c r="U4">
        <v>700</v>
      </c>
      <c r="V4">
        <v>475</v>
      </c>
      <c r="W4">
        <v>275</v>
      </c>
      <c r="X4">
        <v>370</v>
      </c>
      <c r="Y4">
        <v>155</v>
      </c>
      <c r="AC4">
        <v>42</v>
      </c>
      <c r="AD4">
        <v>108553.5</v>
      </c>
      <c r="AF4">
        <v>8.4</v>
      </c>
      <c r="AG4">
        <v>117600.00000000001</v>
      </c>
      <c r="AI4">
        <v>56</v>
      </c>
      <c r="AJ4">
        <v>4</v>
      </c>
      <c r="AK4">
        <v>25</v>
      </c>
      <c r="AL4">
        <v>4.2</v>
      </c>
      <c r="AM4">
        <v>125</v>
      </c>
    </row>
    <row r="5" spans="1:39">
      <c r="A5" s="2">
        <v>446.51984882980821</v>
      </c>
      <c r="B5" s="2">
        <v>14.88399496099361</v>
      </c>
      <c r="C5" s="2">
        <v>21</v>
      </c>
      <c r="D5" s="2">
        <f t="shared" si="0"/>
        <v>14.883994960993608</v>
      </c>
      <c r="E5" s="2">
        <f t="shared" si="1"/>
        <v>21</v>
      </c>
      <c r="F5" s="2">
        <v>519.99360000000001</v>
      </c>
      <c r="G5" s="2">
        <v>690.89128630705409</v>
      </c>
      <c r="H5" s="2">
        <v>173.3312</v>
      </c>
      <c r="I5" s="2">
        <v>86.665599999999998</v>
      </c>
      <c r="J5">
        <v>39</v>
      </c>
      <c r="K5">
        <v>106</v>
      </c>
      <c r="L5">
        <v>7</v>
      </c>
      <c r="M5">
        <v>0</v>
      </c>
      <c r="N5">
        <v>0</v>
      </c>
      <c r="O5">
        <v>0</v>
      </c>
      <c r="P5">
        <v>1995</v>
      </c>
      <c r="Q5">
        <v>0.27</v>
      </c>
      <c r="R5">
        <v>2.4700000000000002</v>
      </c>
      <c r="S5">
        <v>1.4999999999999999E-2</v>
      </c>
      <c r="T5">
        <v>85</v>
      </c>
      <c r="U5">
        <v>700</v>
      </c>
      <c r="V5">
        <v>475</v>
      </c>
      <c r="W5">
        <v>275</v>
      </c>
      <c r="X5">
        <v>370</v>
      </c>
      <c r="Y5">
        <v>155</v>
      </c>
      <c r="AC5">
        <v>21</v>
      </c>
      <c r="AD5">
        <v>199449.60000000003</v>
      </c>
    </row>
    <row r="6" spans="1:39">
      <c r="A6" s="2">
        <v>431.07029120099457</v>
      </c>
      <c r="B6" s="2">
        <v>10.263578361928451</v>
      </c>
      <c r="C6" s="2">
        <v>29.4</v>
      </c>
      <c r="D6" s="2">
        <f t="shared" si="0"/>
        <v>14.369009706699821</v>
      </c>
      <c r="E6" s="2">
        <f t="shared" si="1"/>
        <v>21</v>
      </c>
      <c r="F6" s="2">
        <v>419.80319999999989</v>
      </c>
      <c r="G6" s="2">
        <v>689.36431535269708</v>
      </c>
      <c r="H6" s="2">
        <v>228.73439999999999</v>
      </c>
      <c r="I6" s="2">
        <v>83.632100000000008</v>
      </c>
      <c r="J6">
        <v>39</v>
      </c>
      <c r="K6">
        <v>58</v>
      </c>
      <c r="L6">
        <v>9</v>
      </c>
      <c r="M6">
        <v>163</v>
      </c>
      <c r="N6">
        <v>49</v>
      </c>
      <c r="O6">
        <v>5</v>
      </c>
      <c r="P6">
        <v>1995</v>
      </c>
      <c r="Q6">
        <v>0.27</v>
      </c>
      <c r="R6">
        <v>2.4700000000000002</v>
      </c>
      <c r="S6">
        <v>1.4999999999999999E-2</v>
      </c>
      <c r="T6">
        <v>65</v>
      </c>
      <c r="U6">
        <v>700</v>
      </c>
      <c r="V6">
        <v>475</v>
      </c>
      <c r="W6">
        <v>275</v>
      </c>
      <c r="X6">
        <v>370</v>
      </c>
      <c r="Y6">
        <v>155</v>
      </c>
      <c r="AC6">
        <v>21</v>
      </c>
      <c r="AD6">
        <v>140313.60000000001</v>
      </c>
      <c r="AF6">
        <v>8.4</v>
      </c>
      <c r="AG6">
        <v>128625</v>
      </c>
      <c r="AI6">
        <v>49</v>
      </c>
      <c r="AJ6">
        <v>5</v>
      </c>
      <c r="AK6">
        <v>25</v>
      </c>
      <c r="AL6">
        <v>4.2</v>
      </c>
      <c r="AM6">
        <v>125</v>
      </c>
    </row>
    <row r="7" spans="1:39">
      <c r="A7" s="2">
        <v>415.17278046464651</v>
      </c>
      <c r="B7" s="2">
        <v>13.839092682154879</v>
      </c>
      <c r="C7" s="2">
        <v>21</v>
      </c>
      <c r="D7" s="2">
        <f t="shared" si="0"/>
        <v>13.839092682154885</v>
      </c>
      <c r="E7" s="2">
        <f t="shared" si="1"/>
        <v>21</v>
      </c>
      <c r="F7" s="2">
        <v>1210.5382500000001</v>
      </c>
      <c r="G7" s="2">
        <v>696.39834024896265</v>
      </c>
      <c r="H7" s="2">
        <v>161.4051</v>
      </c>
      <c r="I7" s="2">
        <v>80.702550000000002</v>
      </c>
      <c r="J7">
        <v>142</v>
      </c>
      <c r="K7">
        <v>111</v>
      </c>
      <c r="L7">
        <v>30</v>
      </c>
      <c r="M7">
        <v>0</v>
      </c>
      <c r="N7">
        <v>0</v>
      </c>
      <c r="O7">
        <v>0</v>
      </c>
      <c r="P7">
        <v>1995</v>
      </c>
      <c r="Q7">
        <v>0.27</v>
      </c>
      <c r="R7">
        <v>2.4700000000000002</v>
      </c>
      <c r="S7">
        <v>1.4999999999999999E-2</v>
      </c>
      <c r="T7">
        <v>80</v>
      </c>
      <c r="U7">
        <v>700</v>
      </c>
      <c r="V7">
        <v>475</v>
      </c>
      <c r="W7">
        <v>275</v>
      </c>
      <c r="X7">
        <v>370</v>
      </c>
      <c r="Y7">
        <v>155</v>
      </c>
      <c r="AC7">
        <v>21</v>
      </c>
      <c r="AD7">
        <v>183216.6</v>
      </c>
    </row>
    <row r="8" spans="1:39">
      <c r="A8" s="2">
        <v>400.09879892229571</v>
      </c>
      <c r="B8" s="2">
        <v>10.91178542515352</v>
      </c>
      <c r="C8" s="2">
        <v>25.666666666666661</v>
      </c>
      <c r="D8" s="2">
        <f t="shared" si="0"/>
        <v>20.004939946114785</v>
      </c>
      <c r="E8" s="2">
        <f t="shared" si="1"/>
        <v>14</v>
      </c>
      <c r="F8" s="2">
        <v>370.74</v>
      </c>
      <c r="G8" s="2">
        <v>692.98196157235407</v>
      </c>
      <c r="H8" s="2">
        <v>259.74</v>
      </c>
      <c r="I8" s="2">
        <v>77.7</v>
      </c>
      <c r="J8">
        <v>164</v>
      </c>
      <c r="K8">
        <v>60</v>
      </c>
      <c r="L8">
        <v>5</v>
      </c>
      <c r="M8">
        <v>6</v>
      </c>
      <c r="N8">
        <v>50</v>
      </c>
      <c r="O8">
        <v>3</v>
      </c>
      <c r="P8">
        <v>1995</v>
      </c>
      <c r="Q8">
        <v>0.27</v>
      </c>
      <c r="R8">
        <v>2.4700000000000002</v>
      </c>
      <c r="S8">
        <v>1.4999999999999999E-2</v>
      </c>
      <c r="T8">
        <v>65</v>
      </c>
      <c r="U8">
        <v>700</v>
      </c>
      <c r="V8">
        <v>475</v>
      </c>
      <c r="W8">
        <v>275</v>
      </c>
      <c r="X8">
        <v>370</v>
      </c>
      <c r="Y8">
        <v>155</v>
      </c>
      <c r="AC8">
        <v>11.666666666666668</v>
      </c>
      <c r="AD8">
        <v>226800</v>
      </c>
      <c r="AF8">
        <v>14</v>
      </c>
      <c r="AG8">
        <v>75600</v>
      </c>
      <c r="AI8">
        <v>50</v>
      </c>
      <c r="AJ8">
        <v>3</v>
      </c>
      <c r="AK8">
        <v>40</v>
      </c>
      <c r="AL8">
        <v>4.2</v>
      </c>
      <c r="AM8">
        <v>120</v>
      </c>
    </row>
    <row r="9" spans="1:39">
      <c r="A9" s="2">
        <v>397.94432184865741</v>
      </c>
      <c r="B9" s="2">
        <v>10.85302695950884</v>
      </c>
      <c r="C9" s="2">
        <v>25.666666666666661</v>
      </c>
      <c r="D9" s="2">
        <f t="shared" si="0"/>
        <v>19.89721609243287</v>
      </c>
      <c r="E9" s="2">
        <f t="shared" si="1"/>
        <v>14</v>
      </c>
      <c r="F9" s="2">
        <v>370.96199999999999</v>
      </c>
      <c r="G9" s="2">
        <v>690.01317507588533</v>
      </c>
      <c r="H9" s="2">
        <v>257.74200000000002</v>
      </c>
      <c r="I9" s="2">
        <v>77.218999999999994</v>
      </c>
      <c r="J9">
        <v>164</v>
      </c>
      <c r="K9">
        <v>59</v>
      </c>
      <c r="L9">
        <v>5</v>
      </c>
      <c r="M9">
        <v>6</v>
      </c>
      <c r="N9">
        <v>51</v>
      </c>
      <c r="O9">
        <v>3</v>
      </c>
      <c r="P9">
        <v>1995</v>
      </c>
      <c r="Q9">
        <v>0.27</v>
      </c>
      <c r="R9">
        <v>2.4700000000000002</v>
      </c>
      <c r="S9">
        <v>1.4999999999999999E-2</v>
      </c>
      <c r="T9">
        <v>60</v>
      </c>
      <c r="U9">
        <v>700</v>
      </c>
      <c r="V9">
        <v>475</v>
      </c>
      <c r="W9">
        <v>275</v>
      </c>
      <c r="X9">
        <v>370</v>
      </c>
      <c r="Y9">
        <v>155</v>
      </c>
      <c r="AC9">
        <v>11.666666666666668</v>
      </c>
      <c r="AD9">
        <v>223020</v>
      </c>
      <c r="AF9">
        <v>14</v>
      </c>
      <c r="AG9">
        <v>77112</v>
      </c>
      <c r="AI9">
        <v>51</v>
      </c>
      <c r="AJ9">
        <v>3</v>
      </c>
      <c r="AK9">
        <v>40</v>
      </c>
      <c r="AL9">
        <v>4.2</v>
      </c>
      <c r="AM9">
        <v>120</v>
      </c>
    </row>
    <row r="10" spans="1:39">
      <c r="A10" s="2">
        <v>396.77411779127277</v>
      </c>
      <c r="B10" s="2">
        <v>10.821112303398349</v>
      </c>
      <c r="C10" s="2">
        <v>25.666666666666661</v>
      </c>
      <c r="D10" s="2">
        <f t="shared" si="0"/>
        <v>19.838705889563641</v>
      </c>
      <c r="E10" s="2">
        <f t="shared" si="1"/>
        <v>14</v>
      </c>
      <c r="F10" s="2">
        <v>490.65120000000002</v>
      </c>
      <c r="G10" s="2">
        <v>690.18213167021497</v>
      </c>
      <c r="H10" s="2">
        <v>238.9392</v>
      </c>
      <c r="I10" s="2">
        <v>76.995480000000015</v>
      </c>
      <c r="J10">
        <v>8</v>
      </c>
      <c r="K10">
        <v>62</v>
      </c>
      <c r="L10">
        <v>4</v>
      </c>
      <c r="M10">
        <v>164</v>
      </c>
      <c r="N10">
        <v>45</v>
      </c>
      <c r="O10">
        <v>3</v>
      </c>
      <c r="P10">
        <v>1995</v>
      </c>
      <c r="Q10">
        <v>0.27</v>
      </c>
      <c r="R10">
        <v>2.4700000000000002</v>
      </c>
      <c r="S10">
        <v>1.4999999999999999E-2</v>
      </c>
      <c r="T10">
        <v>70</v>
      </c>
      <c r="U10">
        <v>700</v>
      </c>
      <c r="V10">
        <v>475</v>
      </c>
      <c r="W10">
        <v>275</v>
      </c>
      <c r="X10">
        <v>370</v>
      </c>
      <c r="Y10">
        <v>155</v>
      </c>
      <c r="AC10">
        <v>14</v>
      </c>
      <c r="AD10">
        <v>178113.60000000003</v>
      </c>
      <c r="AF10">
        <v>11.666666666666666</v>
      </c>
      <c r="AG10">
        <v>102060</v>
      </c>
      <c r="AI10">
        <v>45</v>
      </c>
      <c r="AJ10">
        <v>3</v>
      </c>
      <c r="AK10">
        <v>50</v>
      </c>
      <c r="AL10">
        <v>4.2</v>
      </c>
      <c r="AM10">
        <v>180</v>
      </c>
    </row>
    <row r="11" spans="1:39">
      <c r="A11" s="2">
        <v>387.53168548020273</v>
      </c>
      <c r="B11" s="2">
        <v>12.11036517125634</v>
      </c>
      <c r="C11" s="2">
        <v>22.4</v>
      </c>
      <c r="D11" s="2">
        <f t="shared" si="0"/>
        <v>19.376584274010138</v>
      </c>
      <c r="E11" s="2">
        <f t="shared" si="1"/>
        <v>14</v>
      </c>
      <c r="F11" s="2">
        <v>474.88920000000002</v>
      </c>
      <c r="G11" s="2">
        <v>691.6182572614108</v>
      </c>
      <c r="H11" s="2">
        <v>271.27719999999988</v>
      </c>
      <c r="I11" s="2">
        <v>75.231440000000006</v>
      </c>
      <c r="J11">
        <v>8</v>
      </c>
      <c r="K11">
        <v>61</v>
      </c>
      <c r="L11">
        <v>4</v>
      </c>
      <c r="M11">
        <v>163</v>
      </c>
      <c r="N11">
        <v>52</v>
      </c>
      <c r="O11">
        <v>5</v>
      </c>
      <c r="P11">
        <v>1995</v>
      </c>
      <c r="Q11">
        <v>0.27</v>
      </c>
      <c r="R11">
        <v>2.4700000000000002</v>
      </c>
      <c r="S11">
        <v>1.4999999999999999E-2</v>
      </c>
      <c r="T11">
        <v>70</v>
      </c>
      <c r="U11">
        <v>700</v>
      </c>
      <c r="V11">
        <v>475</v>
      </c>
      <c r="W11">
        <v>275</v>
      </c>
      <c r="X11">
        <v>370</v>
      </c>
      <c r="Y11">
        <v>155</v>
      </c>
      <c r="AC11">
        <v>14</v>
      </c>
      <c r="AD11">
        <v>175240.8</v>
      </c>
      <c r="AF11">
        <v>8.4</v>
      </c>
      <c r="AG11">
        <v>136500</v>
      </c>
      <c r="AI11">
        <v>52</v>
      </c>
      <c r="AJ11">
        <v>5</v>
      </c>
      <c r="AK11">
        <v>25</v>
      </c>
      <c r="AL11">
        <v>4.2</v>
      </c>
      <c r="AM11">
        <v>125</v>
      </c>
    </row>
    <row r="12" spans="1:39">
      <c r="A12" s="2">
        <v>383.44721772978693</v>
      </c>
      <c r="B12" s="2">
        <v>19.17236088648934</v>
      </c>
      <c r="C12" s="2">
        <v>14</v>
      </c>
      <c r="D12" s="2">
        <f t="shared" si="0"/>
        <v>19.172360886489347</v>
      </c>
      <c r="E12" s="2">
        <f t="shared" si="1"/>
        <v>14</v>
      </c>
      <c r="F12" s="2">
        <v>371.036</v>
      </c>
      <c r="G12" s="2">
        <v>680.23236514522819</v>
      </c>
      <c r="H12" s="2">
        <v>222.6216</v>
      </c>
      <c r="I12" s="2">
        <v>74.207200000000014</v>
      </c>
      <c r="J12">
        <v>52</v>
      </c>
      <c r="K12">
        <v>109</v>
      </c>
      <c r="L12">
        <v>8</v>
      </c>
      <c r="M12">
        <v>0</v>
      </c>
      <c r="N12">
        <v>0</v>
      </c>
      <c r="O12">
        <v>0</v>
      </c>
      <c r="P12">
        <v>1995</v>
      </c>
      <c r="Q12">
        <v>0.27</v>
      </c>
      <c r="R12">
        <v>2.4700000000000002</v>
      </c>
      <c r="S12">
        <v>1.4999999999999999E-2</v>
      </c>
      <c r="T12">
        <v>60</v>
      </c>
      <c r="U12">
        <v>700</v>
      </c>
      <c r="V12">
        <v>475</v>
      </c>
      <c r="W12">
        <v>275</v>
      </c>
      <c r="X12">
        <v>370</v>
      </c>
      <c r="Y12">
        <v>155</v>
      </c>
      <c r="AC12">
        <v>14</v>
      </c>
      <c r="AD12">
        <v>252705.6</v>
      </c>
    </row>
    <row r="13" spans="1:39">
      <c r="A13" s="2">
        <v>375.67908128459112</v>
      </c>
      <c r="B13" s="2">
        <v>11.075444613342899</v>
      </c>
      <c r="C13" s="2">
        <v>23.744</v>
      </c>
      <c r="D13" s="2">
        <f t="shared" si="0"/>
        <v>12.522636042819705</v>
      </c>
      <c r="E13" s="2">
        <f t="shared" si="1"/>
        <v>21</v>
      </c>
      <c r="F13" s="2">
        <v>710.44319999999993</v>
      </c>
      <c r="G13" s="2">
        <v>685.65311203319504</v>
      </c>
      <c r="H13" s="2">
        <v>439.9624</v>
      </c>
      <c r="I13" s="2">
        <v>72.811759999999992</v>
      </c>
      <c r="J13">
        <v>39</v>
      </c>
      <c r="K13">
        <v>62</v>
      </c>
      <c r="L13">
        <v>7</v>
      </c>
      <c r="M13">
        <v>40</v>
      </c>
      <c r="N13">
        <v>57</v>
      </c>
      <c r="O13">
        <v>6</v>
      </c>
      <c r="P13">
        <v>1995</v>
      </c>
      <c r="Q13">
        <v>0.27</v>
      </c>
      <c r="R13">
        <v>2.4700000000000002</v>
      </c>
      <c r="S13">
        <v>1.4999999999999999E-2</v>
      </c>
      <c r="T13">
        <v>65</v>
      </c>
      <c r="U13">
        <v>700</v>
      </c>
      <c r="V13">
        <v>475</v>
      </c>
      <c r="W13">
        <v>275</v>
      </c>
      <c r="X13">
        <v>370</v>
      </c>
      <c r="Y13">
        <v>155</v>
      </c>
      <c r="AC13">
        <v>21</v>
      </c>
      <c r="AD13">
        <v>116659.20000000001</v>
      </c>
      <c r="AF13">
        <v>2.7440000000000002</v>
      </c>
      <c r="AG13">
        <v>374489.99999999994</v>
      </c>
      <c r="AI13">
        <v>57</v>
      </c>
      <c r="AJ13">
        <v>6</v>
      </c>
      <c r="AK13">
        <v>19.600000000000001</v>
      </c>
      <c r="AL13">
        <v>3.65</v>
      </c>
      <c r="AM13">
        <v>300</v>
      </c>
    </row>
    <row r="14" spans="1:39">
      <c r="A14" s="2">
        <v>372</v>
      </c>
      <c r="B14" s="2">
        <v>10</v>
      </c>
      <c r="C14" s="2">
        <v>26</v>
      </c>
      <c r="D14" s="2">
        <v>10</v>
      </c>
      <c r="E14" s="2">
        <v>26</v>
      </c>
      <c r="F14" s="2">
        <v>370</v>
      </c>
      <c r="G14" s="2">
        <v>700</v>
      </c>
      <c r="H14" s="2">
        <v>155</v>
      </c>
      <c r="I14" s="2">
        <v>86.5</v>
      </c>
      <c r="J14" s="42" t="s">
        <v>1419</v>
      </c>
      <c r="K14" s="42"/>
      <c r="L14" s="42"/>
      <c r="M14" s="42"/>
      <c r="N14" s="42"/>
      <c r="O14" s="42"/>
    </row>
    <row r="15" spans="1:39">
      <c r="A15" s="2">
        <v>350.25959873923119</v>
      </c>
      <c r="B15" s="2">
        <v>22.00123107658488</v>
      </c>
      <c r="C15" s="2">
        <v>11.144</v>
      </c>
      <c r="D15" s="2">
        <f t="shared" si="0"/>
        <v>26.943046056863942</v>
      </c>
      <c r="E15" s="2">
        <v>9.1</v>
      </c>
      <c r="F15" s="2">
        <v>524.77200000000005</v>
      </c>
      <c r="G15" s="2">
        <v>689.92531120331955</v>
      </c>
      <c r="H15" s="2">
        <v>553.86</v>
      </c>
      <c r="I15" s="2">
        <v>67.964399999999998</v>
      </c>
      <c r="J15">
        <v>163</v>
      </c>
      <c r="K15">
        <v>63</v>
      </c>
      <c r="L15">
        <v>8</v>
      </c>
      <c r="M15">
        <v>40</v>
      </c>
      <c r="N15">
        <v>55</v>
      </c>
      <c r="O15">
        <v>6</v>
      </c>
      <c r="P15">
        <v>1995</v>
      </c>
      <c r="Q15">
        <v>0.27</v>
      </c>
      <c r="R15">
        <v>2.4700000000000002</v>
      </c>
      <c r="S15">
        <v>1.4999999999999999E-2</v>
      </c>
      <c r="T15">
        <v>60</v>
      </c>
      <c r="U15">
        <v>700</v>
      </c>
      <c r="V15">
        <v>475</v>
      </c>
      <c r="W15">
        <v>275</v>
      </c>
      <c r="X15">
        <v>370</v>
      </c>
      <c r="Y15">
        <v>155</v>
      </c>
      <c r="AC15">
        <v>8.4</v>
      </c>
      <c r="AD15">
        <v>264600</v>
      </c>
      <c r="AF15">
        <v>2.7440000000000002</v>
      </c>
      <c r="AG15">
        <v>361350</v>
      </c>
      <c r="AI15">
        <v>55</v>
      </c>
      <c r="AJ15">
        <v>6</v>
      </c>
      <c r="AK15">
        <v>19.600000000000001</v>
      </c>
      <c r="AL15">
        <v>3.65</v>
      </c>
      <c r="AM15">
        <v>300</v>
      </c>
    </row>
    <row r="16" spans="1:39">
      <c r="A16" s="2">
        <v>311.04387573943012</v>
      </c>
      <c r="B16" s="2">
        <v>25.920322978285839</v>
      </c>
      <c r="C16" s="2">
        <v>8.4</v>
      </c>
      <c r="D16" s="2">
        <f t="shared" si="0"/>
        <v>25.920322978285842</v>
      </c>
      <c r="E16" s="2">
        <f t="shared" si="1"/>
        <v>8.4</v>
      </c>
      <c r="F16" s="2">
        <v>483.51600000000008</v>
      </c>
      <c r="G16" s="2">
        <v>695.05394190871368</v>
      </c>
      <c r="H16" s="2">
        <v>302.19749999999999</v>
      </c>
      <c r="I16" s="2">
        <v>60.439500000000002</v>
      </c>
      <c r="J16">
        <v>96</v>
      </c>
      <c r="K16">
        <v>110</v>
      </c>
      <c r="L16">
        <v>27</v>
      </c>
      <c r="M16">
        <v>0</v>
      </c>
      <c r="N16">
        <v>0</v>
      </c>
      <c r="O16">
        <v>0</v>
      </c>
      <c r="P16">
        <v>1995</v>
      </c>
      <c r="Q16">
        <v>0.27</v>
      </c>
      <c r="R16">
        <v>2.4700000000000002</v>
      </c>
      <c r="S16">
        <v>1.4999999999999999E-2</v>
      </c>
      <c r="T16">
        <v>60</v>
      </c>
      <c r="U16">
        <v>700</v>
      </c>
      <c r="V16">
        <v>475</v>
      </c>
      <c r="W16">
        <v>275</v>
      </c>
      <c r="X16">
        <v>370</v>
      </c>
      <c r="Y16">
        <v>155</v>
      </c>
      <c r="AC16">
        <v>8.4</v>
      </c>
      <c r="AD16">
        <v>343035</v>
      </c>
    </row>
    <row r="23" spans="26:37">
      <c r="AC23" t="s">
        <v>1422</v>
      </c>
      <c r="AD23" t="s">
        <v>1426</v>
      </c>
      <c r="AE23" t="s">
        <v>1423</v>
      </c>
      <c r="AF23" t="s">
        <v>1427</v>
      </c>
      <c r="AG23" t="s">
        <v>1424</v>
      </c>
      <c r="AH23" t="s">
        <v>1425</v>
      </c>
      <c r="AJ23" t="s">
        <v>1428</v>
      </c>
      <c r="AK23" t="s">
        <v>1429</v>
      </c>
    </row>
    <row r="24" spans="26:37">
      <c r="Z24">
        <v>163</v>
      </c>
      <c r="AA24">
        <v>63</v>
      </c>
      <c r="AB24">
        <v>8</v>
      </c>
      <c r="AC24">
        <v>25</v>
      </c>
      <c r="AD24">
        <v>4.2</v>
      </c>
      <c r="AE24">
        <v>125</v>
      </c>
      <c r="AF24">
        <v>3.7</v>
      </c>
      <c r="AG24">
        <f>AA24*AB24*AC24*AF24</f>
        <v>46620</v>
      </c>
      <c r="AH24">
        <f>AE24*AD24*AB24*AA24</f>
        <v>264600</v>
      </c>
      <c r="AI24">
        <f>480000-AH24</f>
        <v>215400</v>
      </c>
      <c r="AJ24">
        <f>(((AG24*0.8)-(AG24*0.1))/AH24)*60</f>
        <v>7.4</v>
      </c>
      <c r="AK24">
        <f>(((AG24*0.8)-(AG24*0.1))/AI25)*60</f>
        <v>16.502654867256638</v>
      </c>
    </row>
    <row r="25" spans="26:37">
      <c r="Z25">
        <v>40</v>
      </c>
      <c r="AA25">
        <v>55</v>
      </c>
      <c r="AB25">
        <v>6</v>
      </c>
      <c r="AC25">
        <v>19.600000000000001</v>
      </c>
      <c r="AD25">
        <v>3.65</v>
      </c>
      <c r="AE25">
        <v>300</v>
      </c>
      <c r="AF25">
        <v>3.3</v>
      </c>
      <c r="AG25">
        <f>AA25*AB25*AC25*AF25</f>
        <v>21344.400000000001</v>
      </c>
      <c r="AH25">
        <f>AE25*AD25*AB25*AA25</f>
        <v>361350</v>
      </c>
      <c r="AI25">
        <f>480000-AH25</f>
        <v>118650</v>
      </c>
      <c r="AJ25">
        <f>(((AG25*0.8)-(AG25*0.1))/AI24)*60</f>
        <v>4.1618607242339838</v>
      </c>
      <c r="AK25">
        <f>(((AG25*0.8)-(AG25*0.1))/AH25)*60</f>
        <v>2.4808767123287669</v>
      </c>
    </row>
    <row r="26" spans="26:37">
      <c r="AG26">
        <f>AG25+AG24</f>
        <v>67964.399999999994</v>
      </c>
      <c r="AH26">
        <v>264600</v>
      </c>
      <c r="AJ26">
        <f>(((AG26*0.8)-(AG26*0.1))/AH26)*60</f>
        <v>10.787999999999998</v>
      </c>
    </row>
  </sheetData>
  <sortState xmlns:xlrd2="http://schemas.microsoft.com/office/spreadsheetml/2017/richdata2" ref="A2:Y16">
    <sortCondition descending="1" ref="A1:A16"/>
  </sortState>
  <mergeCells count="1">
    <mergeCell ref="J14:O14"/>
  </mergeCells>
  <conditionalFormatting sqref="A1:A1048576">
    <cfRule type="colorScale" priority="27">
      <colorScale>
        <cfvo type="min"/>
        <cfvo type="num" val="$A$14"/>
        <cfvo type="num" val="$A$4"/>
        <color rgb="FFF8696B"/>
        <color rgb="FFFFEB84"/>
        <color rgb="FF63BE7B"/>
      </colorScale>
    </cfRule>
  </conditionalFormatting>
  <conditionalFormatting sqref="B1:B1048576">
    <cfRule type="colorScale" priority="26">
      <colorScale>
        <cfvo type="min"/>
        <cfvo type="num" val="$B$14"/>
        <cfvo type="num" val="$B$5"/>
        <color rgb="FFF8696B"/>
        <color rgb="FFFFEB84"/>
        <color rgb="FF63BE7B"/>
      </colorScale>
    </cfRule>
  </conditionalFormatting>
  <conditionalFormatting sqref="D2:D16">
    <cfRule type="colorScale" priority="1">
      <colorScale>
        <cfvo type="min"/>
        <cfvo type="num" val="$D$14"/>
        <cfvo type="num" val="$D$8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E254C-A008-4A42-8C4F-4AB820582EDA}">
  <sheetPr codeName="Sheet24"/>
  <dimension ref="A1:AR356"/>
  <sheetViews>
    <sheetView topLeftCell="N1" workbookViewId="0">
      <selection activeCell="X339" sqref="X339"/>
    </sheetView>
  </sheetViews>
  <sheetFormatPr defaultColWidth="11.44140625" defaultRowHeight="14.4"/>
  <cols>
    <col min="1" max="1" width="15.21875" bestFit="1" customWidth="1"/>
    <col min="2" max="2" width="4.88671875" customWidth="1"/>
    <col min="3" max="3" width="7.6640625" style="16" customWidth="1"/>
    <col min="4" max="4" width="6.6640625" style="16" customWidth="1"/>
    <col min="5" max="5" width="14.109375" style="16" customWidth="1"/>
    <col min="6" max="6" width="19.109375" style="16" customWidth="1"/>
    <col min="7" max="7" width="8.6640625" style="16" customWidth="1"/>
    <col min="8" max="8" width="9.33203125" style="16" bestFit="1" customWidth="1"/>
    <col min="9" max="9" width="11.88671875" style="16" customWidth="1"/>
    <col min="10" max="11" width="9.77734375" style="16" customWidth="1"/>
    <col min="12" max="12" width="9.6640625" style="17" customWidth="1"/>
    <col min="13" max="13" width="29.6640625" style="17" bestFit="1" customWidth="1"/>
    <col min="14" max="14" width="23.6640625" style="16" bestFit="1" customWidth="1"/>
    <col min="15" max="15" width="25.33203125" style="16" bestFit="1" customWidth="1"/>
    <col min="16" max="16" width="17.6640625" style="16" bestFit="1" customWidth="1"/>
    <col min="17" max="17" width="22.33203125" style="16" bestFit="1" customWidth="1"/>
    <col min="18" max="18" width="19.109375" style="16" bestFit="1" customWidth="1"/>
    <col min="19" max="19" width="18" style="16" bestFit="1" customWidth="1"/>
    <col min="20" max="20" width="27.44140625" style="16" bestFit="1" customWidth="1"/>
    <col min="21" max="21" width="31.33203125" style="16" bestFit="1" customWidth="1"/>
    <col min="22" max="22" width="26.44140625" style="18" bestFit="1" customWidth="1"/>
    <col min="23" max="23" width="12.44140625" style="16" bestFit="1" customWidth="1"/>
    <col min="24" max="24" width="13.44140625" style="16" bestFit="1" customWidth="1"/>
    <col min="25" max="25" width="24.33203125" style="16" bestFit="1" customWidth="1"/>
    <col min="26" max="26" width="25.33203125" style="16" bestFit="1" customWidth="1"/>
    <col min="27" max="27" width="24.33203125" style="18" bestFit="1" customWidth="1"/>
    <col min="28" max="28" width="28" style="19" bestFit="1" customWidth="1"/>
    <col min="29" max="29" width="12.88671875" style="17" bestFit="1" customWidth="1"/>
    <col min="30" max="30" width="16.44140625" style="17" bestFit="1" customWidth="1"/>
    <col min="31" max="31" width="16" style="17" bestFit="1" customWidth="1"/>
    <col min="32" max="32" width="18.33203125" style="17" bestFit="1" customWidth="1"/>
    <col min="33" max="33" width="10.109375" style="17" bestFit="1" customWidth="1"/>
    <col min="34" max="34" width="15" style="17" customWidth="1"/>
    <col min="35" max="35" width="18.6640625" style="17" customWidth="1"/>
    <col min="36" max="36" width="30.33203125" style="24" bestFit="1" customWidth="1"/>
    <col min="37" max="37" width="42.109375" style="17" hidden="1" customWidth="1"/>
    <col min="38" max="38" width="17.109375" style="19" bestFit="1" customWidth="1"/>
    <col min="39" max="39" width="17.33203125" style="19" bestFit="1" customWidth="1"/>
    <col min="40" max="40" width="22.77734375" style="19" bestFit="1" customWidth="1"/>
  </cols>
  <sheetData>
    <row r="1" spans="1:44" ht="15.6">
      <c r="A1" s="5">
        <v>1</v>
      </c>
      <c r="B1" s="5"/>
      <c r="C1" s="6">
        <v>2</v>
      </c>
      <c r="D1" s="6">
        <v>3</v>
      </c>
      <c r="E1" s="5">
        <v>4</v>
      </c>
      <c r="F1" s="6">
        <v>5</v>
      </c>
      <c r="G1" s="6">
        <v>6</v>
      </c>
      <c r="H1" s="5">
        <v>7</v>
      </c>
      <c r="I1" s="6">
        <v>8</v>
      </c>
      <c r="J1" s="6">
        <v>9</v>
      </c>
      <c r="K1" s="5">
        <v>10</v>
      </c>
      <c r="L1" s="6">
        <v>11</v>
      </c>
      <c r="M1" s="6">
        <v>12</v>
      </c>
      <c r="N1" s="5">
        <v>13</v>
      </c>
      <c r="O1" s="6">
        <v>14</v>
      </c>
      <c r="P1" s="6">
        <v>15</v>
      </c>
      <c r="Q1" s="5">
        <v>16</v>
      </c>
      <c r="R1" s="6">
        <v>17</v>
      </c>
      <c r="S1" s="6">
        <v>18</v>
      </c>
      <c r="T1" s="5">
        <v>19</v>
      </c>
      <c r="U1" s="6">
        <v>20</v>
      </c>
      <c r="V1" s="6">
        <v>21</v>
      </c>
      <c r="W1" s="5">
        <v>22</v>
      </c>
      <c r="X1" s="6">
        <v>23</v>
      </c>
      <c r="Y1" s="6">
        <v>24</v>
      </c>
      <c r="Z1" s="5">
        <v>25</v>
      </c>
      <c r="AA1" s="6">
        <v>26</v>
      </c>
      <c r="AB1" s="6">
        <v>27</v>
      </c>
      <c r="AC1" s="5">
        <v>28</v>
      </c>
      <c r="AD1" s="6">
        <v>29</v>
      </c>
      <c r="AE1" s="6">
        <v>30</v>
      </c>
      <c r="AF1" s="5">
        <v>31</v>
      </c>
      <c r="AG1" s="6">
        <v>32</v>
      </c>
      <c r="AH1" s="6">
        <v>33</v>
      </c>
      <c r="AI1" s="5">
        <v>34</v>
      </c>
      <c r="AJ1" s="6">
        <v>35</v>
      </c>
      <c r="AK1" s="6">
        <v>36</v>
      </c>
      <c r="AL1" s="5">
        <v>37</v>
      </c>
      <c r="AM1" s="6">
        <v>38</v>
      </c>
      <c r="AN1" s="6">
        <v>39</v>
      </c>
    </row>
    <row r="2" spans="1:44" s="3" customFormat="1">
      <c r="A2" s="3" t="s">
        <v>38</v>
      </c>
      <c r="C2" s="7" t="s">
        <v>39</v>
      </c>
      <c r="D2" s="8" t="s">
        <v>40</v>
      </c>
      <c r="E2" s="8" t="s">
        <v>41</v>
      </c>
      <c r="F2" s="8" t="s">
        <v>42</v>
      </c>
      <c r="G2" s="8" t="s">
        <v>43</v>
      </c>
      <c r="H2" s="8" t="s">
        <v>44</v>
      </c>
      <c r="I2" s="8" t="s">
        <v>45</v>
      </c>
      <c r="J2" s="8" t="s">
        <v>46</v>
      </c>
      <c r="K2" s="8" t="s">
        <v>47</v>
      </c>
      <c r="L2" s="9" t="s">
        <v>48</v>
      </c>
      <c r="M2" s="9" t="s">
        <v>49</v>
      </c>
      <c r="N2" s="8" t="s">
        <v>50</v>
      </c>
      <c r="O2" s="10" t="s">
        <v>51</v>
      </c>
      <c r="P2" s="8" t="s">
        <v>52</v>
      </c>
      <c r="Q2" s="8" t="s">
        <v>53</v>
      </c>
      <c r="R2" s="8" t="s">
        <v>54</v>
      </c>
      <c r="S2" s="8" t="s">
        <v>55</v>
      </c>
      <c r="T2" s="8" t="s">
        <v>56</v>
      </c>
      <c r="U2" s="8" t="s">
        <v>57</v>
      </c>
      <c r="V2" s="11" t="s">
        <v>58</v>
      </c>
      <c r="W2" s="8" t="s">
        <v>59</v>
      </c>
      <c r="X2" s="8" t="s">
        <v>60</v>
      </c>
      <c r="Y2" s="8" t="s">
        <v>61</v>
      </c>
      <c r="Z2" s="8" t="s">
        <v>62</v>
      </c>
      <c r="AA2" s="11" t="s">
        <v>63</v>
      </c>
      <c r="AB2" s="12" t="s">
        <v>64</v>
      </c>
      <c r="AC2" s="9" t="s">
        <v>65</v>
      </c>
      <c r="AD2" s="9" t="s">
        <v>66</v>
      </c>
      <c r="AE2" s="9" t="s">
        <v>67</v>
      </c>
      <c r="AF2" s="9" t="s">
        <v>68</v>
      </c>
      <c r="AG2" s="9" t="s">
        <v>69</v>
      </c>
      <c r="AH2" s="9" t="s">
        <v>70</v>
      </c>
      <c r="AI2" s="9" t="s">
        <v>71</v>
      </c>
      <c r="AJ2" s="13" t="s">
        <v>72</v>
      </c>
      <c r="AK2" s="9" t="s">
        <v>73</v>
      </c>
      <c r="AL2" s="14" t="s">
        <v>74</v>
      </c>
      <c r="AM2" s="14" t="s">
        <v>75</v>
      </c>
      <c r="AN2" s="15" t="s">
        <v>76</v>
      </c>
      <c r="AO2" s="3" t="s">
        <v>77</v>
      </c>
      <c r="AP2" s="3" t="s">
        <v>78</v>
      </c>
      <c r="AR2" s="3" t="s">
        <v>79</v>
      </c>
    </row>
    <row r="3" spans="1:44">
      <c r="A3" t="s">
        <v>80</v>
      </c>
      <c r="B3">
        <v>1</v>
      </c>
      <c r="C3" s="16" t="s">
        <v>81</v>
      </c>
      <c r="D3" s="16" t="s">
        <v>81</v>
      </c>
      <c r="E3" s="16" t="s">
        <v>82</v>
      </c>
      <c r="F3" s="16" t="s">
        <v>83</v>
      </c>
      <c r="G3" s="16" t="s">
        <v>84</v>
      </c>
      <c r="H3" s="16" t="s">
        <v>85</v>
      </c>
      <c r="I3" s="16" t="s">
        <v>86</v>
      </c>
      <c r="J3" s="16" t="s">
        <v>87</v>
      </c>
      <c r="K3" s="16" t="s">
        <v>88</v>
      </c>
      <c r="L3" s="17">
        <v>3000</v>
      </c>
      <c r="M3" s="17">
        <v>70</v>
      </c>
      <c r="N3" s="16">
        <v>573</v>
      </c>
      <c r="O3" s="16">
        <v>249</v>
      </c>
      <c r="P3" s="16">
        <v>26</v>
      </c>
      <c r="Q3" s="16">
        <v>4.2</v>
      </c>
      <c r="R3" s="16">
        <v>3.67</v>
      </c>
      <c r="S3" s="16">
        <v>2.7</v>
      </c>
      <c r="T3" s="16">
        <f>P3*0.1</f>
        <v>2.6</v>
      </c>
      <c r="U3" s="16">
        <v>52</v>
      </c>
      <c r="V3" s="18">
        <v>1</v>
      </c>
      <c r="W3" s="16">
        <v>387</v>
      </c>
      <c r="Y3" s="16">
        <v>26</v>
      </c>
      <c r="Z3" s="16">
        <f>P3*0.1</f>
        <v>2.6</v>
      </c>
      <c r="AA3" s="18">
        <v>1</v>
      </c>
      <c r="AB3" s="19" t="s">
        <v>89</v>
      </c>
      <c r="AC3" s="20">
        <v>275</v>
      </c>
      <c r="AD3" s="20">
        <v>7.9</v>
      </c>
      <c r="AE3" s="20">
        <v>99</v>
      </c>
      <c r="AF3" s="21" t="s">
        <v>90</v>
      </c>
      <c r="AG3" s="17">
        <v>2020</v>
      </c>
      <c r="AH3" s="17" t="s">
        <v>91</v>
      </c>
      <c r="AI3" s="17" t="s">
        <v>91</v>
      </c>
      <c r="AJ3" s="22" t="s">
        <v>92</v>
      </c>
      <c r="AK3" s="17" t="s">
        <v>93</v>
      </c>
      <c r="AL3" s="19" t="s">
        <v>94</v>
      </c>
      <c r="AM3" s="19" t="s">
        <v>89</v>
      </c>
      <c r="AN3" s="23">
        <v>0.9</v>
      </c>
      <c r="AO3">
        <f>IF(H3="Pouch",1,IF(H3="Prismatic",2,IF(H3="Cylindrical",3,"")))</f>
        <v>1</v>
      </c>
      <c r="AP3">
        <f>IF(AO3=1, 60.25, IF(AO3=2, 60.79, IF(AO3=3, 64.69, 0)))</f>
        <v>60.25</v>
      </c>
      <c r="AR3">
        <f>P3*R3/(W3/1000)</f>
        <v>246.56330749354004</v>
      </c>
    </row>
    <row r="4" spans="1:44">
      <c r="A4" t="s">
        <v>95</v>
      </c>
      <c r="B4">
        <v>2</v>
      </c>
      <c r="C4" s="16" t="s">
        <v>96</v>
      </c>
      <c r="D4" s="16" t="s">
        <v>96</v>
      </c>
      <c r="E4" s="16" t="s">
        <v>82</v>
      </c>
      <c r="F4" s="16" t="s">
        <v>83</v>
      </c>
      <c r="G4" s="16" t="s">
        <v>84</v>
      </c>
      <c r="H4" s="16" t="s">
        <v>85</v>
      </c>
      <c r="I4" s="16" t="s">
        <v>97</v>
      </c>
      <c r="J4" s="16" t="s">
        <v>87</v>
      </c>
      <c r="K4" s="16" t="s">
        <v>88</v>
      </c>
      <c r="L4" s="17">
        <v>6000</v>
      </c>
      <c r="M4" s="17">
        <v>70</v>
      </c>
      <c r="N4" s="16">
        <v>338</v>
      </c>
      <c r="O4" s="16">
        <v>146</v>
      </c>
      <c r="P4" s="16">
        <v>30</v>
      </c>
      <c r="Q4" s="16">
        <v>4.2</v>
      </c>
      <c r="R4" s="16">
        <v>3.7</v>
      </c>
      <c r="S4" s="16">
        <v>2.7</v>
      </c>
      <c r="T4" s="16">
        <f t="shared" ref="T4:T11" si="0">P4*0.2</f>
        <v>6</v>
      </c>
      <c r="U4" s="16">
        <f>20*P4</f>
        <v>600</v>
      </c>
      <c r="V4" s="18">
        <v>1</v>
      </c>
      <c r="W4" s="16">
        <v>780</v>
      </c>
      <c r="Y4" s="16">
        <v>90</v>
      </c>
      <c r="Z4" s="16">
        <f t="shared" ref="Z4:Z11" si="1">P4*0.2</f>
        <v>6</v>
      </c>
      <c r="AA4" s="18">
        <v>1</v>
      </c>
      <c r="AB4" s="19" t="s">
        <v>89</v>
      </c>
      <c r="AC4" s="17">
        <v>223</v>
      </c>
      <c r="AD4" s="17">
        <v>9.4</v>
      </c>
      <c r="AE4" s="17">
        <v>199</v>
      </c>
      <c r="AF4" s="21" t="s">
        <v>90</v>
      </c>
      <c r="AG4" s="17">
        <v>2020</v>
      </c>
      <c r="AH4" s="17" t="s">
        <v>91</v>
      </c>
      <c r="AI4" s="17" t="s">
        <v>91</v>
      </c>
      <c r="AJ4" s="24" t="s">
        <v>98</v>
      </c>
      <c r="AL4" s="19" t="s">
        <v>94</v>
      </c>
      <c r="AM4" s="19" t="s">
        <v>89</v>
      </c>
      <c r="AN4" s="23">
        <v>0.9</v>
      </c>
      <c r="AO4">
        <f t="shared" ref="AO4:AO67" si="2">IF(H4="Pouch",1,IF(H4="Prismatic",2,IF(H4="Cylindrical",3,"")))</f>
        <v>1</v>
      </c>
      <c r="AP4">
        <f t="shared" ref="AP4:AP67" si="3">IF(AO4=1, 60.25, IF(AO4=2, 60.79, IF(AO4=3, 64.69, 0)))</f>
        <v>60.25</v>
      </c>
      <c r="AR4">
        <f t="shared" ref="AR4:AR67" si="4">P4*R4/(W4/1000)</f>
        <v>142.30769230769229</v>
      </c>
    </row>
    <row r="5" spans="1:44">
      <c r="A5" t="s">
        <v>99</v>
      </c>
      <c r="B5">
        <v>3</v>
      </c>
      <c r="C5" s="16" t="s">
        <v>100</v>
      </c>
      <c r="D5" s="16" t="s">
        <v>100</v>
      </c>
      <c r="E5" s="16" t="s">
        <v>82</v>
      </c>
      <c r="F5" s="16" t="s">
        <v>83</v>
      </c>
      <c r="G5" s="16" t="s">
        <v>84</v>
      </c>
      <c r="H5" s="16" t="s">
        <v>85</v>
      </c>
      <c r="I5" s="16" t="s">
        <v>101</v>
      </c>
      <c r="J5" s="16" t="s">
        <v>87</v>
      </c>
      <c r="K5" s="16" t="s">
        <v>88</v>
      </c>
      <c r="L5" s="17">
        <v>6000</v>
      </c>
      <c r="M5" s="17">
        <v>80</v>
      </c>
      <c r="N5" s="16">
        <v>425</v>
      </c>
      <c r="O5" s="16">
        <v>186</v>
      </c>
      <c r="P5" s="16">
        <v>150</v>
      </c>
      <c r="Q5" s="16">
        <v>4.2</v>
      </c>
      <c r="R5" s="16">
        <v>3.7</v>
      </c>
      <c r="S5" s="16">
        <v>2.7</v>
      </c>
      <c r="T5" s="16">
        <f t="shared" si="0"/>
        <v>30</v>
      </c>
      <c r="U5" s="16">
        <f>2*P5</f>
        <v>300</v>
      </c>
      <c r="V5" s="18">
        <v>1</v>
      </c>
      <c r="W5" s="16">
        <v>3020</v>
      </c>
      <c r="Y5" s="16">
        <v>150</v>
      </c>
      <c r="Z5" s="16">
        <f t="shared" si="1"/>
        <v>30</v>
      </c>
      <c r="AA5" s="18">
        <v>1</v>
      </c>
      <c r="AB5" s="19" t="s">
        <v>89</v>
      </c>
      <c r="AC5" s="17">
        <v>327</v>
      </c>
      <c r="AD5" s="17">
        <v>10.5</v>
      </c>
      <c r="AE5" s="17">
        <v>462</v>
      </c>
      <c r="AF5" s="21" t="s">
        <v>90</v>
      </c>
      <c r="AG5" s="17">
        <v>2020</v>
      </c>
      <c r="AH5" s="17" t="s">
        <v>91</v>
      </c>
      <c r="AI5" s="17" t="s">
        <v>91</v>
      </c>
      <c r="AJ5" s="22" t="s">
        <v>102</v>
      </c>
      <c r="AK5" s="16" t="s">
        <v>103</v>
      </c>
      <c r="AL5" s="19" t="s">
        <v>94</v>
      </c>
      <c r="AM5" s="19" t="s">
        <v>89</v>
      </c>
      <c r="AN5" s="23">
        <v>0.9</v>
      </c>
      <c r="AO5">
        <f t="shared" si="2"/>
        <v>1</v>
      </c>
      <c r="AP5">
        <f t="shared" si="3"/>
        <v>60.25</v>
      </c>
      <c r="AR5">
        <f t="shared" si="4"/>
        <v>183.7748344370861</v>
      </c>
    </row>
    <row r="6" spans="1:44">
      <c r="A6" t="s">
        <v>104</v>
      </c>
      <c r="B6">
        <v>4</v>
      </c>
      <c r="C6" s="16" t="s">
        <v>105</v>
      </c>
      <c r="D6" s="16" t="s">
        <v>105</v>
      </c>
      <c r="E6" s="16" t="s">
        <v>82</v>
      </c>
      <c r="F6" s="16" t="s">
        <v>83</v>
      </c>
      <c r="G6" s="16" t="s">
        <v>84</v>
      </c>
      <c r="H6" s="16" t="s">
        <v>85</v>
      </c>
      <c r="I6" s="16" t="s">
        <v>106</v>
      </c>
      <c r="J6" s="16" t="s">
        <v>87</v>
      </c>
      <c r="K6" s="16" t="s">
        <v>88</v>
      </c>
      <c r="L6" s="17">
        <v>6000</v>
      </c>
      <c r="M6" s="17">
        <v>70</v>
      </c>
      <c r="N6" s="16">
        <v>437</v>
      </c>
      <c r="O6" s="16">
        <v>189</v>
      </c>
      <c r="P6" s="16">
        <v>200</v>
      </c>
      <c r="Q6" s="16">
        <v>4.2</v>
      </c>
      <c r="R6" s="16">
        <v>3.7</v>
      </c>
      <c r="S6" s="16">
        <v>2.7</v>
      </c>
      <c r="T6" s="16">
        <f t="shared" si="0"/>
        <v>40</v>
      </c>
      <c r="U6" s="16">
        <f>2*P6</f>
        <v>400</v>
      </c>
      <c r="V6" s="18">
        <v>1</v>
      </c>
      <c r="W6" s="16">
        <v>3955</v>
      </c>
      <c r="Y6" s="16">
        <v>200</v>
      </c>
      <c r="Z6" s="16">
        <f t="shared" si="1"/>
        <v>40</v>
      </c>
      <c r="AA6" s="18">
        <v>1</v>
      </c>
      <c r="AB6" s="19" t="s">
        <v>89</v>
      </c>
      <c r="AC6" s="17">
        <v>327</v>
      </c>
      <c r="AD6" s="17">
        <v>13.6</v>
      </c>
      <c r="AE6" s="17">
        <v>462</v>
      </c>
      <c r="AF6" s="21" t="s">
        <v>90</v>
      </c>
      <c r="AG6" s="17">
        <v>2020</v>
      </c>
      <c r="AH6" s="17" t="s">
        <v>91</v>
      </c>
      <c r="AI6" s="17" t="s">
        <v>91</v>
      </c>
      <c r="AJ6" s="24" t="s">
        <v>98</v>
      </c>
      <c r="AL6" s="19" t="s">
        <v>94</v>
      </c>
      <c r="AM6" s="19" t="s">
        <v>89</v>
      </c>
      <c r="AN6" s="23">
        <v>0.9</v>
      </c>
      <c r="AO6">
        <f t="shared" si="2"/>
        <v>1</v>
      </c>
      <c r="AP6">
        <f t="shared" si="3"/>
        <v>60.25</v>
      </c>
      <c r="AR6">
        <f t="shared" si="4"/>
        <v>187.10493046776233</v>
      </c>
    </row>
    <row r="7" spans="1:44">
      <c r="A7" t="s">
        <v>107</v>
      </c>
      <c r="B7">
        <v>5</v>
      </c>
      <c r="C7" s="16" t="s">
        <v>108</v>
      </c>
      <c r="D7" s="16" t="s">
        <v>108</v>
      </c>
      <c r="E7" s="16" t="s">
        <v>82</v>
      </c>
      <c r="F7" s="16" t="s">
        <v>83</v>
      </c>
      <c r="G7" s="16" t="s">
        <v>84</v>
      </c>
      <c r="H7" s="16" t="s">
        <v>85</v>
      </c>
      <c r="I7" s="16" t="s">
        <v>109</v>
      </c>
      <c r="J7" s="16" t="s">
        <v>87</v>
      </c>
      <c r="K7" s="16" t="s">
        <v>88</v>
      </c>
      <c r="L7" s="17">
        <v>6000</v>
      </c>
      <c r="M7" s="17">
        <v>70</v>
      </c>
      <c r="N7" s="16">
        <v>455</v>
      </c>
      <c r="O7" s="16">
        <v>198</v>
      </c>
      <c r="P7" s="16">
        <v>240</v>
      </c>
      <c r="Q7" s="16">
        <v>4.2</v>
      </c>
      <c r="R7" s="16">
        <v>3.7</v>
      </c>
      <c r="S7" s="16">
        <v>2.7</v>
      </c>
      <c r="T7" s="16">
        <f t="shared" si="0"/>
        <v>48</v>
      </c>
      <c r="U7" s="16">
        <f>2*P7</f>
        <v>480</v>
      </c>
      <c r="V7" s="18">
        <v>1</v>
      </c>
      <c r="W7" s="16">
        <v>4510</v>
      </c>
      <c r="Y7" s="16">
        <v>240</v>
      </c>
      <c r="Z7" s="16">
        <f t="shared" si="1"/>
        <v>48</v>
      </c>
      <c r="AA7" s="18">
        <v>1</v>
      </c>
      <c r="AB7" s="19" t="s">
        <v>89</v>
      </c>
      <c r="AC7" s="17">
        <v>327</v>
      </c>
      <c r="AD7" s="17">
        <v>15.8</v>
      </c>
      <c r="AE7" s="17">
        <v>462</v>
      </c>
      <c r="AF7" s="21" t="s">
        <v>90</v>
      </c>
      <c r="AG7" s="17">
        <v>2020</v>
      </c>
      <c r="AH7" s="17" t="s">
        <v>91</v>
      </c>
      <c r="AI7" s="17" t="s">
        <v>91</v>
      </c>
      <c r="AJ7" s="22" t="s">
        <v>110</v>
      </c>
      <c r="AK7" s="16" t="s">
        <v>111</v>
      </c>
      <c r="AL7" s="19" t="s">
        <v>94</v>
      </c>
      <c r="AM7" s="19" t="s">
        <v>89</v>
      </c>
      <c r="AN7" s="23">
        <v>0.9</v>
      </c>
      <c r="AO7">
        <f t="shared" si="2"/>
        <v>1</v>
      </c>
      <c r="AP7">
        <f t="shared" si="3"/>
        <v>60.25</v>
      </c>
      <c r="AR7">
        <f t="shared" si="4"/>
        <v>196.89578713968959</v>
      </c>
    </row>
    <row r="8" spans="1:44">
      <c r="A8" t="s">
        <v>112</v>
      </c>
      <c r="B8">
        <v>6</v>
      </c>
      <c r="C8" s="16" t="s">
        <v>113</v>
      </c>
      <c r="D8" s="16" t="s">
        <v>113</v>
      </c>
      <c r="E8" s="16" t="s">
        <v>82</v>
      </c>
      <c r="F8" s="16" t="s">
        <v>83</v>
      </c>
      <c r="G8" s="16" t="s">
        <v>84</v>
      </c>
      <c r="H8" s="16" t="s">
        <v>85</v>
      </c>
      <c r="I8" s="16" t="s">
        <v>114</v>
      </c>
      <c r="J8" s="16" t="s">
        <v>87</v>
      </c>
      <c r="K8" s="16" t="s">
        <v>88</v>
      </c>
      <c r="L8" s="17">
        <v>6000</v>
      </c>
      <c r="M8" s="17">
        <v>70</v>
      </c>
      <c r="N8" s="16">
        <v>370</v>
      </c>
      <c r="O8" s="16">
        <v>159</v>
      </c>
      <c r="P8" s="16">
        <v>40</v>
      </c>
      <c r="Q8" s="16">
        <v>4.2</v>
      </c>
      <c r="R8" s="16">
        <v>3.7</v>
      </c>
      <c r="S8" s="16">
        <v>2.7</v>
      </c>
      <c r="T8" s="16">
        <f t="shared" si="0"/>
        <v>8</v>
      </c>
      <c r="U8" s="16">
        <f>8*P8</f>
        <v>320</v>
      </c>
      <c r="V8" s="18">
        <v>1</v>
      </c>
      <c r="W8" s="16">
        <v>940</v>
      </c>
      <c r="Y8" s="16">
        <f>3*P8</f>
        <v>120</v>
      </c>
      <c r="Z8" s="16">
        <f t="shared" si="1"/>
        <v>8</v>
      </c>
      <c r="AA8" s="18">
        <v>1</v>
      </c>
      <c r="AB8" s="19" t="s">
        <v>89</v>
      </c>
      <c r="AC8" s="17">
        <v>227</v>
      </c>
      <c r="AD8" s="17">
        <v>10.3</v>
      </c>
      <c r="AE8" s="17">
        <v>226</v>
      </c>
      <c r="AF8" s="21" t="s">
        <v>90</v>
      </c>
      <c r="AG8" s="17">
        <v>2020</v>
      </c>
      <c r="AH8" s="17" t="s">
        <v>91</v>
      </c>
      <c r="AI8" s="17" t="s">
        <v>91</v>
      </c>
      <c r="AJ8" s="24" t="s">
        <v>98</v>
      </c>
      <c r="AK8" s="17" t="s">
        <v>93</v>
      </c>
      <c r="AL8" s="19" t="s">
        <v>94</v>
      </c>
      <c r="AM8" s="19" t="s">
        <v>89</v>
      </c>
      <c r="AN8" s="23">
        <v>0.9</v>
      </c>
      <c r="AO8">
        <f t="shared" si="2"/>
        <v>1</v>
      </c>
      <c r="AP8">
        <f t="shared" si="3"/>
        <v>60.25</v>
      </c>
      <c r="AR8">
        <f t="shared" si="4"/>
        <v>157.44680851063831</v>
      </c>
    </row>
    <row r="9" spans="1:44">
      <c r="A9" t="s">
        <v>115</v>
      </c>
      <c r="B9">
        <v>7</v>
      </c>
      <c r="C9" s="16" t="s">
        <v>116</v>
      </c>
      <c r="D9" s="16" t="s">
        <v>116</v>
      </c>
      <c r="E9" s="16" t="s">
        <v>82</v>
      </c>
      <c r="F9" s="16" t="s">
        <v>83</v>
      </c>
      <c r="G9" s="16" t="s">
        <v>84</v>
      </c>
      <c r="H9" s="16" t="s">
        <v>85</v>
      </c>
      <c r="I9" s="16" t="s">
        <v>117</v>
      </c>
      <c r="J9" s="16" t="s">
        <v>87</v>
      </c>
      <c r="K9" s="16" t="s">
        <v>88</v>
      </c>
      <c r="L9" s="17">
        <v>10000</v>
      </c>
      <c r="M9" s="17">
        <v>70</v>
      </c>
      <c r="N9" s="16">
        <v>348</v>
      </c>
      <c r="O9" s="16">
        <v>150</v>
      </c>
      <c r="P9" s="16">
        <v>46</v>
      </c>
      <c r="Q9" s="16">
        <v>4.2</v>
      </c>
      <c r="R9" s="16">
        <v>3.7</v>
      </c>
      <c r="S9" s="16">
        <v>2.7</v>
      </c>
      <c r="T9" s="16">
        <f t="shared" si="0"/>
        <v>9.2000000000000011</v>
      </c>
      <c r="U9" s="16">
        <f>8*P9</f>
        <v>368</v>
      </c>
      <c r="V9" s="18">
        <v>1</v>
      </c>
      <c r="W9" s="16">
        <v>1145</v>
      </c>
      <c r="Y9" s="16">
        <v>138</v>
      </c>
      <c r="Z9" s="16">
        <f t="shared" si="1"/>
        <v>9.2000000000000011</v>
      </c>
      <c r="AA9" s="18">
        <v>1</v>
      </c>
      <c r="AB9" s="19" t="s">
        <v>89</v>
      </c>
      <c r="AC9" s="17">
        <v>227</v>
      </c>
      <c r="AD9" s="17">
        <v>12.2</v>
      </c>
      <c r="AE9" s="17">
        <v>226</v>
      </c>
      <c r="AF9" s="21" t="s">
        <v>90</v>
      </c>
      <c r="AG9" s="17">
        <v>2020</v>
      </c>
      <c r="AH9" s="17" t="s">
        <v>91</v>
      </c>
      <c r="AI9" s="17" t="s">
        <v>91</v>
      </c>
      <c r="AJ9" s="22" t="s">
        <v>118</v>
      </c>
      <c r="AK9" s="17" t="s">
        <v>93</v>
      </c>
      <c r="AL9" s="19" t="s">
        <v>94</v>
      </c>
      <c r="AM9" s="19" t="s">
        <v>89</v>
      </c>
      <c r="AN9" s="23">
        <v>0.9</v>
      </c>
      <c r="AO9">
        <f t="shared" si="2"/>
        <v>1</v>
      </c>
      <c r="AP9">
        <f t="shared" si="3"/>
        <v>60.25</v>
      </c>
      <c r="AR9">
        <f t="shared" si="4"/>
        <v>148.64628820960701</v>
      </c>
    </row>
    <row r="10" spans="1:44">
      <c r="A10" t="s">
        <v>119</v>
      </c>
      <c r="B10">
        <v>8</v>
      </c>
      <c r="C10" s="16" t="s">
        <v>120</v>
      </c>
      <c r="D10" s="16" t="s">
        <v>120</v>
      </c>
      <c r="E10" s="16" t="s">
        <v>82</v>
      </c>
      <c r="F10" s="16" t="s">
        <v>83</v>
      </c>
      <c r="G10" s="16" t="s">
        <v>84</v>
      </c>
      <c r="H10" s="16" t="s">
        <v>85</v>
      </c>
      <c r="I10" s="16" t="s">
        <v>121</v>
      </c>
      <c r="J10" s="16" t="s">
        <v>87</v>
      </c>
      <c r="K10" s="16" t="s">
        <v>88</v>
      </c>
      <c r="L10" s="17">
        <v>6000</v>
      </c>
      <c r="M10" s="17">
        <v>70</v>
      </c>
      <c r="N10" s="16">
        <v>429</v>
      </c>
      <c r="O10" s="16">
        <v>180</v>
      </c>
      <c r="P10" s="16">
        <v>57</v>
      </c>
      <c r="Q10" s="16">
        <v>4.2</v>
      </c>
      <c r="R10" s="16">
        <v>3.68</v>
      </c>
      <c r="S10" s="16">
        <v>2.7</v>
      </c>
      <c r="T10" s="16">
        <f t="shared" si="0"/>
        <v>11.4</v>
      </c>
      <c r="U10" s="16">
        <f>8*P10</f>
        <v>456</v>
      </c>
      <c r="V10" s="18">
        <v>1</v>
      </c>
      <c r="W10" s="16">
        <v>1175</v>
      </c>
      <c r="Y10" s="16">
        <f>3*P10</f>
        <v>171</v>
      </c>
      <c r="Z10" s="16">
        <f t="shared" si="1"/>
        <v>11.4</v>
      </c>
      <c r="AA10" s="18">
        <v>1</v>
      </c>
      <c r="AB10" s="19" t="s">
        <v>89</v>
      </c>
      <c r="AC10" s="17">
        <v>227</v>
      </c>
      <c r="AD10" s="17">
        <v>12.2</v>
      </c>
      <c r="AE10" s="17">
        <v>226</v>
      </c>
      <c r="AF10" s="21" t="s">
        <v>90</v>
      </c>
      <c r="AG10" s="17">
        <v>2020</v>
      </c>
      <c r="AH10" s="17" t="s">
        <v>91</v>
      </c>
      <c r="AI10" s="17" t="s">
        <v>91</v>
      </c>
      <c r="AJ10" s="22" t="s">
        <v>122</v>
      </c>
      <c r="AK10" s="17" t="s">
        <v>93</v>
      </c>
      <c r="AL10" s="19" t="s">
        <v>94</v>
      </c>
      <c r="AM10" s="19" t="s">
        <v>89</v>
      </c>
      <c r="AN10" s="23">
        <v>0.9</v>
      </c>
      <c r="AO10">
        <f t="shared" si="2"/>
        <v>1</v>
      </c>
      <c r="AP10">
        <f t="shared" si="3"/>
        <v>60.25</v>
      </c>
      <c r="AR10">
        <f t="shared" si="4"/>
        <v>178.51914893617021</v>
      </c>
    </row>
    <row r="11" spans="1:44">
      <c r="A11" t="s">
        <v>123</v>
      </c>
      <c r="B11">
        <v>9</v>
      </c>
      <c r="C11" s="16" t="s">
        <v>124</v>
      </c>
      <c r="D11" s="16" t="s">
        <v>124</v>
      </c>
      <c r="E11" s="16" t="s">
        <v>82</v>
      </c>
      <c r="F11" s="16" t="s">
        <v>83</v>
      </c>
      <c r="G11" s="16" t="s">
        <v>84</v>
      </c>
      <c r="H11" s="16" t="s">
        <v>85</v>
      </c>
      <c r="I11" s="16" t="s">
        <v>125</v>
      </c>
      <c r="J11" s="16" t="s">
        <v>87</v>
      </c>
      <c r="K11" s="16" t="s">
        <v>88</v>
      </c>
      <c r="L11" s="17">
        <v>6000</v>
      </c>
      <c r="M11" s="17">
        <v>70</v>
      </c>
      <c r="N11" s="17" t="s">
        <v>89</v>
      </c>
      <c r="O11" s="16">
        <v>168</v>
      </c>
      <c r="P11" s="16">
        <v>75</v>
      </c>
      <c r="Q11" s="16">
        <v>4.2</v>
      </c>
      <c r="R11" s="16">
        <v>3.7</v>
      </c>
      <c r="S11" s="16">
        <v>2.7</v>
      </c>
      <c r="T11" s="16">
        <f t="shared" si="0"/>
        <v>15</v>
      </c>
      <c r="U11" s="16">
        <f>8*P11</f>
        <v>600</v>
      </c>
      <c r="V11" s="18">
        <v>1</v>
      </c>
      <c r="W11" s="16">
        <v>1665</v>
      </c>
      <c r="Y11" s="16">
        <v>225</v>
      </c>
      <c r="Z11" s="16">
        <f t="shared" si="1"/>
        <v>15</v>
      </c>
      <c r="AA11" s="18">
        <v>1</v>
      </c>
      <c r="AB11" s="19" t="s">
        <v>89</v>
      </c>
      <c r="AC11" s="17">
        <v>265</v>
      </c>
      <c r="AD11" s="17">
        <v>13</v>
      </c>
      <c r="AE11" s="17">
        <v>268</v>
      </c>
      <c r="AF11" s="21" t="s">
        <v>90</v>
      </c>
      <c r="AG11" s="17">
        <v>2020</v>
      </c>
      <c r="AH11" s="17" t="s">
        <v>91</v>
      </c>
      <c r="AI11" s="17" t="s">
        <v>91</v>
      </c>
      <c r="AJ11" s="24" t="s">
        <v>98</v>
      </c>
      <c r="AL11" s="19" t="s">
        <v>94</v>
      </c>
      <c r="AM11" s="19" t="s">
        <v>89</v>
      </c>
      <c r="AN11" s="23">
        <v>0.9</v>
      </c>
      <c r="AO11">
        <f t="shared" si="2"/>
        <v>1</v>
      </c>
      <c r="AP11">
        <f t="shared" si="3"/>
        <v>60.25</v>
      </c>
      <c r="AR11">
        <f t="shared" si="4"/>
        <v>166.66666666666666</v>
      </c>
    </row>
    <row r="12" spans="1:44">
      <c r="A12" t="s">
        <v>126</v>
      </c>
      <c r="B12">
        <v>10</v>
      </c>
      <c r="C12" s="16" t="s">
        <v>127</v>
      </c>
      <c r="D12" s="16" t="s">
        <v>127</v>
      </c>
      <c r="E12" s="16" t="s">
        <v>128</v>
      </c>
      <c r="F12" s="16" t="s">
        <v>129</v>
      </c>
      <c r="G12" s="16" t="s">
        <v>130</v>
      </c>
      <c r="H12" s="16" t="s">
        <v>88</v>
      </c>
      <c r="I12" s="16" t="s">
        <v>131</v>
      </c>
      <c r="J12" s="16" t="s">
        <v>87</v>
      </c>
      <c r="K12" s="16" t="s">
        <v>88</v>
      </c>
      <c r="L12" s="17">
        <v>2000</v>
      </c>
      <c r="M12" s="17">
        <v>80</v>
      </c>
      <c r="N12" s="17" t="s">
        <v>89</v>
      </c>
      <c r="O12" s="17" t="s">
        <v>89</v>
      </c>
      <c r="P12" s="16">
        <v>40</v>
      </c>
      <c r="Q12" s="16">
        <v>3.65</v>
      </c>
      <c r="R12" s="16">
        <v>3.2</v>
      </c>
      <c r="S12" s="16">
        <v>2.5</v>
      </c>
      <c r="T12" s="16">
        <f>0.3*P12</f>
        <v>12</v>
      </c>
      <c r="U12" s="16">
        <v>80</v>
      </c>
      <c r="V12" s="18">
        <v>0.3</v>
      </c>
      <c r="W12" s="16">
        <v>1500</v>
      </c>
      <c r="Y12" s="16">
        <v>40</v>
      </c>
      <c r="Z12" s="16">
        <f>P12*0.3</f>
        <v>12</v>
      </c>
      <c r="AA12" s="18">
        <v>0.3</v>
      </c>
      <c r="AB12" s="19" t="s">
        <v>89</v>
      </c>
      <c r="AC12" s="17">
        <v>116</v>
      </c>
      <c r="AD12" s="17">
        <v>46</v>
      </c>
      <c r="AE12" s="17">
        <v>118</v>
      </c>
      <c r="AF12" s="21" t="s">
        <v>90</v>
      </c>
      <c r="AH12" s="17" t="s">
        <v>91</v>
      </c>
      <c r="AJ12" s="24" t="s">
        <v>98</v>
      </c>
      <c r="AL12" s="19" t="s">
        <v>94</v>
      </c>
      <c r="AM12" s="19" t="s">
        <v>89</v>
      </c>
      <c r="AN12" s="23">
        <v>0.8</v>
      </c>
      <c r="AO12">
        <f t="shared" si="2"/>
        <v>2</v>
      </c>
      <c r="AP12">
        <f t="shared" si="3"/>
        <v>60.79</v>
      </c>
      <c r="AR12">
        <f t="shared" si="4"/>
        <v>85.333333333333329</v>
      </c>
    </row>
    <row r="13" spans="1:44">
      <c r="A13" t="s">
        <v>132</v>
      </c>
      <c r="B13">
        <v>11</v>
      </c>
      <c r="C13" s="16" t="s">
        <v>133</v>
      </c>
      <c r="D13" s="16" t="s">
        <v>133</v>
      </c>
      <c r="E13" s="16" t="s">
        <v>128</v>
      </c>
      <c r="F13" s="16" t="s">
        <v>129</v>
      </c>
      <c r="G13" s="16" t="s">
        <v>130</v>
      </c>
      <c r="H13" s="16" t="s">
        <v>88</v>
      </c>
      <c r="I13" s="16" t="s">
        <v>134</v>
      </c>
      <c r="J13" s="16" t="s">
        <v>87</v>
      </c>
      <c r="K13" s="16" t="s">
        <v>88</v>
      </c>
      <c r="L13" s="17">
        <v>2000</v>
      </c>
      <c r="M13" s="17">
        <v>80</v>
      </c>
      <c r="N13" s="17" t="s">
        <v>89</v>
      </c>
      <c r="O13" s="17" t="s">
        <v>89</v>
      </c>
      <c r="P13" s="16">
        <v>60</v>
      </c>
      <c r="Q13" s="16">
        <v>3.65</v>
      </c>
      <c r="R13" s="16">
        <v>3.2</v>
      </c>
      <c r="S13" s="16">
        <v>2.5</v>
      </c>
      <c r="T13" s="16">
        <f>0.3*P13</f>
        <v>18</v>
      </c>
      <c r="U13" s="16">
        <v>120</v>
      </c>
      <c r="V13" s="18">
        <v>0.3</v>
      </c>
      <c r="W13" s="16">
        <v>2000</v>
      </c>
      <c r="Y13" s="16">
        <v>60</v>
      </c>
      <c r="Z13" s="16">
        <f>P13*0.3</f>
        <v>18</v>
      </c>
      <c r="AA13" s="18">
        <v>0.3</v>
      </c>
      <c r="AB13" s="19" t="s">
        <v>89</v>
      </c>
      <c r="AC13" s="17">
        <v>115</v>
      </c>
      <c r="AD13" s="17">
        <v>41</v>
      </c>
      <c r="AE13" s="17">
        <v>240</v>
      </c>
      <c r="AF13" s="21" t="s">
        <v>90</v>
      </c>
      <c r="AH13" s="17" t="s">
        <v>91</v>
      </c>
      <c r="AJ13" s="24" t="s">
        <v>98</v>
      </c>
      <c r="AL13" s="19" t="s">
        <v>94</v>
      </c>
      <c r="AM13" s="19" t="s">
        <v>89</v>
      </c>
      <c r="AN13" s="23">
        <v>0.8</v>
      </c>
      <c r="AO13">
        <f t="shared" si="2"/>
        <v>2</v>
      </c>
      <c r="AP13">
        <f t="shared" si="3"/>
        <v>60.79</v>
      </c>
      <c r="AR13">
        <f t="shared" si="4"/>
        <v>96</v>
      </c>
    </row>
    <row r="14" spans="1:44">
      <c r="A14" t="s">
        <v>135</v>
      </c>
      <c r="B14">
        <v>12</v>
      </c>
      <c r="C14" s="16" t="s">
        <v>136</v>
      </c>
      <c r="D14" s="16" t="s">
        <v>136</v>
      </c>
      <c r="E14" s="16" t="s">
        <v>128</v>
      </c>
      <c r="F14" s="16" t="s">
        <v>129</v>
      </c>
      <c r="G14" s="16" t="s">
        <v>130</v>
      </c>
      <c r="H14" s="16" t="s">
        <v>88</v>
      </c>
      <c r="I14" s="16" t="s">
        <v>137</v>
      </c>
      <c r="J14" s="16" t="s">
        <v>87</v>
      </c>
      <c r="K14" s="16" t="s">
        <v>88</v>
      </c>
      <c r="L14" s="17">
        <v>2000</v>
      </c>
      <c r="M14" s="17">
        <v>80</v>
      </c>
      <c r="N14" s="17" t="s">
        <v>89</v>
      </c>
      <c r="O14" s="17" t="s">
        <v>89</v>
      </c>
      <c r="P14" s="16">
        <v>100</v>
      </c>
      <c r="Q14" s="16">
        <v>3.65</v>
      </c>
      <c r="R14" s="16">
        <v>3.2</v>
      </c>
      <c r="S14" s="16">
        <v>2.5</v>
      </c>
      <c r="T14" s="16">
        <f>0.3*P14</f>
        <v>30</v>
      </c>
      <c r="U14" s="16">
        <v>200</v>
      </c>
      <c r="V14" s="18">
        <v>0.3</v>
      </c>
      <c r="W14" s="16">
        <v>3400</v>
      </c>
      <c r="Y14" s="16">
        <v>100</v>
      </c>
      <c r="Z14" s="16">
        <f>P14*0.3</f>
        <v>30</v>
      </c>
      <c r="AA14" s="18">
        <v>0.3</v>
      </c>
      <c r="AB14" s="19" t="s">
        <v>89</v>
      </c>
      <c r="AC14" s="17">
        <v>142</v>
      </c>
      <c r="AD14" s="17">
        <v>67</v>
      </c>
      <c r="AE14" s="17">
        <v>213</v>
      </c>
      <c r="AF14" s="21" t="s">
        <v>90</v>
      </c>
      <c r="AH14" s="17" t="s">
        <v>91</v>
      </c>
      <c r="AJ14" s="24" t="s">
        <v>98</v>
      </c>
      <c r="AL14" s="19" t="s">
        <v>94</v>
      </c>
      <c r="AM14" s="19" t="s">
        <v>89</v>
      </c>
      <c r="AN14" s="23">
        <v>0.8</v>
      </c>
      <c r="AO14">
        <f t="shared" si="2"/>
        <v>2</v>
      </c>
      <c r="AP14">
        <f t="shared" si="3"/>
        <v>60.79</v>
      </c>
      <c r="AR14">
        <f t="shared" si="4"/>
        <v>94.117647058823536</v>
      </c>
    </row>
    <row r="15" spans="1:44">
      <c r="A15" t="s">
        <v>138</v>
      </c>
      <c r="B15">
        <v>13</v>
      </c>
      <c r="C15" s="16" t="s">
        <v>139</v>
      </c>
      <c r="D15" s="16" t="s">
        <v>139</v>
      </c>
      <c r="E15" s="16" t="s">
        <v>128</v>
      </c>
      <c r="F15" s="16" t="s">
        <v>129</v>
      </c>
      <c r="G15" s="16" t="s">
        <v>130</v>
      </c>
      <c r="H15" s="16" t="s">
        <v>88</v>
      </c>
      <c r="I15" s="16" t="s">
        <v>140</v>
      </c>
      <c r="J15" s="16" t="s">
        <v>87</v>
      </c>
      <c r="K15" s="16" t="s">
        <v>88</v>
      </c>
      <c r="L15" s="17">
        <v>2000</v>
      </c>
      <c r="M15" s="17">
        <v>80</v>
      </c>
      <c r="N15" s="17" t="s">
        <v>89</v>
      </c>
      <c r="O15" s="17" t="s">
        <v>89</v>
      </c>
      <c r="P15" s="16">
        <v>180</v>
      </c>
      <c r="Q15" s="16">
        <v>3.65</v>
      </c>
      <c r="R15" s="16">
        <v>3.2</v>
      </c>
      <c r="S15" s="16">
        <v>2.5</v>
      </c>
      <c r="T15" s="16">
        <v>54</v>
      </c>
      <c r="U15" s="16">
        <v>180</v>
      </c>
      <c r="V15" s="18">
        <v>1</v>
      </c>
      <c r="W15" s="16">
        <v>5600</v>
      </c>
      <c r="Y15" s="16">
        <v>180</v>
      </c>
      <c r="Z15" s="16">
        <v>54</v>
      </c>
      <c r="AA15" s="18">
        <f>Z15/P15</f>
        <v>0.3</v>
      </c>
      <c r="AB15" s="19">
        <v>0.97</v>
      </c>
      <c r="AC15" s="17">
        <v>180</v>
      </c>
      <c r="AD15" s="17">
        <v>71</v>
      </c>
      <c r="AE15" s="17">
        <v>279</v>
      </c>
      <c r="AF15" s="21" t="s">
        <v>90</v>
      </c>
      <c r="AG15" s="17">
        <v>2016</v>
      </c>
      <c r="AJ15" s="24" t="s">
        <v>141</v>
      </c>
      <c r="AL15" s="19" t="s">
        <v>94</v>
      </c>
      <c r="AM15" s="19" t="s">
        <v>89</v>
      </c>
      <c r="AN15" s="19" t="s">
        <v>89</v>
      </c>
      <c r="AO15">
        <f t="shared" si="2"/>
        <v>2</v>
      </c>
      <c r="AP15">
        <f t="shared" si="3"/>
        <v>60.79</v>
      </c>
      <c r="AR15">
        <f t="shared" si="4"/>
        <v>102.85714285714286</v>
      </c>
    </row>
    <row r="16" spans="1:44">
      <c r="A16" t="s">
        <v>142</v>
      </c>
      <c r="B16">
        <v>14</v>
      </c>
      <c r="C16" s="16" t="s">
        <v>143</v>
      </c>
      <c r="D16" s="16" t="s">
        <v>143</v>
      </c>
      <c r="E16" s="16" t="s">
        <v>144</v>
      </c>
      <c r="F16" s="16" t="s">
        <v>129</v>
      </c>
      <c r="G16" s="16" t="s">
        <v>130</v>
      </c>
      <c r="H16" s="16" t="s">
        <v>88</v>
      </c>
      <c r="I16" s="16" t="s">
        <v>145</v>
      </c>
      <c r="J16" s="16" t="s">
        <v>87</v>
      </c>
      <c r="K16" s="16" t="s">
        <v>88</v>
      </c>
      <c r="L16" s="17">
        <v>4000</v>
      </c>
      <c r="M16" s="17">
        <v>80</v>
      </c>
      <c r="N16" s="17" t="s">
        <v>89</v>
      </c>
      <c r="O16" s="17" t="s">
        <v>89</v>
      </c>
      <c r="P16" s="16">
        <v>302</v>
      </c>
      <c r="Q16" s="16">
        <v>3.65</v>
      </c>
      <c r="R16" s="16">
        <v>3.2</v>
      </c>
      <c r="S16" s="16">
        <v>2.5</v>
      </c>
      <c r="T16" s="16">
        <f>0.5*P16</f>
        <v>151</v>
      </c>
      <c r="U16" s="16">
        <v>302</v>
      </c>
      <c r="V16" s="18">
        <f>T16/P16</f>
        <v>0.5</v>
      </c>
      <c r="W16" s="16">
        <v>5510</v>
      </c>
      <c r="Y16" s="16">
        <f t="shared" ref="Y16:Y22" si="5">1*P16</f>
        <v>302</v>
      </c>
      <c r="Z16" s="16">
        <f>0.5*P16</f>
        <v>151</v>
      </c>
      <c r="AA16" s="18">
        <f>Z16/P16</f>
        <v>0.5</v>
      </c>
      <c r="AB16" s="19" t="s">
        <v>89</v>
      </c>
      <c r="AC16" s="17">
        <v>207</v>
      </c>
      <c r="AD16" s="17">
        <v>71</v>
      </c>
      <c r="AE16" s="17">
        <v>173</v>
      </c>
      <c r="AF16" s="21" t="s">
        <v>90</v>
      </c>
      <c r="AG16" s="17">
        <v>2018</v>
      </c>
      <c r="AH16" s="17" t="s">
        <v>91</v>
      </c>
      <c r="AJ16" s="22" t="s">
        <v>146</v>
      </c>
      <c r="AL16" s="19" t="s">
        <v>94</v>
      </c>
      <c r="AM16" s="19" t="s">
        <v>89</v>
      </c>
      <c r="AN16" s="19" t="s">
        <v>89</v>
      </c>
      <c r="AO16">
        <f t="shared" si="2"/>
        <v>2</v>
      </c>
      <c r="AP16">
        <f t="shared" si="3"/>
        <v>60.79</v>
      </c>
      <c r="AR16">
        <f t="shared" si="4"/>
        <v>175.39019963702361</v>
      </c>
    </row>
    <row r="17" spans="1:44">
      <c r="A17" t="s">
        <v>147</v>
      </c>
      <c r="B17">
        <v>15</v>
      </c>
      <c r="C17" s="16" t="s">
        <v>148</v>
      </c>
      <c r="D17" s="16" t="s">
        <v>148</v>
      </c>
      <c r="E17" s="16" t="s">
        <v>144</v>
      </c>
      <c r="F17" s="16" t="s">
        <v>129</v>
      </c>
      <c r="G17" s="16" t="s">
        <v>130</v>
      </c>
      <c r="H17" s="16" t="s">
        <v>88</v>
      </c>
      <c r="I17" s="16" t="s">
        <v>149</v>
      </c>
      <c r="J17" s="16" t="s">
        <v>87</v>
      </c>
      <c r="K17" s="16" t="s">
        <v>88</v>
      </c>
      <c r="L17" s="17">
        <v>3500</v>
      </c>
      <c r="M17" s="17">
        <v>80</v>
      </c>
      <c r="N17" s="17" t="s">
        <v>89</v>
      </c>
      <c r="O17" s="17" t="s">
        <v>89</v>
      </c>
      <c r="P17" s="16">
        <v>202</v>
      </c>
      <c r="Q17" s="16">
        <v>3.65</v>
      </c>
      <c r="R17" s="16">
        <v>3.2</v>
      </c>
      <c r="S17" s="16">
        <v>2.5</v>
      </c>
      <c r="T17" s="16">
        <f>0.5*P17</f>
        <v>101</v>
      </c>
      <c r="U17" s="16">
        <v>202</v>
      </c>
      <c r="V17" s="18">
        <f>T17/P17</f>
        <v>0.5</v>
      </c>
      <c r="W17" s="16">
        <v>3840</v>
      </c>
      <c r="Y17" s="16">
        <f t="shared" si="5"/>
        <v>202</v>
      </c>
      <c r="Z17" s="16">
        <f>0.5*P17</f>
        <v>101</v>
      </c>
      <c r="AA17" s="18">
        <f>Z17/P17</f>
        <v>0.5</v>
      </c>
      <c r="AB17" s="19" t="s">
        <v>89</v>
      </c>
      <c r="AC17" s="17">
        <v>201</v>
      </c>
      <c r="AD17" s="17">
        <v>57</v>
      </c>
      <c r="AE17" s="17">
        <v>174</v>
      </c>
      <c r="AF17" s="21" t="s">
        <v>90</v>
      </c>
      <c r="AH17" s="17" t="s">
        <v>91</v>
      </c>
      <c r="AJ17" s="24" t="s">
        <v>98</v>
      </c>
      <c r="AL17" s="19" t="s">
        <v>94</v>
      </c>
      <c r="AM17" s="19" t="s">
        <v>89</v>
      </c>
      <c r="AN17" s="19" t="s">
        <v>89</v>
      </c>
      <c r="AO17">
        <f t="shared" si="2"/>
        <v>2</v>
      </c>
      <c r="AP17">
        <f t="shared" si="3"/>
        <v>60.79</v>
      </c>
      <c r="AR17">
        <f t="shared" si="4"/>
        <v>168.33333333333337</v>
      </c>
    </row>
    <row r="18" spans="1:44">
      <c r="A18" t="s">
        <v>150</v>
      </c>
      <c r="B18">
        <v>16</v>
      </c>
      <c r="C18" s="16" t="s">
        <v>151</v>
      </c>
      <c r="D18" s="16" t="s">
        <v>151</v>
      </c>
      <c r="E18" s="16" t="s">
        <v>152</v>
      </c>
      <c r="F18" s="16" t="s">
        <v>129</v>
      </c>
      <c r="G18" s="16" t="s">
        <v>130</v>
      </c>
      <c r="H18" s="16" t="s">
        <v>88</v>
      </c>
      <c r="I18" s="16" t="s">
        <v>153</v>
      </c>
      <c r="J18" s="16" t="s">
        <v>87</v>
      </c>
      <c r="K18" s="16" t="s">
        <v>88</v>
      </c>
      <c r="L18" s="17">
        <v>3000</v>
      </c>
      <c r="M18" s="17">
        <v>80</v>
      </c>
      <c r="N18" s="17" t="s">
        <v>89</v>
      </c>
      <c r="O18" s="17" t="s">
        <v>89</v>
      </c>
      <c r="P18" s="16">
        <v>150</v>
      </c>
      <c r="Q18" s="16">
        <v>3.65</v>
      </c>
      <c r="R18" s="16">
        <v>3.2</v>
      </c>
      <c r="S18" s="16">
        <v>2.5</v>
      </c>
      <c r="T18" s="16">
        <f>0.5*P18</f>
        <v>75</v>
      </c>
      <c r="U18" s="16">
        <f>3*P18</f>
        <v>450</v>
      </c>
      <c r="V18" s="18">
        <f>T18/P18</f>
        <v>0.5</v>
      </c>
      <c r="W18" s="16">
        <v>3840</v>
      </c>
      <c r="Y18" s="16">
        <f t="shared" si="5"/>
        <v>150</v>
      </c>
      <c r="Z18" s="16">
        <f>0.5*P18</f>
        <v>75</v>
      </c>
      <c r="AA18" s="18">
        <v>0.5</v>
      </c>
      <c r="AB18" s="19" t="s">
        <v>89</v>
      </c>
      <c r="AC18" s="17">
        <v>201</v>
      </c>
      <c r="AD18" s="17">
        <v>45.5</v>
      </c>
      <c r="AE18" s="17">
        <v>174</v>
      </c>
      <c r="AF18" s="21" t="s">
        <v>90</v>
      </c>
      <c r="AH18" s="17" t="s">
        <v>91</v>
      </c>
      <c r="AJ18" s="24" t="s">
        <v>98</v>
      </c>
      <c r="AL18" s="19" t="s">
        <v>94</v>
      </c>
      <c r="AM18" s="19" t="s">
        <v>89</v>
      </c>
      <c r="AN18" s="23">
        <v>1</v>
      </c>
      <c r="AO18">
        <f t="shared" si="2"/>
        <v>2</v>
      </c>
      <c r="AP18">
        <f t="shared" si="3"/>
        <v>60.79</v>
      </c>
      <c r="AR18">
        <f t="shared" si="4"/>
        <v>125</v>
      </c>
    </row>
    <row r="19" spans="1:44">
      <c r="A19" t="s">
        <v>154</v>
      </c>
      <c r="B19">
        <v>17</v>
      </c>
      <c r="C19" s="16" t="s">
        <v>155</v>
      </c>
      <c r="D19" s="16" t="s">
        <v>155</v>
      </c>
      <c r="E19" s="16" t="s">
        <v>156</v>
      </c>
      <c r="F19" s="16" t="s">
        <v>129</v>
      </c>
      <c r="G19" s="16" t="s">
        <v>130</v>
      </c>
      <c r="H19" s="16" t="s">
        <v>88</v>
      </c>
      <c r="I19" s="16" t="s">
        <v>157</v>
      </c>
      <c r="J19" s="16" t="s">
        <v>87</v>
      </c>
      <c r="K19" s="16" t="s">
        <v>88</v>
      </c>
      <c r="L19" s="17">
        <v>2000</v>
      </c>
      <c r="M19" s="17">
        <v>80</v>
      </c>
      <c r="N19" s="17" t="s">
        <v>89</v>
      </c>
      <c r="O19" s="17" t="s">
        <v>89</v>
      </c>
      <c r="P19" s="16">
        <v>228</v>
      </c>
      <c r="Q19" s="16">
        <v>3.65</v>
      </c>
      <c r="R19" s="16">
        <v>3.2</v>
      </c>
      <c r="S19" s="16">
        <v>2.5</v>
      </c>
      <c r="T19" s="16">
        <v>76</v>
      </c>
      <c r="U19" s="16">
        <f>2*P19</f>
        <v>456</v>
      </c>
      <c r="V19" s="18">
        <v>1</v>
      </c>
      <c r="W19" s="16">
        <v>4200</v>
      </c>
      <c r="Y19" s="16">
        <f t="shared" si="5"/>
        <v>228</v>
      </c>
      <c r="Z19" s="16">
        <v>76</v>
      </c>
      <c r="AA19" s="18">
        <v>1</v>
      </c>
      <c r="AB19" s="19" t="s">
        <v>89</v>
      </c>
      <c r="AC19" s="17">
        <v>207</v>
      </c>
      <c r="AD19" s="17">
        <v>54</v>
      </c>
      <c r="AE19" s="17">
        <v>174</v>
      </c>
      <c r="AF19" s="21" t="s">
        <v>90</v>
      </c>
      <c r="AG19" s="17">
        <v>2019</v>
      </c>
      <c r="AH19" s="17" t="s">
        <v>91</v>
      </c>
      <c r="AJ19" s="24" t="s">
        <v>98</v>
      </c>
      <c r="AL19" s="19" t="s">
        <v>94</v>
      </c>
      <c r="AM19" s="19" t="s">
        <v>89</v>
      </c>
      <c r="AN19" s="23">
        <v>0.8</v>
      </c>
      <c r="AO19">
        <f t="shared" si="2"/>
        <v>2</v>
      </c>
      <c r="AP19">
        <f t="shared" si="3"/>
        <v>60.79</v>
      </c>
      <c r="AR19">
        <f t="shared" si="4"/>
        <v>173.71428571428572</v>
      </c>
    </row>
    <row r="20" spans="1:44">
      <c r="A20" t="s">
        <v>158</v>
      </c>
      <c r="B20">
        <v>18</v>
      </c>
      <c r="C20" s="16" t="s">
        <v>159</v>
      </c>
      <c r="D20" s="16" t="s">
        <v>160</v>
      </c>
      <c r="E20" s="16" t="s">
        <v>161</v>
      </c>
      <c r="F20" s="16" t="s">
        <v>129</v>
      </c>
      <c r="G20" s="16" t="s">
        <v>130</v>
      </c>
      <c r="H20" s="16" t="s">
        <v>88</v>
      </c>
      <c r="I20" s="16" t="s">
        <v>162</v>
      </c>
      <c r="J20" s="16" t="s">
        <v>87</v>
      </c>
      <c r="K20" s="16" t="s">
        <v>88</v>
      </c>
      <c r="L20" s="17">
        <v>1800</v>
      </c>
      <c r="M20" s="17">
        <v>80</v>
      </c>
      <c r="N20" s="17" t="s">
        <v>89</v>
      </c>
      <c r="O20" s="17" t="s">
        <v>89</v>
      </c>
      <c r="P20" s="16">
        <v>280</v>
      </c>
      <c r="Q20" s="16">
        <v>3.65</v>
      </c>
      <c r="R20" s="16">
        <v>3.2</v>
      </c>
      <c r="S20" s="16">
        <v>2.5</v>
      </c>
      <c r="T20" s="16">
        <f t="shared" ref="T20:T23" si="6">0.5*P20</f>
        <v>140</v>
      </c>
      <c r="U20" s="16">
        <f>1*P20</f>
        <v>280</v>
      </c>
      <c r="V20" s="18">
        <v>1</v>
      </c>
      <c r="W20" s="16">
        <v>5300</v>
      </c>
      <c r="Y20" s="16">
        <f t="shared" si="5"/>
        <v>280</v>
      </c>
      <c r="Z20" s="16">
        <f t="shared" ref="Z20:Z23" si="7">0.5*P20</f>
        <v>140</v>
      </c>
      <c r="AA20" s="18">
        <v>1</v>
      </c>
      <c r="AB20" s="19">
        <v>0.5</v>
      </c>
      <c r="AC20" s="17">
        <v>205</v>
      </c>
      <c r="AD20" s="17">
        <v>72</v>
      </c>
      <c r="AE20" s="17">
        <v>174</v>
      </c>
      <c r="AF20" s="21" t="s">
        <v>90</v>
      </c>
      <c r="AG20" s="17">
        <v>2019</v>
      </c>
      <c r="AH20" s="17" t="s">
        <v>91</v>
      </c>
      <c r="AJ20" s="24" t="s">
        <v>163</v>
      </c>
      <c r="AK20" s="25" t="s">
        <v>164</v>
      </c>
      <c r="AL20" s="19" t="s">
        <v>94</v>
      </c>
      <c r="AM20" s="19">
        <v>0.05</v>
      </c>
      <c r="AN20" s="23">
        <v>1</v>
      </c>
      <c r="AO20">
        <f t="shared" si="2"/>
        <v>2</v>
      </c>
      <c r="AP20">
        <f t="shared" si="3"/>
        <v>60.79</v>
      </c>
      <c r="AR20">
        <f t="shared" si="4"/>
        <v>169.05660377358492</v>
      </c>
    </row>
    <row r="21" spans="1:44">
      <c r="A21" t="s">
        <v>165</v>
      </c>
      <c r="B21">
        <v>19</v>
      </c>
      <c r="C21" s="16" t="s">
        <v>166</v>
      </c>
      <c r="D21" s="16" t="s">
        <v>167</v>
      </c>
      <c r="E21" s="16" t="s">
        <v>161</v>
      </c>
      <c r="F21" s="16" t="s">
        <v>129</v>
      </c>
      <c r="G21" s="16" t="s">
        <v>130</v>
      </c>
      <c r="H21" s="16" t="s">
        <v>88</v>
      </c>
      <c r="I21" s="16" t="s">
        <v>168</v>
      </c>
      <c r="J21" s="16" t="s">
        <v>87</v>
      </c>
      <c r="K21" s="16" t="s">
        <v>88</v>
      </c>
      <c r="L21" s="17">
        <v>3500</v>
      </c>
      <c r="M21" s="17">
        <v>80</v>
      </c>
      <c r="N21" s="17" t="s">
        <v>89</v>
      </c>
      <c r="O21" s="17" t="s">
        <v>89</v>
      </c>
      <c r="P21" s="16">
        <v>304</v>
      </c>
      <c r="Q21" s="16">
        <v>3.65</v>
      </c>
      <c r="R21" s="16">
        <v>3.2</v>
      </c>
      <c r="S21" s="16">
        <v>2.5</v>
      </c>
      <c r="T21" s="16">
        <f t="shared" si="6"/>
        <v>152</v>
      </c>
      <c r="U21" s="16">
        <f>1*P21</f>
        <v>304</v>
      </c>
      <c r="V21" s="18">
        <v>1</v>
      </c>
      <c r="W21" s="16">
        <v>5490</v>
      </c>
      <c r="Y21" s="16">
        <f t="shared" si="5"/>
        <v>304</v>
      </c>
      <c r="Z21" s="16">
        <f t="shared" si="7"/>
        <v>152</v>
      </c>
      <c r="AA21" s="18">
        <v>1</v>
      </c>
      <c r="AB21" s="19">
        <v>0.5</v>
      </c>
      <c r="AC21" s="17">
        <v>209</v>
      </c>
      <c r="AD21" s="17">
        <v>72</v>
      </c>
      <c r="AE21" s="17">
        <v>174</v>
      </c>
      <c r="AF21" s="21" t="s">
        <v>90</v>
      </c>
      <c r="AG21" s="17">
        <v>2020</v>
      </c>
      <c r="AH21" s="17" t="s">
        <v>91</v>
      </c>
      <c r="AJ21" s="24" t="s">
        <v>169</v>
      </c>
      <c r="AK21" s="25" t="s">
        <v>170</v>
      </c>
      <c r="AL21" s="19" t="s">
        <v>94</v>
      </c>
      <c r="AM21" s="19">
        <v>0.05</v>
      </c>
      <c r="AN21" s="23">
        <v>1</v>
      </c>
      <c r="AO21">
        <f t="shared" si="2"/>
        <v>2</v>
      </c>
      <c r="AP21">
        <f t="shared" si="3"/>
        <v>60.79</v>
      </c>
      <c r="AR21">
        <f t="shared" si="4"/>
        <v>177.19489981785065</v>
      </c>
    </row>
    <row r="22" spans="1:44">
      <c r="A22" t="s">
        <v>171</v>
      </c>
      <c r="B22">
        <v>20</v>
      </c>
      <c r="C22" s="16" t="s">
        <v>172</v>
      </c>
      <c r="D22" s="16" t="s">
        <v>172</v>
      </c>
      <c r="E22" s="16" t="s">
        <v>173</v>
      </c>
      <c r="F22" s="16" t="s">
        <v>129</v>
      </c>
      <c r="G22" s="16" t="s">
        <v>130</v>
      </c>
      <c r="H22" s="16" t="s">
        <v>88</v>
      </c>
      <c r="I22" s="16" t="s">
        <v>174</v>
      </c>
      <c r="J22" s="16" t="s">
        <v>87</v>
      </c>
      <c r="K22" s="16" t="s">
        <v>88</v>
      </c>
      <c r="L22" s="17">
        <v>2500</v>
      </c>
      <c r="M22" s="17">
        <v>80</v>
      </c>
      <c r="N22" s="17" t="s">
        <v>89</v>
      </c>
      <c r="O22" s="17" t="s">
        <v>89</v>
      </c>
      <c r="P22" s="16">
        <v>100</v>
      </c>
      <c r="Q22" s="16">
        <v>3.65</v>
      </c>
      <c r="R22" s="16">
        <v>3.2</v>
      </c>
      <c r="S22" s="16">
        <v>2.5</v>
      </c>
      <c r="T22" s="16">
        <f t="shared" si="6"/>
        <v>50</v>
      </c>
      <c r="U22" s="16">
        <v>200</v>
      </c>
      <c r="V22" s="18">
        <v>0.5</v>
      </c>
      <c r="W22" s="16">
        <v>3000</v>
      </c>
      <c r="Y22" s="16">
        <f t="shared" si="5"/>
        <v>100</v>
      </c>
      <c r="Z22" s="16">
        <f t="shared" si="7"/>
        <v>50</v>
      </c>
      <c r="AA22" s="18">
        <v>0.5</v>
      </c>
      <c r="AB22" s="19">
        <v>0.5</v>
      </c>
      <c r="AC22" s="17">
        <v>290</v>
      </c>
      <c r="AD22" s="17">
        <v>36</v>
      </c>
      <c r="AE22" s="17">
        <v>130</v>
      </c>
      <c r="AF22" s="21" t="s">
        <v>90</v>
      </c>
      <c r="AH22" s="17" t="s">
        <v>91</v>
      </c>
      <c r="AJ22" s="24" t="s">
        <v>98</v>
      </c>
      <c r="AL22" s="19" t="s">
        <v>94</v>
      </c>
      <c r="AM22" s="19">
        <v>0.05</v>
      </c>
      <c r="AN22" s="23">
        <v>1</v>
      </c>
      <c r="AO22">
        <f t="shared" si="2"/>
        <v>2</v>
      </c>
      <c r="AP22">
        <f t="shared" si="3"/>
        <v>60.79</v>
      </c>
      <c r="AR22">
        <f t="shared" si="4"/>
        <v>106.66666666666667</v>
      </c>
    </row>
    <row r="23" spans="1:44">
      <c r="A23" t="s">
        <v>175</v>
      </c>
      <c r="B23">
        <v>21</v>
      </c>
      <c r="C23" s="16" t="s">
        <v>176</v>
      </c>
      <c r="D23" s="16" t="s">
        <v>176</v>
      </c>
      <c r="E23" s="16" t="s">
        <v>177</v>
      </c>
      <c r="F23" s="16" t="s">
        <v>129</v>
      </c>
      <c r="G23" s="16" t="s">
        <v>130</v>
      </c>
      <c r="H23" s="16" t="s">
        <v>88</v>
      </c>
      <c r="I23" s="16" t="s">
        <v>178</v>
      </c>
      <c r="J23" s="16" t="s">
        <v>87</v>
      </c>
      <c r="K23" s="16" t="s">
        <v>88</v>
      </c>
      <c r="L23" s="17">
        <v>3000</v>
      </c>
      <c r="M23" s="17">
        <v>80</v>
      </c>
      <c r="N23" s="17" t="s">
        <v>89</v>
      </c>
      <c r="O23" s="17" t="s">
        <v>89</v>
      </c>
      <c r="P23" s="16">
        <v>200</v>
      </c>
      <c r="Q23" s="16">
        <v>3.65</v>
      </c>
      <c r="R23" s="16">
        <v>3.2</v>
      </c>
      <c r="S23" s="16">
        <v>2.5</v>
      </c>
      <c r="T23" s="16">
        <f t="shared" si="6"/>
        <v>100</v>
      </c>
      <c r="U23" s="16">
        <v>600</v>
      </c>
      <c r="V23" s="18">
        <v>0.5</v>
      </c>
      <c r="W23" s="16">
        <v>6700</v>
      </c>
      <c r="Y23" s="16">
        <v>200</v>
      </c>
      <c r="Z23" s="16">
        <f t="shared" si="7"/>
        <v>100</v>
      </c>
      <c r="AA23" s="18">
        <v>0.5</v>
      </c>
      <c r="AB23" s="19" t="s">
        <v>89</v>
      </c>
      <c r="AC23" s="17">
        <v>290</v>
      </c>
      <c r="AD23" s="17">
        <v>66</v>
      </c>
      <c r="AE23" s="17">
        <v>238</v>
      </c>
      <c r="AF23" s="21" t="s">
        <v>90</v>
      </c>
      <c r="AH23" s="17" t="s">
        <v>91</v>
      </c>
      <c r="AJ23" s="24" t="s">
        <v>179</v>
      </c>
      <c r="AL23" s="19" t="s">
        <v>94</v>
      </c>
      <c r="AM23" s="19" t="s">
        <v>89</v>
      </c>
      <c r="AN23" s="23">
        <v>0.8</v>
      </c>
      <c r="AO23">
        <f t="shared" si="2"/>
        <v>2</v>
      </c>
      <c r="AP23">
        <f t="shared" si="3"/>
        <v>60.79</v>
      </c>
      <c r="AR23">
        <f t="shared" si="4"/>
        <v>95.522388059701484</v>
      </c>
    </row>
    <row r="24" spans="1:44">
      <c r="A24" t="s">
        <v>180</v>
      </c>
      <c r="B24">
        <v>22</v>
      </c>
      <c r="C24" s="16" t="s">
        <v>181</v>
      </c>
      <c r="D24" s="16" t="s">
        <v>181</v>
      </c>
      <c r="E24" s="16" t="s">
        <v>82</v>
      </c>
      <c r="F24" s="16" t="s">
        <v>83</v>
      </c>
      <c r="G24" s="16" t="s">
        <v>84</v>
      </c>
      <c r="H24" s="16" t="s">
        <v>85</v>
      </c>
      <c r="I24" s="16" t="s">
        <v>182</v>
      </c>
      <c r="J24" s="16" t="s">
        <v>87</v>
      </c>
      <c r="K24" s="16" t="s">
        <v>88</v>
      </c>
      <c r="L24" s="17">
        <v>6000</v>
      </c>
      <c r="M24" s="17">
        <v>70</v>
      </c>
      <c r="N24" s="16">
        <v>363</v>
      </c>
      <c r="O24" s="16">
        <v>154</v>
      </c>
      <c r="P24" s="16">
        <v>75</v>
      </c>
      <c r="Q24" s="16">
        <v>4.2</v>
      </c>
      <c r="R24" s="16">
        <v>3.7</v>
      </c>
      <c r="S24" s="16">
        <v>2.7</v>
      </c>
      <c r="T24" s="16">
        <f>P24*0.2</f>
        <v>15</v>
      </c>
      <c r="U24" s="16">
        <f>8*P24</f>
        <v>600</v>
      </c>
      <c r="V24" s="18">
        <v>1</v>
      </c>
      <c r="W24" s="16">
        <v>1830</v>
      </c>
      <c r="Y24" s="16">
        <v>300</v>
      </c>
      <c r="Z24" s="16">
        <f>P24*0.2</f>
        <v>15</v>
      </c>
      <c r="AA24" s="18">
        <v>1</v>
      </c>
      <c r="AB24" s="19" t="s">
        <v>89</v>
      </c>
      <c r="AC24" s="17">
        <v>265</v>
      </c>
      <c r="AD24" s="17">
        <v>13.7</v>
      </c>
      <c r="AE24" s="17">
        <v>268</v>
      </c>
      <c r="AF24" s="21" t="s">
        <v>90</v>
      </c>
      <c r="AG24" s="17">
        <v>2020</v>
      </c>
      <c r="AH24" s="17" t="s">
        <v>91</v>
      </c>
      <c r="AI24" s="17" t="s">
        <v>91</v>
      </c>
      <c r="AJ24" s="24" t="s">
        <v>98</v>
      </c>
      <c r="AL24" s="19" t="s">
        <v>94</v>
      </c>
      <c r="AM24" s="19" t="s">
        <v>89</v>
      </c>
      <c r="AN24" s="23">
        <v>0.9</v>
      </c>
      <c r="AO24">
        <f t="shared" si="2"/>
        <v>1</v>
      </c>
      <c r="AP24">
        <f t="shared" si="3"/>
        <v>60.25</v>
      </c>
      <c r="AR24">
        <f t="shared" si="4"/>
        <v>151.63934426229508</v>
      </c>
    </row>
    <row r="25" spans="1:44">
      <c r="A25" t="s">
        <v>183</v>
      </c>
      <c r="B25">
        <v>23</v>
      </c>
      <c r="C25" s="16" t="s">
        <v>184</v>
      </c>
      <c r="D25" s="16" t="s">
        <v>184</v>
      </c>
      <c r="E25" s="16" t="s">
        <v>185</v>
      </c>
      <c r="F25" s="16" t="s">
        <v>129</v>
      </c>
      <c r="G25" s="16" t="s">
        <v>130</v>
      </c>
      <c r="H25" s="16" t="s">
        <v>88</v>
      </c>
      <c r="I25" s="16" t="s">
        <v>186</v>
      </c>
      <c r="J25" s="16" t="s">
        <v>87</v>
      </c>
      <c r="K25" s="16" t="s">
        <v>88</v>
      </c>
      <c r="L25" s="17">
        <v>3000</v>
      </c>
      <c r="M25" s="17">
        <v>80</v>
      </c>
      <c r="N25" s="17" t="s">
        <v>89</v>
      </c>
      <c r="O25" s="17" t="s">
        <v>89</v>
      </c>
      <c r="P25" s="16">
        <v>100</v>
      </c>
      <c r="Q25" s="16">
        <v>3.65</v>
      </c>
      <c r="R25" s="16">
        <v>3.2</v>
      </c>
      <c r="S25" s="16">
        <v>2.5</v>
      </c>
      <c r="T25" s="16">
        <f>0.5*P25</f>
        <v>50</v>
      </c>
      <c r="U25" s="16">
        <f>1*P25</f>
        <v>100</v>
      </c>
      <c r="V25" s="18">
        <v>1</v>
      </c>
      <c r="W25" s="16">
        <v>2300</v>
      </c>
      <c r="Y25" s="16">
        <f t="shared" ref="Y25:Y29" si="8">1*P25</f>
        <v>100</v>
      </c>
      <c r="Z25" s="16">
        <f t="shared" ref="Z25:Z29" si="9">0.5*P25</f>
        <v>50</v>
      </c>
      <c r="AA25" s="18">
        <v>1</v>
      </c>
      <c r="AB25" s="19" t="s">
        <v>89</v>
      </c>
      <c r="AC25" s="17">
        <v>209</v>
      </c>
      <c r="AD25" s="17">
        <v>72</v>
      </c>
      <c r="AE25" s="17">
        <v>174</v>
      </c>
      <c r="AF25" s="21" t="s">
        <v>90</v>
      </c>
      <c r="AG25" s="17">
        <v>2019</v>
      </c>
      <c r="AH25" s="17" t="s">
        <v>91</v>
      </c>
      <c r="AJ25" s="24" t="s">
        <v>187</v>
      </c>
      <c r="AL25" s="19" t="s">
        <v>94</v>
      </c>
      <c r="AM25" s="19" t="s">
        <v>89</v>
      </c>
      <c r="AN25" s="19" t="s">
        <v>89</v>
      </c>
      <c r="AO25">
        <f t="shared" si="2"/>
        <v>2</v>
      </c>
      <c r="AP25">
        <f t="shared" si="3"/>
        <v>60.79</v>
      </c>
      <c r="AR25">
        <f t="shared" si="4"/>
        <v>139.13043478260872</v>
      </c>
    </row>
    <row r="26" spans="1:44">
      <c r="A26" t="s">
        <v>188</v>
      </c>
      <c r="B26">
        <v>24</v>
      </c>
      <c r="C26" s="16" t="s">
        <v>189</v>
      </c>
      <c r="D26" s="16" t="s">
        <v>189</v>
      </c>
      <c r="E26" s="16" t="s">
        <v>190</v>
      </c>
      <c r="F26" s="16" t="s">
        <v>129</v>
      </c>
      <c r="G26" s="16" t="s">
        <v>130</v>
      </c>
      <c r="H26" s="16" t="s">
        <v>88</v>
      </c>
      <c r="I26" s="16" t="s">
        <v>191</v>
      </c>
      <c r="J26" s="16" t="s">
        <v>87</v>
      </c>
      <c r="K26" s="16" t="s">
        <v>88</v>
      </c>
      <c r="L26" s="17">
        <v>3000</v>
      </c>
      <c r="M26" s="17">
        <v>80</v>
      </c>
      <c r="N26" s="17" t="s">
        <v>89</v>
      </c>
      <c r="O26" s="17" t="s">
        <v>89</v>
      </c>
      <c r="P26" s="16">
        <v>152</v>
      </c>
      <c r="Q26" s="16">
        <v>3.65</v>
      </c>
      <c r="R26" s="16">
        <v>3.2</v>
      </c>
      <c r="S26" s="16">
        <v>2.5</v>
      </c>
      <c r="T26" s="16">
        <f>0.5*P26</f>
        <v>76</v>
      </c>
      <c r="U26" s="16">
        <f>1*P26</f>
        <v>152</v>
      </c>
      <c r="V26" s="18">
        <v>0.5</v>
      </c>
      <c r="W26" s="16">
        <v>2940</v>
      </c>
      <c r="Y26" s="16">
        <f t="shared" si="8"/>
        <v>152</v>
      </c>
      <c r="Z26" s="16">
        <f t="shared" si="9"/>
        <v>76</v>
      </c>
      <c r="AA26" s="18">
        <v>0.5</v>
      </c>
      <c r="AB26" s="19" t="s">
        <v>89</v>
      </c>
      <c r="AC26" s="17">
        <v>170</v>
      </c>
      <c r="AD26" s="17">
        <v>49</v>
      </c>
      <c r="AE26" s="17">
        <v>174</v>
      </c>
      <c r="AF26" s="21" t="s">
        <v>90</v>
      </c>
      <c r="AG26" s="17">
        <v>2018</v>
      </c>
      <c r="AH26" s="17" t="s">
        <v>91</v>
      </c>
      <c r="AJ26" s="24" t="s">
        <v>192</v>
      </c>
      <c r="AL26" s="19" t="s">
        <v>94</v>
      </c>
      <c r="AM26" s="19" t="s">
        <v>89</v>
      </c>
      <c r="AN26" s="23">
        <v>0.8</v>
      </c>
      <c r="AO26">
        <f t="shared" si="2"/>
        <v>2</v>
      </c>
      <c r="AP26">
        <f t="shared" si="3"/>
        <v>60.79</v>
      </c>
      <c r="AR26">
        <f t="shared" si="4"/>
        <v>165.44217687074831</v>
      </c>
    </row>
    <row r="27" spans="1:44">
      <c r="A27" t="s">
        <v>193</v>
      </c>
      <c r="B27">
        <v>25</v>
      </c>
      <c r="C27" s="16" t="s">
        <v>194</v>
      </c>
      <c r="D27" s="16" t="s">
        <v>195</v>
      </c>
      <c r="E27" s="16" t="s">
        <v>190</v>
      </c>
      <c r="F27" s="16" t="s">
        <v>129</v>
      </c>
      <c r="G27" s="16" t="s">
        <v>130</v>
      </c>
      <c r="H27" s="16" t="s">
        <v>88</v>
      </c>
      <c r="I27" s="16" t="s">
        <v>196</v>
      </c>
      <c r="J27" s="16" t="s">
        <v>87</v>
      </c>
      <c r="K27" s="16" t="s">
        <v>88</v>
      </c>
      <c r="L27" s="17">
        <v>4000</v>
      </c>
      <c r="M27" s="17">
        <v>80</v>
      </c>
      <c r="N27" s="17" t="s">
        <v>89</v>
      </c>
      <c r="O27" s="17" t="s">
        <v>89</v>
      </c>
      <c r="P27" s="16">
        <v>120</v>
      </c>
      <c r="Q27" s="16">
        <v>3.65</v>
      </c>
      <c r="R27" s="16">
        <v>3.2</v>
      </c>
      <c r="S27" s="16">
        <v>2.5</v>
      </c>
      <c r="T27" s="16">
        <f>1*P27</f>
        <v>120</v>
      </c>
      <c r="U27" s="16">
        <f>2*P27</f>
        <v>240</v>
      </c>
      <c r="V27" s="18">
        <v>1</v>
      </c>
      <c r="W27" s="16">
        <v>2860</v>
      </c>
      <c r="Y27" s="16">
        <f t="shared" si="8"/>
        <v>120</v>
      </c>
      <c r="Z27" s="16">
        <f t="shared" si="9"/>
        <v>60</v>
      </c>
      <c r="AA27" s="18">
        <v>0.5</v>
      </c>
      <c r="AB27" s="19" t="s">
        <v>89</v>
      </c>
      <c r="AC27" s="17">
        <v>165</v>
      </c>
      <c r="AD27" s="17">
        <v>48</v>
      </c>
      <c r="AE27" s="17">
        <v>174</v>
      </c>
      <c r="AF27" s="21" t="s">
        <v>90</v>
      </c>
      <c r="AG27" s="17">
        <v>2019</v>
      </c>
      <c r="AH27" s="17" t="s">
        <v>91</v>
      </c>
      <c r="AJ27" s="24" t="s">
        <v>197</v>
      </c>
      <c r="AK27" s="17" t="s">
        <v>198</v>
      </c>
      <c r="AL27" s="19" t="s">
        <v>94</v>
      </c>
      <c r="AM27" s="19" t="s">
        <v>89</v>
      </c>
      <c r="AN27" s="23">
        <v>0.8</v>
      </c>
      <c r="AO27">
        <f t="shared" si="2"/>
        <v>2</v>
      </c>
      <c r="AP27">
        <f t="shared" si="3"/>
        <v>60.79</v>
      </c>
      <c r="AR27">
        <f t="shared" si="4"/>
        <v>134.26573426573427</v>
      </c>
    </row>
    <row r="28" spans="1:44">
      <c r="A28" t="s">
        <v>199</v>
      </c>
      <c r="B28">
        <v>26</v>
      </c>
      <c r="C28" s="16" t="s">
        <v>200</v>
      </c>
      <c r="D28" s="16" t="s">
        <v>201</v>
      </c>
      <c r="E28" s="16" t="s">
        <v>161</v>
      </c>
      <c r="F28" s="16" t="s">
        <v>129</v>
      </c>
      <c r="G28" s="16" t="s">
        <v>130</v>
      </c>
      <c r="H28" s="16" t="s">
        <v>88</v>
      </c>
      <c r="I28" s="16" t="s">
        <v>202</v>
      </c>
      <c r="J28" s="16" t="s">
        <v>87</v>
      </c>
      <c r="K28" s="16" t="s">
        <v>88</v>
      </c>
      <c r="L28" s="17">
        <v>3500</v>
      </c>
      <c r="M28" s="17">
        <v>70</v>
      </c>
      <c r="N28" s="17" t="s">
        <v>89</v>
      </c>
      <c r="O28" s="17" t="s">
        <v>89</v>
      </c>
      <c r="P28" s="16">
        <v>280</v>
      </c>
      <c r="Q28" s="16">
        <v>3.65</v>
      </c>
      <c r="R28" s="16">
        <v>3.2</v>
      </c>
      <c r="S28" s="16">
        <v>2.5</v>
      </c>
      <c r="T28" s="16">
        <f>0.5*P28</f>
        <v>140</v>
      </c>
      <c r="U28" s="16">
        <f>1*P28</f>
        <v>280</v>
      </c>
      <c r="V28" s="18">
        <v>1</v>
      </c>
      <c r="W28" s="16">
        <v>5220</v>
      </c>
      <c r="Y28" s="16">
        <f t="shared" si="8"/>
        <v>280</v>
      </c>
      <c r="Z28" s="16">
        <f t="shared" si="9"/>
        <v>140</v>
      </c>
      <c r="AA28" s="18">
        <v>1</v>
      </c>
      <c r="AB28" s="19">
        <v>0.5</v>
      </c>
      <c r="AC28" s="17">
        <v>205</v>
      </c>
      <c r="AD28" s="17">
        <v>72</v>
      </c>
      <c r="AE28" s="17">
        <v>174</v>
      </c>
      <c r="AF28" s="21" t="s">
        <v>90</v>
      </c>
      <c r="AG28" s="17">
        <v>2019</v>
      </c>
      <c r="AH28" s="17" t="s">
        <v>91</v>
      </c>
      <c r="AJ28" s="24" t="s">
        <v>203</v>
      </c>
      <c r="AK28" s="25" t="s">
        <v>170</v>
      </c>
      <c r="AL28" s="19" t="s">
        <v>94</v>
      </c>
      <c r="AM28" s="19">
        <v>0.05</v>
      </c>
      <c r="AN28" s="23">
        <v>0.8</v>
      </c>
      <c r="AO28">
        <f t="shared" si="2"/>
        <v>2</v>
      </c>
      <c r="AP28">
        <f t="shared" si="3"/>
        <v>60.79</v>
      </c>
      <c r="AR28">
        <f t="shared" si="4"/>
        <v>171.64750957854406</v>
      </c>
    </row>
    <row r="29" spans="1:44">
      <c r="A29" t="s">
        <v>204</v>
      </c>
      <c r="B29">
        <v>27</v>
      </c>
      <c r="C29" s="16" t="s">
        <v>205</v>
      </c>
      <c r="D29" s="16" t="s">
        <v>206</v>
      </c>
      <c r="E29" s="16" t="s">
        <v>161</v>
      </c>
      <c r="F29" s="16" t="s">
        <v>129</v>
      </c>
      <c r="G29" s="16" t="s">
        <v>130</v>
      </c>
      <c r="H29" s="16" t="s">
        <v>88</v>
      </c>
      <c r="I29" s="16" t="s">
        <v>207</v>
      </c>
      <c r="J29" s="16" t="s">
        <v>87</v>
      </c>
      <c r="K29" s="16" t="s">
        <v>88</v>
      </c>
      <c r="L29" s="17">
        <v>6000</v>
      </c>
      <c r="M29" s="17">
        <v>70</v>
      </c>
      <c r="N29" s="17" t="s">
        <v>89</v>
      </c>
      <c r="O29" s="17" t="s">
        <v>89</v>
      </c>
      <c r="P29" s="16">
        <v>280</v>
      </c>
      <c r="Q29" s="16">
        <v>3.65</v>
      </c>
      <c r="R29" s="16">
        <v>3.2</v>
      </c>
      <c r="S29" s="16">
        <v>2.5</v>
      </c>
      <c r="T29" s="16">
        <f>0.5*P29</f>
        <v>140</v>
      </c>
      <c r="U29" s="16">
        <f>1*P29</f>
        <v>280</v>
      </c>
      <c r="V29" s="18">
        <v>0.5</v>
      </c>
      <c r="W29" s="16">
        <v>5420</v>
      </c>
      <c r="Y29" s="16">
        <f t="shared" si="8"/>
        <v>280</v>
      </c>
      <c r="Z29" s="16">
        <f t="shared" si="9"/>
        <v>140</v>
      </c>
      <c r="AA29" s="18">
        <v>0.5</v>
      </c>
      <c r="AB29" s="19">
        <v>0.5</v>
      </c>
      <c r="AC29" s="17">
        <v>205</v>
      </c>
      <c r="AD29" s="17">
        <v>72</v>
      </c>
      <c r="AE29" s="17">
        <v>174</v>
      </c>
      <c r="AF29" s="21" t="s">
        <v>90</v>
      </c>
      <c r="AG29" s="17">
        <v>2021</v>
      </c>
      <c r="AH29" s="17" t="s">
        <v>91</v>
      </c>
      <c r="AJ29" s="24" t="s">
        <v>208</v>
      </c>
      <c r="AK29" s="25" t="s">
        <v>170</v>
      </c>
      <c r="AL29" s="19" t="s">
        <v>94</v>
      </c>
      <c r="AM29" s="19">
        <v>0.05</v>
      </c>
      <c r="AN29" s="23">
        <v>0.8</v>
      </c>
      <c r="AO29">
        <f t="shared" si="2"/>
        <v>2</v>
      </c>
      <c r="AP29">
        <f t="shared" si="3"/>
        <v>60.79</v>
      </c>
      <c r="AR29">
        <f t="shared" si="4"/>
        <v>165.31365313653137</v>
      </c>
    </row>
    <row r="30" spans="1:44">
      <c r="A30" t="s">
        <v>209</v>
      </c>
      <c r="B30">
        <v>28</v>
      </c>
      <c r="C30" s="16" t="s">
        <v>210</v>
      </c>
      <c r="D30" s="16" t="s">
        <v>210</v>
      </c>
      <c r="E30" s="16" t="s">
        <v>211</v>
      </c>
      <c r="F30" s="16" t="s">
        <v>129</v>
      </c>
      <c r="G30" s="16" t="s">
        <v>130</v>
      </c>
      <c r="H30" s="16" t="s">
        <v>88</v>
      </c>
      <c r="I30" s="16" t="s">
        <v>212</v>
      </c>
      <c r="J30" s="16" t="s">
        <v>87</v>
      </c>
      <c r="K30" s="16" t="s">
        <v>88</v>
      </c>
      <c r="L30" s="17">
        <v>2000</v>
      </c>
      <c r="M30" s="17">
        <v>80</v>
      </c>
      <c r="N30" s="17" t="s">
        <v>89</v>
      </c>
      <c r="O30" s="17" t="s">
        <v>89</v>
      </c>
      <c r="P30" s="16">
        <v>130</v>
      </c>
      <c r="Q30" s="16">
        <v>3.65</v>
      </c>
      <c r="R30" s="16">
        <v>3.2</v>
      </c>
      <c r="S30" s="16">
        <v>2.5</v>
      </c>
      <c r="T30" s="16">
        <f>0.3*P30</f>
        <v>39</v>
      </c>
      <c r="U30" s="16">
        <f>0.3*6*P30</f>
        <v>233.99999999999997</v>
      </c>
      <c r="V30" s="18">
        <f>1/3</f>
        <v>0.33333333333333331</v>
      </c>
      <c r="W30" s="16">
        <v>3425</v>
      </c>
      <c r="Y30" s="16">
        <f>0.3*3*P30</f>
        <v>116.99999999999999</v>
      </c>
      <c r="Z30" s="16">
        <f>0.3*P30</f>
        <v>39</v>
      </c>
      <c r="AA30" s="18">
        <f>1/3</f>
        <v>0.33333333333333331</v>
      </c>
      <c r="AB30" s="19">
        <v>1</v>
      </c>
      <c r="AC30" s="17">
        <v>260</v>
      </c>
      <c r="AD30" s="17">
        <v>44</v>
      </c>
      <c r="AE30" s="17">
        <v>148</v>
      </c>
      <c r="AF30" s="21" t="s">
        <v>90</v>
      </c>
      <c r="AG30" s="17">
        <v>2017</v>
      </c>
      <c r="AH30" s="17" t="s">
        <v>91</v>
      </c>
      <c r="AJ30" s="24" t="s">
        <v>213</v>
      </c>
      <c r="AL30" s="19" t="s">
        <v>94</v>
      </c>
      <c r="AM30" s="19">
        <v>0.05</v>
      </c>
      <c r="AN30" s="23">
        <v>0.8</v>
      </c>
      <c r="AO30">
        <f t="shared" si="2"/>
        <v>2</v>
      </c>
      <c r="AP30">
        <f t="shared" si="3"/>
        <v>60.79</v>
      </c>
      <c r="AR30">
        <f t="shared" si="4"/>
        <v>121.45985401459855</v>
      </c>
    </row>
    <row r="31" spans="1:44">
      <c r="A31" t="s">
        <v>214</v>
      </c>
      <c r="B31">
        <v>29</v>
      </c>
      <c r="C31" s="16" t="s">
        <v>215</v>
      </c>
      <c r="D31" s="16" t="s">
        <v>215</v>
      </c>
      <c r="E31" s="16" t="s">
        <v>211</v>
      </c>
      <c r="F31" s="16" t="s">
        <v>129</v>
      </c>
      <c r="G31" s="16" t="s">
        <v>130</v>
      </c>
      <c r="H31" s="16" t="s">
        <v>88</v>
      </c>
      <c r="I31" s="16" t="s">
        <v>216</v>
      </c>
      <c r="J31" s="16" t="s">
        <v>87</v>
      </c>
      <c r="K31" s="16" t="s">
        <v>88</v>
      </c>
      <c r="L31" s="17">
        <v>3000</v>
      </c>
      <c r="M31" s="17">
        <v>80</v>
      </c>
      <c r="N31" s="17" t="s">
        <v>89</v>
      </c>
      <c r="O31" s="17" t="s">
        <v>89</v>
      </c>
      <c r="P31" s="16">
        <v>150</v>
      </c>
      <c r="Q31" s="16">
        <v>3.65</v>
      </c>
      <c r="R31" s="16">
        <v>3.2</v>
      </c>
      <c r="S31" s="16">
        <v>2.5</v>
      </c>
      <c r="T31" s="16">
        <f>0.5*P31</f>
        <v>75</v>
      </c>
      <c r="U31" s="16">
        <f>1*P31</f>
        <v>150</v>
      </c>
      <c r="V31" s="18">
        <v>1</v>
      </c>
      <c r="W31" s="16">
        <v>2900</v>
      </c>
      <c r="Y31" s="16">
        <f>1*P31</f>
        <v>150</v>
      </c>
      <c r="Z31" s="16">
        <f>0.5*P31</f>
        <v>75</v>
      </c>
      <c r="AA31" s="18">
        <v>1</v>
      </c>
      <c r="AB31" s="19">
        <v>1</v>
      </c>
      <c r="AC31" s="17">
        <v>208</v>
      </c>
      <c r="AD31" s="17">
        <v>37</v>
      </c>
      <c r="AE31" s="17">
        <v>174</v>
      </c>
      <c r="AF31" s="21" t="s">
        <v>90</v>
      </c>
      <c r="AG31" s="17">
        <v>2019</v>
      </c>
      <c r="AH31" s="17" t="s">
        <v>91</v>
      </c>
      <c r="AJ31" s="24" t="s">
        <v>217</v>
      </c>
      <c r="AL31" s="19" t="s">
        <v>94</v>
      </c>
      <c r="AM31" s="19">
        <v>0.05</v>
      </c>
      <c r="AN31" s="23">
        <v>0.8</v>
      </c>
      <c r="AO31">
        <f t="shared" si="2"/>
        <v>2</v>
      </c>
      <c r="AP31">
        <f t="shared" si="3"/>
        <v>60.79</v>
      </c>
      <c r="AR31">
        <f t="shared" si="4"/>
        <v>165.51724137931035</v>
      </c>
    </row>
    <row r="32" spans="1:44">
      <c r="A32" t="s">
        <v>218</v>
      </c>
      <c r="B32">
        <v>30</v>
      </c>
      <c r="C32" s="16" t="s">
        <v>219</v>
      </c>
      <c r="D32" s="16" t="s">
        <v>219</v>
      </c>
      <c r="E32" s="16" t="s">
        <v>211</v>
      </c>
      <c r="F32" s="16" t="s">
        <v>129</v>
      </c>
      <c r="G32" s="16" t="s">
        <v>130</v>
      </c>
      <c r="H32" s="16" t="s">
        <v>88</v>
      </c>
      <c r="I32" s="16" t="s">
        <v>220</v>
      </c>
      <c r="J32" s="16" t="s">
        <v>87</v>
      </c>
      <c r="K32" s="16" t="s">
        <v>88</v>
      </c>
      <c r="L32" s="17">
        <v>3000</v>
      </c>
      <c r="M32" s="17">
        <v>80</v>
      </c>
      <c r="N32" s="17" t="s">
        <v>89</v>
      </c>
      <c r="O32" s="17" t="s">
        <v>89</v>
      </c>
      <c r="P32" s="16">
        <v>202</v>
      </c>
      <c r="Q32" s="16">
        <v>3.65</v>
      </c>
      <c r="R32" s="16">
        <v>3.2</v>
      </c>
      <c r="S32" s="16">
        <v>2.5</v>
      </c>
      <c r="T32" s="16">
        <f>0.5*P32</f>
        <v>101</v>
      </c>
      <c r="U32" s="16">
        <f>1*P32</f>
        <v>202</v>
      </c>
      <c r="V32" s="18">
        <v>1</v>
      </c>
      <c r="W32" s="16">
        <v>3900</v>
      </c>
      <c r="Y32" s="16">
        <f>1*P32</f>
        <v>202</v>
      </c>
      <c r="Z32" s="16">
        <f>0.5*P32</f>
        <v>101</v>
      </c>
      <c r="AA32" s="18">
        <v>1</v>
      </c>
      <c r="AB32" s="19">
        <v>1</v>
      </c>
      <c r="AC32" s="17">
        <v>210</v>
      </c>
      <c r="AD32" s="17">
        <v>54</v>
      </c>
      <c r="AE32" s="17">
        <v>174</v>
      </c>
      <c r="AF32" s="21" t="s">
        <v>90</v>
      </c>
      <c r="AG32" s="17">
        <v>2018</v>
      </c>
      <c r="AH32" s="17" t="s">
        <v>91</v>
      </c>
      <c r="AJ32" s="24" t="s">
        <v>221</v>
      </c>
      <c r="AL32" s="19" t="s">
        <v>94</v>
      </c>
      <c r="AM32" s="19">
        <v>0.05</v>
      </c>
      <c r="AN32" s="23">
        <v>0.8</v>
      </c>
      <c r="AO32">
        <f t="shared" si="2"/>
        <v>2</v>
      </c>
      <c r="AP32">
        <f t="shared" si="3"/>
        <v>60.79</v>
      </c>
      <c r="AR32">
        <f t="shared" si="4"/>
        <v>165.74358974358978</v>
      </c>
    </row>
    <row r="33" spans="1:44">
      <c r="A33" t="s">
        <v>222</v>
      </c>
      <c r="B33">
        <v>31</v>
      </c>
      <c r="C33" s="16" t="s">
        <v>223</v>
      </c>
      <c r="D33" s="16" t="s">
        <v>223</v>
      </c>
      <c r="E33" s="16" t="s">
        <v>211</v>
      </c>
      <c r="F33" s="16" t="s">
        <v>129</v>
      </c>
      <c r="G33" s="16" t="s">
        <v>130</v>
      </c>
      <c r="H33" s="16" t="s">
        <v>88</v>
      </c>
      <c r="I33" s="16" t="s">
        <v>224</v>
      </c>
      <c r="J33" s="16" t="s">
        <v>87</v>
      </c>
      <c r="K33" s="16" t="s">
        <v>88</v>
      </c>
      <c r="L33" s="17">
        <v>2000</v>
      </c>
      <c r="M33" s="17">
        <v>80</v>
      </c>
      <c r="N33" s="17" t="s">
        <v>89</v>
      </c>
      <c r="O33" s="17" t="s">
        <v>89</v>
      </c>
      <c r="P33" s="16">
        <v>272</v>
      </c>
      <c r="Q33" s="16">
        <v>3.65</v>
      </c>
      <c r="R33" s="16">
        <v>3.2</v>
      </c>
      <c r="S33" s="16">
        <v>2.5</v>
      </c>
      <c r="T33" s="16">
        <f>0.5*P33</f>
        <v>136</v>
      </c>
      <c r="U33" s="16">
        <f>1*P33</f>
        <v>272</v>
      </c>
      <c r="V33" s="18">
        <v>1</v>
      </c>
      <c r="W33" s="16">
        <v>5302</v>
      </c>
      <c r="Y33" s="16">
        <f>1*P33</f>
        <v>272</v>
      </c>
      <c r="Z33" s="16">
        <f>0.5*P33</f>
        <v>136</v>
      </c>
      <c r="AA33" s="18">
        <v>1</v>
      </c>
      <c r="AB33" s="19">
        <v>1</v>
      </c>
      <c r="AC33" s="17">
        <v>208</v>
      </c>
      <c r="AD33" s="17">
        <v>72</v>
      </c>
      <c r="AE33" s="17">
        <v>174</v>
      </c>
      <c r="AF33" s="21" t="s">
        <v>90</v>
      </c>
      <c r="AG33" s="17">
        <v>2019</v>
      </c>
      <c r="AH33" s="17" t="s">
        <v>91</v>
      </c>
      <c r="AJ33" s="24" t="s">
        <v>225</v>
      </c>
      <c r="AL33" s="19" t="s">
        <v>94</v>
      </c>
      <c r="AM33" s="19">
        <v>0.05</v>
      </c>
      <c r="AN33" s="23">
        <v>0.8</v>
      </c>
      <c r="AO33">
        <f t="shared" si="2"/>
        <v>2</v>
      </c>
      <c r="AP33">
        <f t="shared" si="3"/>
        <v>60.79</v>
      </c>
      <c r="AR33">
        <f t="shared" si="4"/>
        <v>164.16446623915508</v>
      </c>
    </row>
    <row r="34" spans="1:44">
      <c r="A34" t="s">
        <v>226</v>
      </c>
      <c r="B34">
        <v>32</v>
      </c>
      <c r="C34" s="16" t="s">
        <v>227</v>
      </c>
      <c r="D34" s="16" t="s">
        <v>227</v>
      </c>
      <c r="E34" s="16" t="s">
        <v>228</v>
      </c>
      <c r="F34" s="16" t="s">
        <v>129</v>
      </c>
      <c r="G34" s="16" t="s">
        <v>130</v>
      </c>
      <c r="H34" s="16" t="s">
        <v>88</v>
      </c>
      <c r="I34" s="16" t="s">
        <v>229</v>
      </c>
      <c r="J34" s="16" t="s">
        <v>87</v>
      </c>
      <c r="K34" s="16" t="s">
        <v>88</v>
      </c>
      <c r="L34" s="17">
        <v>6000</v>
      </c>
      <c r="M34" s="17">
        <v>80</v>
      </c>
      <c r="N34" s="17" t="s">
        <v>89</v>
      </c>
      <c r="O34" s="17" t="s">
        <v>89</v>
      </c>
      <c r="P34" s="16">
        <v>271</v>
      </c>
      <c r="Q34" s="16">
        <v>3.65</v>
      </c>
      <c r="R34" s="16">
        <v>3.2</v>
      </c>
      <c r="S34" s="16">
        <v>2.5</v>
      </c>
      <c r="T34" s="16">
        <f>0.2*P34</f>
        <v>54.2</v>
      </c>
      <c r="U34" s="16">
        <f>2*P34</f>
        <v>542</v>
      </c>
      <c r="V34" s="18">
        <v>1</v>
      </c>
      <c r="W34" s="16">
        <v>5400</v>
      </c>
      <c r="Y34" s="16">
        <f>1*P34</f>
        <v>271</v>
      </c>
      <c r="Z34" s="16">
        <f>0.2*P34</f>
        <v>54.2</v>
      </c>
      <c r="AA34" s="18">
        <v>1</v>
      </c>
      <c r="AB34" s="19" t="s">
        <v>89</v>
      </c>
      <c r="AC34" s="17">
        <v>200</v>
      </c>
      <c r="AD34" s="17">
        <v>72</v>
      </c>
      <c r="AE34" s="17">
        <v>174</v>
      </c>
      <c r="AF34" s="21" t="s">
        <v>90</v>
      </c>
      <c r="AH34" s="17" t="s">
        <v>91</v>
      </c>
      <c r="AJ34" s="24" t="s">
        <v>98</v>
      </c>
      <c r="AL34" s="19" t="s">
        <v>94</v>
      </c>
      <c r="AM34" s="19" t="s">
        <v>89</v>
      </c>
      <c r="AN34" s="23">
        <v>1</v>
      </c>
      <c r="AO34">
        <f t="shared" si="2"/>
        <v>2</v>
      </c>
      <c r="AP34">
        <f t="shared" si="3"/>
        <v>60.79</v>
      </c>
      <c r="AR34">
        <f t="shared" si="4"/>
        <v>160.59259259259258</v>
      </c>
    </row>
    <row r="35" spans="1:44">
      <c r="A35" t="s">
        <v>230</v>
      </c>
      <c r="B35">
        <v>33</v>
      </c>
      <c r="C35" s="16" t="s">
        <v>231</v>
      </c>
      <c r="D35" s="16" t="s">
        <v>231</v>
      </c>
      <c r="E35" s="16" t="s">
        <v>82</v>
      </c>
      <c r="F35" s="16" t="s">
        <v>83</v>
      </c>
      <c r="G35" s="16" t="s">
        <v>84</v>
      </c>
      <c r="H35" s="16" t="s">
        <v>85</v>
      </c>
      <c r="I35" s="16" t="s">
        <v>232</v>
      </c>
      <c r="J35" s="16" t="s">
        <v>87</v>
      </c>
      <c r="K35" s="16" t="s">
        <v>88</v>
      </c>
      <c r="L35" s="17">
        <v>6000</v>
      </c>
      <c r="M35" s="17">
        <v>70</v>
      </c>
      <c r="N35" s="16">
        <v>418</v>
      </c>
      <c r="O35" s="16">
        <v>182</v>
      </c>
      <c r="P35" s="16">
        <v>53</v>
      </c>
      <c r="Q35" s="16">
        <v>4.2</v>
      </c>
      <c r="R35" s="16">
        <v>3.7</v>
      </c>
      <c r="S35" s="16">
        <v>2.7</v>
      </c>
      <c r="T35" s="16">
        <f>P35*0.2</f>
        <v>10.600000000000001</v>
      </c>
      <c r="U35" s="16">
        <f>5*P35</f>
        <v>265</v>
      </c>
      <c r="V35" s="18">
        <v>1</v>
      </c>
      <c r="W35" s="16">
        <v>1095</v>
      </c>
      <c r="Y35" s="16">
        <v>106</v>
      </c>
      <c r="Z35" s="16">
        <f>P35*0.2</f>
        <v>10.600000000000001</v>
      </c>
      <c r="AA35" s="18">
        <v>1</v>
      </c>
      <c r="AB35" s="19" t="s">
        <v>89</v>
      </c>
      <c r="AC35" s="17">
        <v>227</v>
      </c>
      <c r="AD35" s="17">
        <v>12</v>
      </c>
      <c r="AE35" s="17">
        <v>226</v>
      </c>
      <c r="AF35" s="21" t="s">
        <v>90</v>
      </c>
      <c r="AG35" s="17">
        <v>2020</v>
      </c>
      <c r="AH35" s="17" t="s">
        <v>91</v>
      </c>
      <c r="AI35" s="17" t="s">
        <v>91</v>
      </c>
      <c r="AJ35" s="22" t="s">
        <v>233</v>
      </c>
      <c r="AL35" s="19" t="s">
        <v>94</v>
      </c>
      <c r="AM35" s="19" t="s">
        <v>89</v>
      </c>
      <c r="AN35" s="23">
        <v>0.9</v>
      </c>
      <c r="AO35">
        <f t="shared" si="2"/>
        <v>1</v>
      </c>
      <c r="AP35">
        <f t="shared" si="3"/>
        <v>60.25</v>
      </c>
      <c r="AR35">
        <f t="shared" si="4"/>
        <v>179.0867579908676</v>
      </c>
    </row>
    <row r="36" spans="1:44">
      <c r="A36" t="s">
        <v>234</v>
      </c>
      <c r="B36">
        <v>34</v>
      </c>
      <c r="C36" s="16" t="s">
        <v>235</v>
      </c>
      <c r="D36" s="16" t="s">
        <v>235</v>
      </c>
      <c r="E36" s="16" t="s">
        <v>236</v>
      </c>
      <c r="F36" s="16" t="s">
        <v>129</v>
      </c>
      <c r="G36" s="16" t="s">
        <v>130</v>
      </c>
      <c r="H36" s="16" t="s">
        <v>88</v>
      </c>
      <c r="I36" s="16" t="s">
        <v>237</v>
      </c>
      <c r="J36" s="16" t="s">
        <v>87</v>
      </c>
      <c r="K36" s="16" t="s">
        <v>88</v>
      </c>
      <c r="L36" s="17">
        <v>2000</v>
      </c>
      <c r="M36" s="17">
        <v>80</v>
      </c>
      <c r="N36" s="17" t="s">
        <v>89</v>
      </c>
      <c r="O36" s="17" t="s">
        <v>89</v>
      </c>
      <c r="P36" s="16">
        <v>100</v>
      </c>
      <c r="Q36" s="16">
        <v>3.65</v>
      </c>
      <c r="R36" s="16">
        <v>3.2</v>
      </c>
      <c r="S36" s="16">
        <v>2.5</v>
      </c>
      <c r="T36" s="16">
        <v>33</v>
      </c>
      <c r="U36" s="16">
        <v>300</v>
      </c>
      <c r="V36" s="18" t="s">
        <v>89</v>
      </c>
      <c r="W36" s="16">
        <v>3150</v>
      </c>
      <c r="Y36" s="16">
        <v>200</v>
      </c>
      <c r="Z36" s="16">
        <v>33</v>
      </c>
      <c r="AA36" s="18" t="s">
        <v>89</v>
      </c>
      <c r="AB36" s="19" t="s">
        <v>89</v>
      </c>
      <c r="AC36" s="17">
        <v>221</v>
      </c>
      <c r="AD36" s="17">
        <v>61</v>
      </c>
      <c r="AE36" s="17">
        <v>142</v>
      </c>
      <c r="AF36" s="21" t="s">
        <v>90</v>
      </c>
      <c r="AI36" s="17" t="s">
        <v>91</v>
      </c>
      <c r="AJ36" s="24" t="s">
        <v>98</v>
      </c>
      <c r="AL36" s="19" t="s">
        <v>94</v>
      </c>
      <c r="AM36" s="19" t="s">
        <v>89</v>
      </c>
      <c r="AN36" s="19" t="s">
        <v>89</v>
      </c>
      <c r="AO36">
        <f t="shared" si="2"/>
        <v>2</v>
      </c>
      <c r="AP36">
        <f t="shared" si="3"/>
        <v>60.79</v>
      </c>
      <c r="AR36">
        <f t="shared" si="4"/>
        <v>101.5873015873016</v>
      </c>
    </row>
    <row r="37" spans="1:44">
      <c r="A37" t="s">
        <v>238</v>
      </c>
      <c r="B37">
        <v>35</v>
      </c>
      <c r="C37" s="16" t="s">
        <v>239</v>
      </c>
      <c r="D37" s="16" t="s">
        <v>239</v>
      </c>
      <c r="E37" s="16" t="s">
        <v>236</v>
      </c>
      <c r="F37" s="16" t="s">
        <v>129</v>
      </c>
      <c r="G37" s="16" t="s">
        <v>130</v>
      </c>
      <c r="H37" s="16" t="s">
        <v>88</v>
      </c>
      <c r="I37" s="16" t="s">
        <v>240</v>
      </c>
      <c r="J37" s="16" t="s">
        <v>87</v>
      </c>
      <c r="K37" s="16" t="s">
        <v>88</v>
      </c>
      <c r="L37" s="17">
        <v>1500</v>
      </c>
      <c r="M37" s="17">
        <v>80</v>
      </c>
      <c r="N37" s="17" t="s">
        <v>89</v>
      </c>
      <c r="O37" s="17" t="s">
        <v>89</v>
      </c>
      <c r="P37" s="16">
        <v>400</v>
      </c>
      <c r="Q37" s="16">
        <v>3.65</v>
      </c>
      <c r="R37" s="16">
        <v>3.2</v>
      </c>
      <c r="S37" s="16">
        <v>2.5</v>
      </c>
      <c r="T37" s="16">
        <v>132</v>
      </c>
      <c r="U37" s="16">
        <v>400</v>
      </c>
      <c r="V37" s="18" t="s">
        <v>89</v>
      </c>
      <c r="W37" s="16">
        <v>12800</v>
      </c>
      <c r="Y37" s="16">
        <v>400</v>
      </c>
      <c r="Z37" s="16">
        <v>132</v>
      </c>
      <c r="AA37" s="18" t="s">
        <v>89</v>
      </c>
      <c r="AB37" s="19" t="s">
        <v>89</v>
      </c>
      <c r="AC37" s="17">
        <v>450</v>
      </c>
      <c r="AD37" s="17">
        <v>71</v>
      </c>
      <c r="AE37" s="17">
        <v>285</v>
      </c>
      <c r="AF37" s="21" t="s">
        <v>90</v>
      </c>
      <c r="AI37" s="17" t="s">
        <v>91</v>
      </c>
      <c r="AJ37" s="24" t="s">
        <v>98</v>
      </c>
      <c r="AL37" s="19" t="s">
        <v>94</v>
      </c>
      <c r="AM37" s="19" t="s">
        <v>89</v>
      </c>
      <c r="AN37" s="19" t="s">
        <v>89</v>
      </c>
      <c r="AO37">
        <f t="shared" si="2"/>
        <v>2</v>
      </c>
      <c r="AP37">
        <f t="shared" si="3"/>
        <v>60.79</v>
      </c>
      <c r="AR37">
        <f t="shared" si="4"/>
        <v>100</v>
      </c>
    </row>
    <row r="38" spans="1:44">
      <c r="A38" t="s">
        <v>241</v>
      </c>
      <c r="B38">
        <v>36</v>
      </c>
      <c r="C38" s="16" t="s">
        <v>242</v>
      </c>
      <c r="D38" s="16" t="s">
        <v>242</v>
      </c>
      <c r="E38" s="16" t="s">
        <v>243</v>
      </c>
      <c r="F38" s="16" t="s">
        <v>83</v>
      </c>
      <c r="G38" s="16" t="s">
        <v>84</v>
      </c>
      <c r="H38" s="16" t="s">
        <v>85</v>
      </c>
      <c r="I38" s="16" t="s">
        <v>244</v>
      </c>
      <c r="J38" s="16" t="s">
        <v>87</v>
      </c>
      <c r="K38" s="16" t="s">
        <v>88</v>
      </c>
      <c r="L38" s="17" t="s">
        <v>89</v>
      </c>
      <c r="M38" s="17" t="s">
        <v>89</v>
      </c>
      <c r="N38" s="17" t="s">
        <v>89</v>
      </c>
      <c r="O38" s="17" t="s">
        <v>89</v>
      </c>
      <c r="P38" s="16">
        <v>39</v>
      </c>
      <c r="Q38" s="16">
        <v>4.2</v>
      </c>
      <c r="R38" s="16">
        <v>3.65</v>
      </c>
      <c r="S38" s="16">
        <v>2.7</v>
      </c>
      <c r="T38" s="16">
        <v>19.5</v>
      </c>
      <c r="U38" s="16">
        <v>117</v>
      </c>
      <c r="V38" s="18" t="s">
        <v>89</v>
      </c>
      <c r="W38" s="16">
        <v>820</v>
      </c>
      <c r="Y38" s="16">
        <v>78</v>
      </c>
      <c r="Z38" s="16">
        <v>19.5</v>
      </c>
      <c r="AA38" s="18" t="s">
        <v>89</v>
      </c>
      <c r="AB38" s="19" t="s">
        <v>89</v>
      </c>
      <c r="AC38" s="17">
        <v>268</v>
      </c>
      <c r="AD38" s="17">
        <v>7</v>
      </c>
      <c r="AE38" s="17">
        <v>228</v>
      </c>
      <c r="AF38" s="21" t="s">
        <v>90</v>
      </c>
      <c r="AI38" s="17" t="s">
        <v>91</v>
      </c>
      <c r="AJ38" s="24" t="s">
        <v>98</v>
      </c>
      <c r="AL38" s="19" t="s">
        <v>94</v>
      </c>
      <c r="AM38" s="19" t="s">
        <v>89</v>
      </c>
      <c r="AN38" s="19" t="s">
        <v>89</v>
      </c>
      <c r="AO38">
        <f t="shared" si="2"/>
        <v>1</v>
      </c>
      <c r="AP38">
        <f t="shared" si="3"/>
        <v>60.25</v>
      </c>
      <c r="AR38">
        <f t="shared" si="4"/>
        <v>173.59756097560975</v>
      </c>
    </row>
    <row r="39" spans="1:44">
      <c r="A39" t="s">
        <v>245</v>
      </c>
      <c r="B39">
        <v>37</v>
      </c>
      <c r="C39" s="16" t="s">
        <v>246</v>
      </c>
      <c r="D39" s="16" t="s">
        <v>246</v>
      </c>
      <c r="E39" s="16" t="s">
        <v>243</v>
      </c>
      <c r="F39" s="16" t="s">
        <v>129</v>
      </c>
      <c r="G39" s="16" t="s">
        <v>130</v>
      </c>
      <c r="H39" s="16" t="s">
        <v>85</v>
      </c>
      <c r="I39" s="16" t="s">
        <v>247</v>
      </c>
      <c r="J39" s="16" t="s">
        <v>87</v>
      </c>
      <c r="K39" s="16" t="s">
        <v>88</v>
      </c>
      <c r="L39" s="17">
        <v>2000</v>
      </c>
      <c r="M39" s="17">
        <v>80</v>
      </c>
      <c r="N39" s="17" t="s">
        <v>89</v>
      </c>
      <c r="O39" s="17" t="s">
        <v>89</v>
      </c>
      <c r="P39" s="16">
        <v>50</v>
      </c>
      <c r="Q39" s="16">
        <v>3.65</v>
      </c>
      <c r="R39" s="16">
        <v>3.3</v>
      </c>
      <c r="S39" s="16">
        <v>2.5</v>
      </c>
      <c r="T39" s="16">
        <f>0.5*P39</f>
        <v>25</v>
      </c>
      <c r="U39" s="16">
        <f>1*P39</f>
        <v>50</v>
      </c>
      <c r="V39" s="18" t="s">
        <v>89</v>
      </c>
      <c r="W39" s="16">
        <v>1167</v>
      </c>
      <c r="Y39" s="16">
        <f>1*P39</f>
        <v>50</v>
      </c>
      <c r="Z39" s="16">
        <f>0.5*P39</f>
        <v>25</v>
      </c>
      <c r="AA39" s="18" t="s">
        <v>89</v>
      </c>
      <c r="AB39" s="19" t="s">
        <v>89</v>
      </c>
      <c r="AC39" s="17">
        <v>268</v>
      </c>
      <c r="AD39" s="17">
        <v>10.8</v>
      </c>
      <c r="AE39" s="17">
        <v>228</v>
      </c>
      <c r="AF39" s="21" t="s">
        <v>90</v>
      </c>
      <c r="AI39" s="17" t="s">
        <v>91</v>
      </c>
      <c r="AJ39" s="24" t="s">
        <v>248</v>
      </c>
      <c r="AL39" s="19" t="s">
        <v>94</v>
      </c>
      <c r="AM39" s="19" t="s">
        <v>89</v>
      </c>
      <c r="AN39" s="19" t="s">
        <v>89</v>
      </c>
      <c r="AO39">
        <f t="shared" si="2"/>
        <v>1</v>
      </c>
      <c r="AP39">
        <f t="shared" si="3"/>
        <v>60.25</v>
      </c>
      <c r="AR39">
        <f t="shared" si="4"/>
        <v>141.38817480719794</v>
      </c>
    </row>
    <row r="40" spans="1:44">
      <c r="A40" t="s">
        <v>249</v>
      </c>
      <c r="B40">
        <v>38</v>
      </c>
      <c r="C40" s="16" t="s">
        <v>250</v>
      </c>
      <c r="D40" s="16" t="s">
        <v>250</v>
      </c>
      <c r="E40" s="16" t="s">
        <v>243</v>
      </c>
      <c r="F40" s="16" t="s">
        <v>83</v>
      </c>
      <c r="G40" s="16" t="s">
        <v>84</v>
      </c>
      <c r="H40" s="16" t="s">
        <v>85</v>
      </c>
      <c r="I40" s="16" t="s">
        <v>251</v>
      </c>
      <c r="J40" s="16" t="s">
        <v>87</v>
      </c>
      <c r="K40" s="16" t="s">
        <v>88</v>
      </c>
      <c r="L40" s="17" t="s">
        <v>89</v>
      </c>
      <c r="M40" s="17" t="s">
        <v>89</v>
      </c>
      <c r="N40" s="16">
        <v>355</v>
      </c>
      <c r="O40" s="16">
        <v>180</v>
      </c>
      <c r="P40" s="16">
        <v>26</v>
      </c>
      <c r="Q40" s="16">
        <v>4.2</v>
      </c>
      <c r="R40" s="16">
        <v>3.65</v>
      </c>
      <c r="S40" s="16">
        <v>2.7</v>
      </c>
      <c r="T40" s="16">
        <f>0.2*P40</f>
        <v>5.2</v>
      </c>
      <c r="U40" s="16">
        <f>1*P40</f>
        <v>26</v>
      </c>
      <c r="V40" s="18" t="s">
        <v>89</v>
      </c>
      <c r="W40" s="16">
        <v>550</v>
      </c>
      <c r="Y40" s="16">
        <f>1*P40</f>
        <v>26</v>
      </c>
      <c r="Z40" s="16">
        <f>0.2*P40</f>
        <v>5.2</v>
      </c>
      <c r="AA40" s="18" t="s">
        <v>89</v>
      </c>
      <c r="AB40" s="19" t="s">
        <v>89</v>
      </c>
      <c r="AC40" s="17">
        <v>227</v>
      </c>
      <c r="AD40" s="17">
        <v>7.5</v>
      </c>
      <c r="AE40" s="17">
        <v>161</v>
      </c>
      <c r="AF40" s="21" t="s">
        <v>90</v>
      </c>
      <c r="AG40" s="17">
        <v>2016</v>
      </c>
      <c r="AI40" s="17" t="s">
        <v>91</v>
      </c>
      <c r="AJ40" s="24" t="s">
        <v>252</v>
      </c>
      <c r="AL40" s="19" t="s">
        <v>94</v>
      </c>
      <c r="AM40" s="19" t="s">
        <v>89</v>
      </c>
      <c r="AN40" s="19" t="s">
        <v>89</v>
      </c>
      <c r="AO40">
        <f t="shared" si="2"/>
        <v>1</v>
      </c>
      <c r="AP40">
        <f t="shared" si="3"/>
        <v>60.25</v>
      </c>
      <c r="AR40">
        <f t="shared" si="4"/>
        <v>172.5454545454545</v>
      </c>
    </row>
    <row r="41" spans="1:44">
      <c r="A41" t="s">
        <v>253</v>
      </c>
      <c r="B41">
        <v>39</v>
      </c>
      <c r="C41" s="16" t="s">
        <v>254</v>
      </c>
      <c r="D41" s="16" t="s">
        <v>254</v>
      </c>
      <c r="E41" s="16" t="s">
        <v>243</v>
      </c>
      <c r="F41" s="16" t="s">
        <v>83</v>
      </c>
      <c r="G41" s="16" t="s">
        <v>84</v>
      </c>
      <c r="H41" s="16" t="s">
        <v>85</v>
      </c>
      <c r="I41" s="16" t="s">
        <v>255</v>
      </c>
      <c r="J41" s="16" t="s">
        <v>87</v>
      </c>
      <c r="K41" s="16" t="s">
        <v>88</v>
      </c>
      <c r="L41" s="17">
        <v>2500</v>
      </c>
      <c r="M41" s="17">
        <v>80</v>
      </c>
      <c r="N41" s="17" t="s">
        <v>89</v>
      </c>
      <c r="O41" s="17" t="s">
        <v>89</v>
      </c>
      <c r="P41" s="16">
        <v>32</v>
      </c>
      <c r="Q41" s="16">
        <v>4.2</v>
      </c>
      <c r="R41" s="16">
        <v>3.65</v>
      </c>
      <c r="S41" s="16">
        <v>2.7</v>
      </c>
      <c r="T41" s="16">
        <f>1*P41</f>
        <v>32</v>
      </c>
      <c r="U41" s="16">
        <f>6*P41</f>
        <v>192</v>
      </c>
      <c r="V41" s="18" t="s">
        <v>89</v>
      </c>
      <c r="W41" s="16">
        <v>561</v>
      </c>
      <c r="Y41" s="16">
        <f>2*P41</f>
        <v>64</v>
      </c>
      <c r="Z41" s="16">
        <f>1*P41</f>
        <v>32</v>
      </c>
      <c r="AA41" s="18" t="s">
        <v>89</v>
      </c>
      <c r="AB41" s="19" t="s">
        <v>89</v>
      </c>
      <c r="AC41" s="17">
        <v>227</v>
      </c>
      <c r="AD41" s="17">
        <v>7.5</v>
      </c>
      <c r="AE41" s="17">
        <v>161</v>
      </c>
      <c r="AF41" s="21" t="s">
        <v>90</v>
      </c>
      <c r="AI41" s="17" t="s">
        <v>91</v>
      </c>
      <c r="AJ41" s="24" t="s">
        <v>256</v>
      </c>
      <c r="AL41" s="19" t="s">
        <v>94</v>
      </c>
      <c r="AM41" s="19" t="s">
        <v>89</v>
      </c>
      <c r="AN41" s="19" t="s">
        <v>89</v>
      </c>
      <c r="AO41">
        <f t="shared" si="2"/>
        <v>1</v>
      </c>
      <c r="AP41">
        <f t="shared" si="3"/>
        <v>60.25</v>
      </c>
      <c r="AR41">
        <f t="shared" si="4"/>
        <v>208.19964349376113</v>
      </c>
    </row>
    <row r="42" spans="1:44">
      <c r="A42" t="s">
        <v>257</v>
      </c>
      <c r="B42">
        <v>40</v>
      </c>
      <c r="C42" s="16" t="s">
        <v>258</v>
      </c>
      <c r="D42" s="16" t="s">
        <v>258</v>
      </c>
      <c r="E42" s="16" t="s">
        <v>243</v>
      </c>
      <c r="F42" s="16" t="s">
        <v>129</v>
      </c>
      <c r="G42" s="16" t="s">
        <v>130</v>
      </c>
      <c r="H42" s="16" t="s">
        <v>85</v>
      </c>
      <c r="I42" s="16" t="s">
        <v>259</v>
      </c>
      <c r="J42" s="16" t="s">
        <v>87</v>
      </c>
      <c r="K42" s="16" t="s">
        <v>88</v>
      </c>
      <c r="L42" s="17">
        <v>3000</v>
      </c>
      <c r="M42" s="17">
        <v>90</v>
      </c>
      <c r="N42" s="16">
        <v>247</v>
      </c>
      <c r="O42" s="16">
        <v>131</v>
      </c>
      <c r="P42" s="16">
        <v>19.600000000000001</v>
      </c>
      <c r="Q42" s="16">
        <v>3.65</v>
      </c>
      <c r="R42" s="16">
        <v>3.3</v>
      </c>
      <c r="S42" s="16">
        <v>2.5</v>
      </c>
      <c r="T42" s="16">
        <f>0.2*P42</f>
        <v>3.9200000000000004</v>
      </c>
      <c r="U42" s="16">
        <v>360</v>
      </c>
      <c r="V42" s="18">
        <v>2</v>
      </c>
      <c r="W42" s="16">
        <v>496</v>
      </c>
      <c r="Y42" s="16">
        <v>300</v>
      </c>
      <c r="Z42" s="16">
        <f>0.2*P42</f>
        <v>3.9200000000000004</v>
      </c>
      <c r="AA42" s="18">
        <v>1</v>
      </c>
      <c r="AB42" s="19" t="s">
        <v>89</v>
      </c>
      <c r="AC42" s="17">
        <v>227</v>
      </c>
      <c r="AD42" s="17">
        <v>7.5</v>
      </c>
      <c r="AE42" s="17">
        <v>161</v>
      </c>
      <c r="AF42" s="21" t="s">
        <v>90</v>
      </c>
      <c r="AI42" s="17" t="s">
        <v>91</v>
      </c>
      <c r="AJ42" s="26" t="s">
        <v>260</v>
      </c>
      <c r="AK42" s="25" t="s">
        <v>261</v>
      </c>
      <c r="AL42" s="19" t="s">
        <v>94</v>
      </c>
      <c r="AM42" s="19" t="s">
        <v>89</v>
      </c>
      <c r="AN42" s="23">
        <v>1</v>
      </c>
      <c r="AO42">
        <f t="shared" si="2"/>
        <v>1</v>
      </c>
      <c r="AP42">
        <f t="shared" si="3"/>
        <v>60.25</v>
      </c>
      <c r="AR42">
        <f t="shared" si="4"/>
        <v>130.40322580645162</v>
      </c>
    </row>
    <row r="43" spans="1:44">
      <c r="A43" t="s">
        <v>262</v>
      </c>
      <c r="B43">
        <v>41</v>
      </c>
      <c r="C43" s="16" t="s">
        <v>263</v>
      </c>
      <c r="D43" s="16" t="s">
        <v>263</v>
      </c>
      <c r="E43" s="16" t="s">
        <v>264</v>
      </c>
      <c r="F43" s="16" t="s">
        <v>83</v>
      </c>
      <c r="G43" s="16" t="s">
        <v>265</v>
      </c>
      <c r="H43" s="16" t="s">
        <v>266</v>
      </c>
      <c r="I43" s="16" t="s">
        <v>267</v>
      </c>
      <c r="J43" s="16" t="s">
        <v>87</v>
      </c>
      <c r="K43" s="16" t="s">
        <v>268</v>
      </c>
      <c r="L43" s="17">
        <v>1000</v>
      </c>
      <c r="M43" s="17">
        <v>80</v>
      </c>
      <c r="N43" s="17" t="s">
        <v>89</v>
      </c>
      <c r="O43" s="17" t="s">
        <v>89</v>
      </c>
      <c r="P43" s="16">
        <v>4.8</v>
      </c>
      <c r="Q43" s="16">
        <v>4.2</v>
      </c>
      <c r="R43" s="16">
        <v>3.6</v>
      </c>
      <c r="S43" s="16">
        <v>2.5</v>
      </c>
      <c r="T43" s="16">
        <f>0.2*P43</f>
        <v>0.96</v>
      </c>
      <c r="U43" s="16">
        <f>3*P43</f>
        <v>14.399999999999999</v>
      </c>
      <c r="V43" s="18">
        <v>1</v>
      </c>
      <c r="W43" s="16">
        <v>70</v>
      </c>
      <c r="Y43" s="16">
        <f>1*P43</f>
        <v>4.8</v>
      </c>
      <c r="Z43" s="16">
        <f>0.2*P43</f>
        <v>0.96</v>
      </c>
      <c r="AA43" s="18">
        <v>0.5</v>
      </c>
      <c r="AB43" s="19" t="s">
        <v>89</v>
      </c>
      <c r="AC43" s="17" t="s">
        <v>90</v>
      </c>
      <c r="AD43" s="17">
        <v>70</v>
      </c>
      <c r="AE43" s="20"/>
      <c r="AF43" s="20">
        <v>21</v>
      </c>
      <c r="AI43" s="17" t="s">
        <v>91</v>
      </c>
      <c r="AJ43" s="22" t="s">
        <v>269</v>
      </c>
      <c r="AL43" s="19" t="s">
        <v>94</v>
      </c>
      <c r="AM43" s="19" t="s">
        <v>89</v>
      </c>
      <c r="AN43" s="19" t="s">
        <v>89</v>
      </c>
      <c r="AO43">
        <f t="shared" si="2"/>
        <v>3</v>
      </c>
      <c r="AP43">
        <f t="shared" si="3"/>
        <v>64.69</v>
      </c>
      <c r="AR43">
        <f t="shared" si="4"/>
        <v>246.85714285714286</v>
      </c>
    </row>
    <row r="44" spans="1:44">
      <c r="A44" t="s">
        <v>270</v>
      </c>
      <c r="B44">
        <v>42</v>
      </c>
      <c r="C44" s="16" t="s">
        <v>271</v>
      </c>
      <c r="D44" s="16" t="s">
        <v>271</v>
      </c>
      <c r="E44" s="16" t="s">
        <v>264</v>
      </c>
      <c r="F44" s="16" t="s">
        <v>83</v>
      </c>
      <c r="G44" s="16" t="s">
        <v>84</v>
      </c>
      <c r="H44" s="16" t="s">
        <v>266</v>
      </c>
      <c r="I44" s="16" t="s">
        <v>272</v>
      </c>
      <c r="J44" s="16" t="s">
        <v>87</v>
      </c>
      <c r="K44" s="16" t="s">
        <v>268</v>
      </c>
      <c r="L44" s="17">
        <v>1000</v>
      </c>
      <c r="M44" s="17">
        <v>80</v>
      </c>
      <c r="N44" s="17" t="s">
        <v>89</v>
      </c>
      <c r="O44" s="17" t="s">
        <v>89</v>
      </c>
      <c r="P44" s="16">
        <v>5</v>
      </c>
      <c r="Q44" s="16">
        <v>4.2</v>
      </c>
      <c r="R44" s="16">
        <v>3.6</v>
      </c>
      <c r="S44" s="16">
        <v>2.5</v>
      </c>
      <c r="T44" s="16">
        <f>0.5*P44</f>
        <v>2.5</v>
      </c>
      <c r="U44" s="16">
        <f>2*P44</f>
        <v>10</v>
      </c>
      <c r="V44" s="18" t="s">
        <v>89</v>
      </c>
      <c r="W44" s="16">
        <v>95</v>
      </c>
      <c r="Y44" s="16">
        <f>1*P44</f>
        <v>5</v>
      </c>
      <c r="Z44" s="16">
        <f>0.5*P44</f>
        <v>2.5</v>
      </c>
      <c r="AA44" s="18" t="s">
        <v>89</v>
      </c>
      <c r="AB44" s="19" t="s">
        <v>89</v>
      </c>
      <c r="AC44" s="17" t="s">
        <v>90</v>
      </c>
      <c r="AD44" s="17">
        <v>65</v>
      </c>
      <c r="AE44" s="20"/>
      <c r="AF44" s="20">
        <v>26</v>
      </c>
      <c r="AI44" s="17" t="s">
        <v>91</v>
      </c>
      <c r="AJ44" s="24" t="s">
        <v>248</v>
      </c>
      <c r="AL44" s="19" t="s">
        <v>94</v>
      </c>
      <c r="AM44" s="19" t="s">
        <v>89</v>
      </c>
      <c r="AN44" s="19" t="s">
        <v>89</v>
      </c>
      <c r="AO44">
        <f t="shared" si="2"/>
        <v>3</v>
      </c>
      <c r="AP44">
        <f t="shared" si="3"/>
        <v>64.69</v>
      </c>
      <c r="AR44">
        <f t="shared" si="4"/>
        <v>189.4736842105263</v>
      </c>
    </row>
    <row r="45" spans="1:44">
      <c r="A45" t="s">
        <v>273</v>
      </c>
      <c r="B45">
        <v>43</v>
      </c>
      <c r="C45" s="16" t="s">
        <v>274</v>
      </c>
      <c r="D45" s="16" t="s">
        <v>274</v>
      </c>
      <c r="E45" s="16" t="s">
        <v>82</v>
      </c>
      <c r="F45" s="16" t="s">
        <v>83</v>
      </c>
      <c r="G45" s="16" t="s">
        <v>84</v>
      </c>
      <c r="H45" s="16" t="s">
        <v>85</v>
      </c>
      <c r="I45" s="16" t="s">
        <v>232</v>
      </c>
      <c r="J45" s="16" t="s">
        <v>87</v>
      </c>
      <c r="K45" s="16" t="s">
        <v>88</v>
      </c>
      <c r="L45" s="17">
        <v>4000</v>
      </c>
      <c r="M45" s="17">
        <v>80</v>
      </c>
      <c r="N45" s="16">
        <v>319</v>
      </c>
      <c r="O45" s="16">
        <v>169</v>
      </c>
      <c r="P45" s="16">
        <v>53</v>
      </c>
      <c r="Q45" s="16">
        <v>4.2</v>
      </c>
      <c r="R45" s="16">
        <v>3.7</v>
      </c>
      <c r="S45" s="16">
        <v>2.7</v>
      </c>
      <c r="T45" s="16">
        <f>P45*0.2</f>
        <v>10.600000000000001</v>
      </c>
      <c r="U45" s="16">
        <f>5*P45</f>
        <v>265</v>
      </c>
      <c r="V45" s="18">
        <v>1</v>
      </c>
      <c r="W45" s="16">
        <v>1160</v>
      </c>
      <c r="Y45" s="16">
        <v>106</v>
      </c>
      <c r="Z45" s="16">
        <f>P45*0.2</f>
        <v>10.600000000000001</v>
      </c>
      <c r="AA45" s="18">
        <v>1</v>
      </c>
      <c r="AB45" s="19" t="s">
        <v>89</v>
      </c>
      <c r="AC45" s="17">
        <v>227</v>
      </c>
      <c r="AD45" s="17">
        <v>12</v>
      </c>
      <c r="AE45" s="17">
        <v>226</v>
      </c>
      <c r="AF45" s="21" t="s">
        <v>90</v>
      </c>
      <c r="AG45" s="17">
        <v>2016</v>
      </c>
      <c r="AH45" s="17" t="s">
        <v>91</v>
      </c>
      <c r="AI45" s="17" t="s">
        <v>91</v>
      </c>
      <c r="AJ45" s="24" t="s">
        <v>98</v>
      </c>
      <c r="AL45" s="19" t="s">
        <v>94</v>
      </c>
      <c r="AM45" s="19" t="s">
        <v>89</v>
      </c>
      <c r="AN45" s="23">
        <v>0.8</v>
      </c>
      <c r="AO45">
        <f t="shared" si="2"/>
        <v>1</v>
      </c>
      <c r="AP45">
        <f t="shared" si="3"/>
        <v>60.25</v>
      </c>
      <c r="AR45">
        <f t="shared" si="4"/>
        <v>169.05172413793107</v>
      </c>
    </row>
    <row r="46" spans="1:44">
      <c r="A46" t="s">
        <v>275</v>
      </c>
      <c r="B46">
        <v>44</v>
      </c>
      <c r="C46" s="16" t="s">
        <v>276</v>
      </c>
      <c r="D46" s="16" t="s">
        <v>276</v>
      </c>
      <c r="E46" s="16" t="s">
        <v>144</v>
      </c>
      <c r="F46" s="16" t="s">
        <v>129</v>
      </c>
      <c r="G46" s="16" t="s">
        <v>130</v>
      </c>
      <c r="H46" s="16" t="s">
        <v>88</v>
      </c>
      <c r="I46" s="16" t="s">
        <v>277</v>
      </c>
      <c r="J46" s="16" t="s">
        <v>87</v>
      </c>
      <c r="K46" s="16" t="s">
        <v>88</v>
      </c>
      <c r="L46" s="17" t="s">
        <v>89</v>
      </c>
      <c r="M46" s="17" t="s">
        <v>89</v>
      </c>
      <c r="N46" s="17" t="s">
        <v>89</v>
      </c>
      <c r="O46" s="17" t="s">
        <v>89</v>
      </c>
      <c r="P46" s="16">
        <v>100</v>
      </c>
      <c r="Q46" s="16">
        <v>3.65</v>
      </c>
      <c r="R46" s="16">
        <v>3.2</v>
      </c>
      <c r="S46" s="16">
        <v>2.5</v>
      </c>
      <c r="T46" s="16">
        <f>0.5*P46</f>
        <v>50</v>
      </c>
      <c r="U46" s="16">
        <f>1*P46</f>
        <v>100</v>
      </c>
      <c r="V46" s="18" t="s">
        <v>89</v>
      </c>
      <c r="W46" s="16">
        <v>2270</v>
      </c>
      <c r="Y46" s="16">
        <f>1*P46</f>
        <v>100</v>
      </c>
      <c r="Z46" s="16">
        <f>0.5*P46</f>
        <v>50</v>
      </c>
      <c r="AA46" s="18" t="s">
        <v>89</v>
      </c>
      <c r="AB46" s="19" t="s">
        <v>89</v>
      </c>
      <c r="AC46" s="17">
        <v>200</v>
      </c>
      <c r="AD46" s="20">
        <v>33</v>
      </c>
      <c r="AE46" s="20">
        <v>172</v>
      </c>
      <c r="AF46" s="21" t="s">
        <v>90</v>
      </c>
      <c r="AI46" s="17" t="s">
        <v>91</v>
      </c>
      <c r="AJ46" s="24" t="s">
        <v>98</v>
      </c>
      <c r="AL46" s="19" t="s">
        <v>94</v>
      </c>
      <c r="AM46" s="19" t="s">
        <v>89</v>
      </c>
      <c r="AN46" s="19" t="s">
        <v>89</v>
      </c>
      <c r="AO46">
        <f t="shared" si="2"/>
        <v>2</v>
      </c>
      <c r="AP46">
        <f t="shared" si="3"/>
        <v>60.79</v>
      </c>
      <c r="AR46">
        <f t="shared" si="4"/>
        <v>140.9691629955947</v>
      </c>
    </row>
    <row r="47" spans="1:44">
      <c r="A47" t="s">
        <v>278</v>
      </c>
      <c r="B47">
        <v>45</v>
      </c>
      <c r="C47" s="16" t="s">
        <v>279</v>
      </c>
      <c r="D47" s="16" t="s">
        <v>279</v>
      </c>
      <c r="E47" s="16" t="s">
        <v>144</v>
      </c>
      <c r="F47" s="16" t="s">
        <v>129</v>
      </c>
      <c r="G47" s="16" t="s">
        <v>130</v>
      </c>
      <c r="H47" s="16" t="s">
        <v>88</v>
      </c>
      <c r="I47" s="16" t="s">
        <v>280</v>
      </c>
      <c r="J47" s="16" t="s">
        <v>87</v>
      </c>
      <c r="K47" s="16" t="s">
        <v>88</v>
      </c>
      <c r="L47" s="17" t="s">
        <v>89</v>
      </c>
      <c r="M47" s="17" t="s">
        <v>89</v>
      </c>
      <c r="N47" s="17" t="s">
        <v>89</v>
      </c>
      <c r="O47" s="17" t="s">
        <v>89</v>
      </c>
      <c r="P47" s="16">
        <v>120</v>
      </c>
      <c r="Q47" s="16">
        <v>3.65</v>
      </c>
      <c r="R47" s="16">
        <v>3.2</v>
      </c>
      <c r="S47" s="16">
        <v>2.5</v>
      </c>
      <c r="T47" s="16">
        <f>0.2*P47</f>
        <v>24</v>
      </c>
      <c r="U47" s="16">
        <f>2*P47</f>
        <v>240</v>
      </c>
      <c r="V47" s="18" t="s">
        <v>89</v>
      </c>
      <c r="W47" s="16">
        <v>2840</v>
      </c>
      <c r="Y47" s="16">
        <f>1*P47</f>
        <v>120</v>
      </c>
      <c r="Z47" s="16">
        <f>0.5*P47</f>
        <v>60</v>
      </c>
      <c r="AA47" s="18" t="s">
        <v>89</v>
      </c>
      <c r="AB47" s="19" t="s">
        <v>89</v>
      </c>
      <c r="AC47" s="17">
        <v>174</v>
      </c>
      <c r="AD47" s="20">
        <v>48</v>
      </c>
      <c r="AE47" s="20">
        <v>172</v>
      </c>
      <c r="AF47" s="21" t="s">
        <v>90</v>
      </c>
      <c r="AI47" s="17" t="s">
        <v>91</v>
      </c>
      <c r="AJ47" s="24" t="s">
        <v>98</v>
      </c>
      <c r="AL47" s="19" t="s">
        <v>94</v>
      </c>
      <c r="AM47" s="19" t="s">
        <v>89</v>
      </c>
      <c r="AN47" s="19" t="s">
        <v>89</v>
      </c>
      <c r="AO47">
        <f t="shared" si="2"/>
        <v>2</v>
      </c>
      <c r="AP47">
        <f t="shared" si="3"/>
        <v>60.79</v>
      </c>
      <c r="AR47">
        <f t="shared" si="4"/>
        <v>135.21126760563382</v>
      </c>
    </row>
    <row r="48" spans="1:44">
      <c r="A48" t="s">
        <v>281</v>
      </c>
      <c r="B48">
        <v>46</v>
      </c>
      <c r="C48" s="16" t="s">
        <v>282</v>
      </c>
      <c r="D48" s="16" t="s">
        <v>282</v>
      </c>
      <c r="E48" s="16" t="s">
        <v>144</v>
      </c>
      <c r="F48" s="16" t="s">
        <v>129</v>
      </c>
      <c r="G48" s="16" t="s">
        <v>130</v>
      </c>
      <c r="H48" s="16" t="s">
        <v>88</v>
      </c>
      <c r="I48" s="16" t="s">
        <v>283</v>
      </c>
      <c r="J48" s="16" t="s">
        <v>87</v>
      </c>
      <c r="K48" s="16" t="s">
        <v>88</v>
      </c>
      <c r="L48" s="17">
        <v>12000</v>
      </c>
      <c r="M48" s="17">
        <v>80</v>
      </c>
      <c r="N48" s="17" t="s">
        <v>89</v>
      </c>
      <c r="O48" s="17" t="s">
        <v>89</v>
      </c>
      <c r="P48" s="16">
        <v>280</v>
      </c>
      <c r="Q48" s="16">
        <v>3.65</v>
      </c>
      <c r="R48" s="16">
        <v>3.2</v>
      </c>
      <c r="S48" s="16">
        <v>2.5</v>
      </c>
      <c r="T48" s="16">
        <f>0.2*P48</f>
        <v>56</v>
      </c>
      <c r="U48" s="16">
        <f>2*P48</f>
        <v>560</v>
      </c>
      <c r="V48" s="18" t="s">
        <v>89</v>
      </c>
      <c r="W48" s="16">
        <v>5340</v>
      </c>
      <c r="Y48" s="16">
        <f>1*P48</f>
        <v>280</v>
      </c>
      <c r="Z48" s="16">
        <f>0.5*P48</f>
        <v>140</v>
      </c>
      <c r="AA48" s="18" t="s">
        <v>89</v>
      </c>
      <c r="AB48" s="19" t="s">
        <v>89</v>
      </c>
      <c r="AC48" s="17">
        <v>208</v>
      </c>
      <c r="AD48" s="20">
        <v>72</v>
      </c>
      <c r="AE48" s="20">
        <v>174</v>
      </c>
      <c r="AF48" s="21" t="s">
        <v>90</v>
      </c>
      <c r="AI48" s="17" t="s">
        <v>91</v>
      </c>
      <c r="AJ48" s="24" t="s">
        <v>98</v>
      </c>
      <c r="AL48" s="19" t="s">
        <v>94</v>
      </c>
      <c r="AM48" s="19" t="s">
        <v>89</v>
      </c>
      <c r="AN48" s="19" t="s">
        <v>89</v>
      </c>
      <c r="AO48">
        <f t="shared" si="2"/>
        <v>2</v>
      </c>
      <c r="AP48">
        <f t="shared" si="3"/>
        <v>60.79</v>
      </c>
      <c r="AR48">
        <f t="shared" si="4"/>
        <v>167.79026217228466</v>
      </c>
    </row>
    <row r="49" spans="1:44">
      <c r="A49" t="s">
        <v>284</v>
      </c>
      <c r="B49">
        <v>47</v>
      </c>
      <c r="C49" s="16" t="s">
        <v>285</v>
      </c>
      <c r="D49" s="16" t="s">
        <v>285</v>
      </c>
      <c r="E49" s="16" t="s">
        <v>144</v>
      </c>
      <c r="F49" s="16" t="s">
        <v>83</v>
      </c>
      <c r="G49" s="16" t="s">
        <v>286</v>
      </c>
      <c r="H49" s="16" t="s">
        <v>88</v>
      </c>
      <c r="I49" s="16" t="s">
        <v>287</v>
      </c>
      <c r="J49" s="16" t="s">
        <v>87</v>
      </c>
      <c r="K49" s="16" t="s">
        <v>88</v>
      </c>
      <c r="L49" s="17">
        <v>3000</v>
      </c>
      <c r="M49" s="17">
        <v>80</v>
      </c>
      <c r="N49" s="17" t="s">
        <v>89</v>
      </c>
      <c r="O49" s="17" t="s">
        <v>89</v>
      </c>
      <c r="P49" s="16">
        <v>50</v>
      </c>
      <c r="Q49" s="16">
        <v>4.2</v>
      </c>
      <c r="R49" s="16">
        <v>3.65</v>
      </c>
      <c r="S49" s="16">
        <v>3</v>
      </c>
      <c r="T49" s="16">
        <f>0.2*P49</f>
        <v>10</v>
      </c>
      <c r="U49" s="16">
        <f>2*P49</f>
        <v>100</v>
      </c>
      <c r="V49" s="18" t="s">
        <v>89</v>
      </c>
      <c r="W49" s="16">
        <v>850</v>
      </c>
      <c r="Y49" s="16">
        <f>1*P49</f>
        <v>50</v>
      </c>
      <c r="Z49" s="16">
        <f>0.5*P49</f>
        <v>25</v>
      </c>
      <c r="AA49" s="18" t="s">
        <v>89</v>
      </c>
      <c r="AB49" s="19" t="s">
        <v>89</v>
      </c>
      <c r="AC49" s="17">
        <v>148</v>
      </c>
      <c r="AD49" s="20">
        <v>27</v>
      </c>
      <c r="AE49" s="20">
        <v>98</v>
      </c>
      <c r="AF49" s="21" t="s">
        <v>90</v>
      </c>
      <c r="AI49" s="17" t="s">
        <v>91</v>
      </c>
      <c r="AJ49" s="24" t="s">
        <v>98</v>
      </c>
      <c r="AL49" s="19" t="s">
        <v>94</v>
      </c>
      <c r="AM49" s="19" t="s">
        <v>89</v>
      </c>
      <c r="AN49" s="19" t="s">
        <v>89</v>
      </c>
      <c r="AO49">
        <f t="shared" si="2"/>
        <v>2</v>
      </c>
      <c r="AP49">
        <f t="shared" si="3"/>
        <v>60.79</v>
      </c>
      <c r="AR49">
        <f t="shared" si="4"/>
        <v>214.70588235294119</v>
      </c>
    </row>
    <row r="50" spans="1:44">
      <c r="A50" t="s">
        <v>288</v>
      </c>
      <c r="B50">
        <v>48</v>
      </c>
      <c r="C50" s="16" t="s">
        <v>289</v>
      </c>
      <c r="D50" s="16" t="s">
        <v>289</v>
      </c>
      <c r="E50" s="16" t="s">
        <v>290</v>
      </c>
      <c r="F50" s="16" t="s">
        <v>83</v>
      </c>
      <c r="G50" s="16" t="s">
        <v>84</v>
      </c>
      <c r="H50" s="16" t="s">
        <v>85</v>
      </c>
      <c r="I50" s="16" t="s">
        <v>291</v>
      </c>
      <c r="J50" s="16" t="s">
        <v>87</v>
      </c>
      <c r="K50" s="16" t="s">
        <v>88</v>
      </c>
      <c r="L50" s="17">
        <v>4000</v>
      </c>
      <c r="M50" s="17">
        <v>70</v>
      </c>
      <c r="N50" s="17" t="s">
        <v>89</v>
      </c>
      <c r="O50" s="17" t="s">
        <v>89</v>
      </c>
      <c r="P50" s="16">
        <v>17.5</v>
      </c>
      <c r="Q50" s="16">
        <v>4.0999999999999996</v>
      </c>
      <c r="R50" s="16">
        <v>3.6</v>
      </c>
      <c r="S50" s="16">
        <v>2.5</v>
      </c>
      <c r="T50" s="16">
        <f>0.2*P50</f>
        <v>3.5</v>
      </c>
      <c r="U50" s="16">
        <f>1*P50</f>
        <v>17.5</v>
      </c>
      <c r="V50" s="18">
        <v>0.5</v>
      </c>
      <c r="W50" s="16">
        <v>430</v>
      </c>
      <c r="Y50" s="16">
        <f>1*P50</f>
        <v>17.5</v>
      </c>
      <c r="Z50" s="16">
        <f>0.2*P50</f>
        <v>3.5</v>
      </c>
      <c r="AA50" s="18">
        <v>0.5</v>
      </c>
      <c r="AB50" s="19" t="s">
        <v>89</v>
      </c>
      <c r="AC50" s="17">
        <v>253</v>
      </c>
      <c r="AD50" s="20">
        <v>5.8</v>
      </c>
      <c r="AE50" s="20">
        <v>172</v>
      </c>
      <c r="AF50" s="21" t="s">
        <v>90</v>
      </c>
      <c r="AG50" s="17">
        <v>2017</v>
      </c>
      <c r="AH50" s="17" t="s">
        <v>91</v>
      </c>
      <c r="AJ50" s="24" t="s">
        <v>292</v>
      </c>
      <c r="AK50" s="25" t="s">
        <v>293</v>
      </c>
      <c r="AL50" s="19" t="s">
        <v>94</v>
      </c>
      <c r="AM50" s="19" t="s">
        <v>89</v>
      </c>
      <c r="AN50" s="23">
        <v>1</v>
      </c>
      <c r="AO50">
        <f t="shared" si="2"/>
        <v>1</v>
      </c>
      <c r="AP50">
        <f t="shared" si="3"/>
        <v>60.25</v>
      </c>
      <c r="AR50">
        <f t="shared" si="4"/>
        <v>146.51162790697674</v>
      </c>
    </row>
    <row r="51" spans="1:44">
      <c r="A51" t="s">
        <v>294</v>
      </c>
      <c r="B51">
        <v>49</v>
      </c>
      <c r="C51" s="16" t="s">
        <v>295</v>
      </c>
      <c r="D51" s="16" t="s">
        <v>295</v>
      </c>
      <c r="E51" s="16" t="s">
        <v>290</v>
      </c>
      <c r="F51" s="16" t="s">
        <v>83</v>
      </c>
      <c r="G51" s="16" t="s">
        <v>84</v>
      </c>
      <c r="H51" s="16" t="s">
        <v>85</v>
      </c>
      <c r="I51" s="16" t="s">
        <v>296</v>
      </c>
      <c r="J51" s="16" t="s">
        <v>87</v>
      </c>
      <c r="K51" s="16" t="s">
        <v>88</v>
      </c>
      <c r="L51" s="17">
        <v>3000</v>
      </c>
      <c r="M51" s="17">
        <v>80</v>
      </c>
      <c r="N51" s="17" t="s">
        <v>89</v>
      </c>
      <c r="O51" s="17" t="s">
        <v>89</v>
      </c>
      <c r="P51" s="16">
        <v>17.5</v>
      </c>
      <c r="Q51" s="16">
        <v>4.2</v>
      </c>
      <c r="R51" s="16">
        <v>3.7</v>
      </c>
      <c r="S51" s="16">
        <v>2.7</v>
      </c>
      <c r="T51" s="16">
        <f>0.2*P51</f>
        <v>3.5</v>
      </c>
      <c r="U51" s="16">
        <f>3*P51</f>
        <v>52.5</v>
      </c>
      <c r="V51" s="18">
        <v>2</v>
      </c>
      <c r="W51" s="16">
        <v>850</v>
      </c>
      <c r="Y51" s="16">
        <f>2*P51</f>
        <v>35</v>
      </c>
      <c r="Z51" s="16">
        <f>0.2*P51</f>
        <v>3.5</v>
      </c>
      <c r="AA51" s="18">
        <v>2</v>
      </c>
      <c r="AB51" s="19" t="s">
        <v>89</v>
      </c>
      <c r="AC51" s="17">
        <v>253</v>
      </c>
      <c r="AD51" s="20">
        <v>5.7</v>
      </c>
      <c r="AE51" s="20">
        <v>172</v>
      </c>
      <c r="AF51" s="21" t="s">
        <v>90</v>
      </c>
      <c r="AG51" s="17">
        <v>2018</v>
      </c>
      <c r="AH51" s="17" t="s">
        <v>91</v>
      </c>
      <c r="AJ51" s="24" t="s">
        <v>297</v>
      </c>
      <c r="AL51" s="19" t="s">
        <v>94</v>
      </c>
      <c r="AM51" s="19" t="s">
        <v>89</v>
      </c>
      <c r="AN51" s="23">
        <v>0.9</v>
      </c>
      <c r="AO51">
        <f t="shared" si="2"/>
        <v>1</v>
      </c>
      <c r="AP51">
        <f t="shared" si="3"/>
        <v>60.25</v>
      </c>
      <c r="AR51">
        <f t="shared" si="4"/>
        <v>76.17647058823529</v>
      </c>
    </row>
    <row r="52" spans="1:44">
      <c r="A52" t="s">
        <v>298</v>
      </c>
      <c r="B52">
        <v>50</v>
      </c>
      <c r="C52" s="16" t="s">
        <v>299</v>
      </c>
      <c r="D52" s="16" t="s">
        <v>299</v>
      </c>
      <c r="E52" s="16" t="s">
        <v>290</v>
      </c>
      <c r="F52" s="16" t="s">
        <v>83</v>
      </c>
      <c r="G52" s="16" t="s">
        <v>84</v>
      </c>
      <c r="H52" s="16" t="s">
        <v>85</v>
      </c>
      <c r="I52" s="16" t="s">
        <v>300</v>
      </c>
      <c r="J52" s="16" t="s">
        <v>87</v>
      </c>
      <c r="K52" s="16" t="s">
        <v>88</v>
      </c>
      <c r="L52" s="17">
        <v>4000</v>
      </c>
      <c r="M52" s="17">
        <v>70</v>
      </c>
      <c r="N52" s="17" t="s">
        <v>89</v>
      </c>
      <c r="O52" s="17" t="s">
        <v>89</v>
      </c>
      <c r="P52" s="16">
        <v>16</v>
      </c>
      <c r="Q52" s="16">
        <v>4.0999999999999996</v>
      </c>
      <c r="R52" s="16">
        <v>3.65</v>
      </c>
      <c r="S52" s="16">
        <v>2.5</v>
      </c>
      <c r="T52" s="16">
        <f>0.5*P52</f>
        <v>8</v>
      </c>
      <c r="U52" s="16">
        <f>1*P52</f>
        <v>16</v>
      </c>
      <c r="V52" s="18">
        <v>0.5</v>
      </c>
      <c r="W52" s="16">
        <v>430</v>
      </c>
      <c r="Y52" s="16">
        <f>1*P52</f>
        <v>16</v>
      </c>
      <c r="Z52" s="16">
        <f>0.5*P52</f>
        <v>8</v>
      </c>
      <c r="AA52" s="18">
        <v>0.5</v>
      </c>
      <c r="AB52" s="19" t="s">
        <v>89</v>
      </c>
      <c r="AC52" s="17">
        <v>253</v>
      </c>
      <c r="AD52" s="20">
        <v>5.9</v>
      </c>
      <c r="AE52" s="20">
        <v>172</v>
      </c>
      <c r="AF52" s="21" t="s">
        <v>90</v>
      </c>
      <c r="AG52" s="17">
        <v>2017</v>
      </c>
      <c r="AH52" s="17" t="s">
        <v>91</v>
      </c>
      <c r="AJ52" s="24" t="s">
        <v>301</v>
      </c>
      <c r="AL52" s="19" t="s">
        <v>94</v>
      </c>
      <c r="AM52" s="19" t="s">
        <v>89</v>
      </c>
      <c r="AN52" s="23">
        <v>1</v>
      </c>
      <c r="AO52">
        <f t="shared" si="2"/>
        <v>1</v>
      </c>
      <c r="AP52">
        <f t="shared" si="3"/>
        <v>60.25</v>
      </c>
      <c r="AR52">
        <f t="shared" si="4"/>
        <v>135.81395348837208</v>
      </c>
    </row>
    <row r="53" spans="1:44">
      <c r="A53" t="s">
        <v>302</v>
      </c>
      <c r="B53">
        <v>51</v>
      </c>
      <c r="C53" s="16" t="s">
        <v>303</v>
      </c>
      <c r="D53" s="16" t="s">
        <v>303</v>
      </c>
      <c r="E53" s="16" t="s">
        <v>304</v>
      </c>
      <c r="F53" s="16" t="s">
        <v>83</v>
      </c>
      <c r="G53" s="16" t="s">
        <v>305</v>
      </c>
      <c r="H53" s="16" t="s">
        <v>85</v>
      </c>
      <c r="I53" s="16" t="s">
        <v>306</v>
      </c>
      <c r="J53" s="16" t="s">
        <v>87</v>
      </c>
      <c r="K53" s="16" t="s">
        <v>88</v>
      </c>
      <c r="L53" s="17">
        <v>4000</v>
      </c>
      <c r="M53" s="17">
        <v>80</v>
      </c>
      <c r="N53" s="17" t="s">
        <v>89</v>
      </c>
      <c r="O53" s="17" t="s">
        <v>89</v>
      </c>
      <c r="P53" s="16">
        <v>17.5</v>
      </c>
      <c r="Q53" s="16">
        <v>4.0999999999999996</v>
      </c>
      <c r="R53" s="16">
        <v>3.65</v>
      </c>
      <c r="S53" s="16">
        <v>2.5</v>
      </c>
      <c r="T53" s="16">
        <f>1/3*P53</f>
        <v>5.833333333333333</v>
      </c>
      <c r="U53" s="16">
        <f>3*P53</f>
        <v>52.5</v>
      </c>
      <c r="V53" s="18">
        <v>1</v>
      </c>
      <c r="W53" s="16">
        <v>430</v>
      </c>
      <c r="Y53" s="16">
        <f>2*P53</f>
        <v>35</v>
      </c>
      <c r="Z53" s="16">
        <f>1/3*P53</f>
        <v>5.833333333333333</v>
      </c>
      <c r="AA53" s="18">
        <v>1</v>
      </c>
      <c r="AB53" s="19" t="s">
        <v>89</v>
      </c>
      <c r="AC53" s="17">
        <v>253</v>
      </c>
      <c r="AD53" s="20">
        <v>5.8</v>
      </c>
      <c r="AE53" s="20">
        <v>172</v>
      </c>
      <c r="AF53" s="21" t="s">
        <v>90</v>
      </c>
      <c r="AH53" s="17" t="s">
        <v>307</v>
      </c>
      <c r="AJ53" s="24" t="s">
        <v>98</v>
      </c>
      <c r="AL53" s="19" t="s">
        <v>94</v>
      </c>
      <c r="AM53" s="19" t="s">
        <v>89</v>
      </c>
      <c r="AN53" s="23">
        <v>0.8</v>
      </c>
      <c r="AO53">
        <f t="shared" si="2"/>
        <v>1</v>
      </c>
      <c r="AP53">
        <f t="shared" si="3"/>
        <v>60.25</v>
      </c>
      <c r="AR53">
        <f t="shared" si="4"/>
        <v>148.54651162790697</v>
      </c>
    </row>
    <row r="54" spans="1:44">
      <c r="A54" t="s">
        <v>308</v>
      </c>
      <c r="B54">
        <v>52</v>
      </c>
      <c r="C54" s="16" t="s">
        <v>309</v>
      </c>
      <c r="D54" s="16" t="s">
        <v>309</v>
      </c>
      <c r="E54" s="16" t="s">
        <v>304</v>
      </c>
      <c r="F54" s="16" t="s">
        <v>83</v>
      </c>
      <c r="G54" s="16" t="s">
        <v>305</v>
      </c>
      <c r="H54" s="16" t="s">
        <v>85</v>
      </c>
      <c r="I54" s="16" t="s">
        <v>310</v>
      </c>
      <c r="J54" s="16" t="s">
        <v>87</v>
      </c>
      <c r="K54" s="16" t="s">
        <v>88</v>
      </c>
      <c r="L54" s="17">
        <v>2500</v>
      </c>
      <c r="M54" s="17">
        <v>80</v>
      </c>
      <c r="N54" s="17" t="s">
        <v>89</v>
      </c>
      <c r="O54" s="17" t="s">
        <v>89</v>
      </c>
      <c r="P54" s="16">
        <v>23</v>
      </c>
      <c r="Q54" s="16">
        <v>4.2</v>
      </c>
      <c r="R54" s="16">
        <v>3.7</v>
      </c>
      <c r="S54" s="16">
        <v>2.7</v>
      </c>
      <c r="T54" s="16">
        <f>1/2*P54</f>
        <v>11.5</v>
      </c>
      <c r="U54" s="16">
        <f>5*P54</f>
        <v>115</v>
      </c>
      <c r="V54" s="18">
        <v>1</v>
      </c>
      <c r="W54" s="16">
        <v>470</v>
      </c>
      <c r="Y54" s="16">
        <f>3*P54</f>
        <v>69</v>
      </c>
      <c r="Z54" s="16">
        <f>1/2*P54</f>
        <v>11.5</v>
      </c>
      <c r="AA54" s="18">
        <v>1</v>
      </c>
      <c r="AB54" s="19" t="s">
        <v>89</v>
      </c>
      <c r="AC54" s="17">
        <v>253</v>
      </c>
      <c r="AD54" s="20">
        <v>5.8</v>
      </c>
      <c r="AE54" s="20">
        <v>172</v>
      </c>
      <c r="AF54" s="21" t="s">
        <v>90</v>
      </c>
      <c r="AH54" s="17" t="s">
        <v>307</v>
      </c>
      <c r="AJ54" s="24" t="s">
        <v>98</v>
      </c>
      <c r="AL54" s="19" t="s">
        <v>94</v>
      </c>
      <c r="AM54" s="19" t="s">
        <v>89</v>
      </c>
      <c r="AN54" s="19">
        <v>100</v>
      </c>
      <c r="AO54">
        <f t="shared" si="2"/>
        <v>1</v>
      </c>
      <c r="AP54">
        <f t="shared" si="3"/>
        <v>60.25</v>
      </c>
      <c r="AR54">
        <f t="shared" si="4"/>
        <v>181.06382978723408</v>
      </c>
    </row>
    <row r="55" spans="1:44">
      <c r="A55" t="s">
        <v>311</v>
      </c>
      <c r="B55">
        <v>53</v>
      </c>
      <c r="C55" s="16" t="s">
        <v>312</v>
      </c>
      <c r="D55" s="16" t="s">
        <v>312</v>
      </c>
      <c r="E55" s="16" t="s">
        <v>304</v>
      </c>
      <c r="F55" s="16" t="s">
        <v>83</v>
      </c>
      <c r="G55" s="16" t="s">
        <v>305</v>
      </c>
      <c r="H55" s="16" t="s">
        <v>85</v>
      </c>
      <c r="I55" s="16" t="s">
        <v>313</v>
      </c>
      <c r="J55" s="16" t="s">
        <v>87</v>
      </c>
      <c r="K55" s="16" t="s">
        <v>88</v>
      </c>
      <c r="L55" s="17">
        <v>4000</v>
      </c>
      <c r="M55" s="17">
        <v>80</v>
      </c>
      <c r="N55" s="17" t="s">
        <v>89</v>
      </c>
      <c r="O55" s="17" t="s">
        <v>89</v>
      </c>
      <c r="P55" s="16">
        <v>22</v>
      </c>
      <c r="Q55" s="16">
        <v>4.2</v>
      </c>
      <c r="R55" s="16">
        <v>3.75</v>
      </c>
      <c r="S55" s="16">
        <v>2.7</v>
      </c>
      <c r="T55" s="16">
        <f>1/2*P55</f>
        <v>11</v>
      </c>
      <c r="U55" s="16">
        <f>5*P55</f>
        <v>110</v>
      </c>
      <c r="V55" s="18">
        <v>1</v>
      </c>
      <c r="W55" s="16">
        <v>480</v>
      </c>
      <c r="Y55" s="16">
        <f>3*P55</f>
        <v>66</v>
      </c>
      <c r="Z55" s="16">
        <f>1/2*P55</f>
        <v>11</v>
      </c>
      <c r="AA55" s="18">
        <v>1</v>
      </c>
      <c r="AB55" s="19" t="s">
        <v>89</v>
      </c>
      <c r="AC55" s="17">
        <v>253</v>
      </c>
      <c r="AD55" s="20">
        <v>5.8</v>
      </c>
      <c r="AE55" s="20">
        <v>172</v>
      </c>
      <c r="AF55" s="21" t="s">
        <v>90</v>
      </c>
      <c r="AH55" s="17" t="s">
        <v>307</v>
      </c>
      <c r="AJ55" s="24" t="s">
        <v>98</v>
      </c>
      <c r="AL55" s="19" t="s">
        <v>94</v>
      </c>
      <c r="AM55" s="19" t="s">
        <v>89</v>
      </c>
      <c r="AN55" s="23">
        <v>0.8</v>
      </c>
      <c r="AO55">
        <f t="shared" si="2"/>
        <v>1</v>
      </c>
      <c r="AP55">
        <f t="shared" si="3"/>
        <v>60.25</v>
      </c>
      <c r="AR55">
        <f t="shared" si="4"/>
        <v>171.875</v>
      </c>
    </row>
    <row r="56" spans="1:44">
      <c r="A56" t="s">
        <v>314</v>
      </c>
      <c r="B56">
        <v>54</v>
      </c>
      <c r="C56" s="16" t="s">
        <v>315</v>
      </c>
      <c r="D56" s="16" t="s">
        <v>315</v>
      </c>
      <c r="E56" s="16" t="s">
        <v>82</v>
      </c>
      <c r="F56" s="16" t="s">
        <v>83</v>
      </c>
      <c r="G56" s="16" t="s">
        <v>84</v>
      </c>
      <c r="H56" s="16" t="s">
        <v>85</v>
      </c>
      <c r="I56" s="16" t="s">
        <v>316</v>
      </c>
      <c r="J56" s="16" t="s">
        <v>87</v>
      </c>
      <c r="K56" s="16" t="s">
        <v>88</v>
      </c>
      <c r="L56" s="17">
        <v>6000</v>
      </c>
      <c r="M56" s="17">
        <v>70</v>
      </c>
      <c r="N56" s="16">
        <v>463</v>
      </c>
      <c r="O56" s="16">
        <v>195</v>
      </c>
      <c r="P56" s="16">
        <v>60</v>
      </c>
      <c r="Q56" s="16">
        <v>4.2</v>
      </c>
      <c r="R56" s="16">
        <v>3.68</v>
      </c>
      <c r="S56" s="16">
        <v>2.7</v>
      </c>
      <c r="T56" s="16">
        <f>P56*0.2</f>
        <v>12</v>
      </c>
      <c r="U56" s="16">
        <f>3*P56</f>
        <v>180</v>
      </c>
      <c r="V56" s="18">
        <v>1</v>
      </c>
      <c r="W56" s="16">
        <v>1140</v>
      </c>
      <c r="Y56" s="16">
        <v>120</v>
      </c>
      <c r="Z56" s="16">
        <f>P56*0.2</f>
        <v>12</v>
      </c>
      <c r="AA56" s="18">
        <v>1</v>
      </c>
      <c r="AB56" s="19" t="s">
        <v>89</v>
      </c>
      <c r="AC56" s="17">
        <v>227</v>
      </c>
      <c r="AD56" s="17">
        <v>12</v>
      </c>
      <c r="AE56" s="17">
        <v>226</v>
      </c>
      <c r="AF56" s="21" t="s">
        <v>90</v>
      </c>
      <c r="AG56" s="17">
        <v>2020</v>
      </c>
      <c r="AH56" s="17" t="s">
        <v>91</v>
      </c>
      <c r="AI56" s="17" t="s">
        <v>91</v>
      </c>
      <c r="AJ56" s="22" t="s">
        <v>317</v>
      </c>
      <c r="AK56" s="17" t="s">
        <v>93</v>
      </c>
      <c r="AL56" s="19" t="s">
        <v>94</v>
      </c>
      <c r="AM56" s="19" t="s">
        <v>89</v>
      </c>
      <c r="AN56" s="23">
        <v>0.9</v>
      </c>
      <c r="AO56">
        <f t="shared" si="2"/>
        <v>1</v>
      </c>
      <c r="AP56">
        <f t="shared" si="3"/>
        <v>60.25</v>
      </c>
      <c r="AR56">
        <f t="shared" si="4"/>
        <v>193.68421052631581</v>
      </c>
    </row>
    <row r="57" spans="1:44">
      <c r="A57" t="s">
        <v>318</v>
      </c>
      <c r="B57">
        <v>55</v>
      </c>
      <c r="C57" s="16" t="s">
        <v>319</v>
      </c>
      <c r="D57" s="16" t="s">
        <v>319</v>
      </c>
      <c r="E57" s="16" t="s">
        <v>304</v>
      </c>
      <c r="F57" s="16" t="s">
        <v>83</v>
      </c>
      <c r="G57" s="16" t="s">
        <v>305</v>
      </c>
      <c r="H57" s="16" t="s">
        <v>85</v>
      </c>
      <c r="I57" s="16" t="s">
        <v>320</v>
      </c>
      <c r="J57" s="16" t="s">
        <v>87</v>
      </c>
      <c r="K57" s="16" t="s">
        <v>88</v>
      </c>
      <c r="L57" s="17">
        <v>4000</v>
      </c>
      <c r="M57" s="17">
        <v>80</v>
      </c>
      <c r="N57" s="17" t="s">
        <v>89</v>
      </c>
      <c r="O57" s="17" t="s">
        <v>89</v>
      </c>
      <c r="P57" s="16">
        <v>25</v>
      </c>
      <c r="Q57" s="16">
        <v>4.2</v>
      </c>
      <c r="R57" s="16">
        <v>3.7</v>
      </c>
      <c r="S57" s="16">
        <v>2.7</v>
      </c>
      <c r="T57" s="16">
        <v>8.3000000000000007</v>
      </c>
      <c r="U57" s="16">
        <f>3*P57</f>
        <v>75</v>
      </c>
      <c r="V57" s="18">
        <v>1</v>
      </c>
      <c r="W57" s="16">
        <v>480</v>
      </c>
      <c r="Y57" s="16">
        <f>2*P57</f>
        <v>50</v>
      </c>
      <c r="Z57" s="16">
        <v>8.3000000000000007</v>
      </c>
      <c r="AA57" s="18">
        <v>1</v>
      </c>
      <c r="AB57" s="19" t="s">
        <v>89</v>
      </c>
      <c r="AC57" s="17">
        <v>253</v>
      </c>
      <c r="AD57" s="20">
        <v>5.8</v>
      </c>
      <c r="AE57" s="20">
        <v>172</v>
      </c>
      <c r="AF57" s="21" t="s">
        <v>90</v>
      </c>
      <c r="AH57" s="17" t="s">
        <v>307</v>
      </c>
      <c r="AJ57" s="24" t="s">
        <v>98</v>
      </c>
      <c r="AL57" s="19" t="s">
        <v>94</v>
      </c>
      <c r="AM57" s="19" t="s">
        <v>89</v>
      </c>
      <c r="AN57" s="23">
        <v>0.8</v>
      </c>
      <c r="AO57">
        <f t="shared" si="2"/>
        <v>1</v>
      </c>
      <c r="AP57">
        <f t="shared" si="3"/>
        <v>60.25</v>
      </c>
      <c r="AR57">
        <f t="shared" si="4"/>
        <v>192.70833333333334</v>
      </c>
    </row>
    <row r="58" spans="1:44">
      <c r="A58" t="s">
        <v>321</v>
      </c>
      <c r="B58">
        <v>56</v>
      </c>
      <c r="C58" s="16" t="s">
        <v>322</v>
      </c>
      <c r="D58" s="16" t="s">
        <v>322</v>
      </c>
      <c r="E58" s="16" t="s">
        <v>304</v>
      </c>
      <c r="F58" s="16" t="s">
        <v>83</v>
      </c>
      <c r="G58" s="16" t="s">
        <v>286</v>
      </c>
      <c r="H58" s="16" t="s">
        <v>85</v>
      </c>
      <c r="I58" s="16" t="s">
        <v>323</v>
      </c>
      <c r="J58" s="16" t="s">
        <v>87</v>
      </c>
      <c r="K58" s="16" t="s">
        <v>88</v>
      </c>
      <c r="L58" s="17">
        <v>4000</v>
      </c>
      <c r="M58" s="17">
        <v>80</v>
      </c>
      <c r="N58" s="16">
        <v>440</v>
      </c>
      <c r="O58" s="16">
        <v>214</v>
      </c>
      <c r="P58" s="16">
        <v>25</v>
      </c>
      <c r="Q58" s="16">
        <v>4.2</v>
      </c>
      <c r="R58" s="16">
        <v>3.7</v>
      </c>
      <c r="S58" s="16">
        <v>2.7</v>
      </c>
      <c r="T58" s="16">
        <v>10</v>
      </c>
      <c r="U58" s="16">
        <v>60</v>
      </c>
      <c r="V58" s="18">
        <v>1</v>
      </c>
      <c r="W58" s="16">
        <v>520</v>
      </c>
      <c r="Y58" s="16">
        <v>30</v>
      </c>
      <c r="Z58" s="16">
        <v>10</v>
      </c>
      <c r="AA58" s="18">
        <v>1</v>
      </c>
      <c r="AB58" s="19" t="s">
        <v>89</v>
      </c>
      <c r="AC58" s="17">
        <v>253</v>
      </c>
      <c r="AD58" s="20">
        <v>5.8</v>
      </c>
      <c r="AE58" s="20">
        <v>172</v>
      </c>
      <c r="AF58" s="21" t="s">
        <v>90</v>
      </c>
      <c r="AH58" s="17" t="s">
        <v>307</v>
      </c>
      <c r="AJ58" s="24" t="s">
        <v>98</v>
      </c>
      <c r="AL58" s="19" t="s">
        <v>94</v>
      </c>
      <c r="AM58" s="19" t="s">
        <v>89</v>
      </c>
      <c r="AN58" s="23">
        <v>0.8</v>
      </c>
      <c r="AO58">
        <f t="shared" si="2"/>
        <v>1</v>
      </c>
      <c r="AP58">
        <f t="shared" si="3"/>
        <v>60.25</v>
      </c>
      <c r="AR58">
        <f t="shared" si="4"/>
        <v>177.88461538461539</v>
      </c>
    </row>
    <row r="59" spans="1:44">
      <c r="A59" t="s">
        <v>324</v>
      </c>
      <c r="B59">
        <v>57</v>
      </c>
      <c r="C59" s="16" t="s">
        <v>325</v>
      </c>
      <c r="D59" s="16" t="s">
        <v>325</v>
      </c>
      <c r="E59" s="16" t="s">
        <v>304</v>
      </c>
      <c r="F59" s="16" t="s">
        <v>83</v>
      </c>
      <c r="G59" s="16" t="s">
        <v>305</v>
      </c>
      <c r="H59" s="16" t="s">
        <v>85</v>
      </c>
      <c r="I59" s="16" t="s">
        <v>326</v>
      </c>
      <c r="J59" s="16" t="s">
        <v>87</v>
      </c>
      <c r="K59" s="16" t="s">
        <v>88</v>
      </c>
      <c r="L59" s="17">
        <v>4000</v>
      </c>
      <c r="M59" s="17">
        <v>90</v>
      </c>
      <c r="N59" s="17" t="s">
        <v>89</v>
      </c>
      <c r="O59" s="17" t="s">
        <v>89</v>
      </c>
      <c r="P59" s="16">
        <v>16</v>
      </c>
      <c r="Q59" s="16">
        <v>4.0999999999999996</v>
      </c>
      <c r="R59" s="16">
        <v>3.65</v>
      </c>
      <c r="S59" s="16">
        <v>2.5</v>
      </c>
      <c r="T59" s="16">
        <f>1/3*P59</f>
        <v>5.333333333333333</v>
      </c>
      <c r="U59" s="16">
        <f>5*P59</f>
        <v>80</v>
      </c>
      <c r="V59" s="18">
        <v>1</v>
      </c>
      <c r="W59" s="16">
        <v>430</v>
      </c>
      <c r="Y59" s="16">
        <f>5*P59</f>
        <v>80</v>
      </c>
      <c r="Z59" s="16">
        <f>1/3*P59</f>
        <v>5.333333333333333</v>
      </c>
      <c r="AA59" s="18">
        <v>1</v>
      </c>
      <c r="AB59" s="19" t="s">
        <v>89</v>
      </c>
      <c r="AC59" s="17">
        <v>253</v>
      </c>
      <c r="AD59" s="20">
        <v>5.8</v>
      </c>
      <c r="AE59" s="20">
        <v>172</v>
      </c>
      <c r="AF59" s="21" t="s">
        <v>90</v>
      </c>
      <c r="AH59" s="17" t="s">
        <v>307</v>
      </c>
      <c r="AJ59" s="24" t="s">
        <v>98</v>
      </c>
      <c r="AL59" s="19" t="s">
        <v>94</v>
      </c>
      <c r="AM59" s="19" t="s">
        <v>89</v>
      </c>
      <c r="AN59" s="23">
        <v>0.8</v>
      </c>
      <c r="AO59">
        <f t="shared" si="2"/>
        <v>1</v>
      </c>
      <c r="AP59">
        <f t="shared" si="3"/>
        <v>60.25</v>
      </c>
      <c r="AR59">
        <f t="shared" si="4"/>
        <v>135.81395348837208</v>
      </c>
    </row>
    <row r="60" spans="1:44">
      <c r="A60" t="s">
        <v>327</v>
      </c>
      <c r="B60">
        <v>58</v>
      </c>
      <c r="C60" s="16" t="s">
        <v>328</v>
      </c>
      <c r="D60" s="16" t="s">
        <v>328</v>
      </c>
      <c r="E60" s="16" t="s">
        <v>304</v>
      </c>
      <c r="F60" s="16" t="s">
        <v>83</v>
      </c>
      <c r="G60" s="16" t="s">
        <v>305</v>
      </c>
      <c r="H60" s="16" t="s">
        <v>85</v>
      </c>
      <c r="I60" s="16" t="s">
        <v>329</v>
      </c>
      <c r="J60" s="16" t="s">
        <v>87</v>
      </c>
      <c r="K60" s="16" t="s">
        <v>88</v>
      </c>
      <c r="L60" s="17">
        <v>4000</v>
      </c>
      <c r="M60" s="17">
        <v>90</v>
      </c>
      <c r="N60" s="17" t="s">
        <v>89</v>
      </c>
      <c r="O60" s="17" t="s">
        <v>89</v>
      </c>
      <c r="P60" s="16">
        <v>12</v>
      </c>
      <c r="Q60" s="16">
        <v>4.0999999999999996</v>
      </c>
      <c r="R60" s="16">
        <v>3.65</v>
      </c>
      <c r="S60" s="16">
        <v>2.5</v>
      </c>
      <c r="T60" s="16">
        <v>6</v>
      </c>
      <c r="U60" s="16">
        <f>2*P60</f>
        <v>24</v>
      </c>
      <c r="V60" s="18">
        <v>1</v>
      </c>
      <c r="W60" s="16">
        <v>240</v>
      </c>
      <c r="Y60" s="16">
        <f t="shared" ref="Y60:Y65" si="10">1*P60</f>
        <v>12</v>
      </c>
      <c r="Z60" s="16">
        <v>6</v>
      </c>
      <c r="AA60" s="18">
        <v>1</v>
      </c>
      <c r="AB60" s="19" t="s">
        <v>89</v>
      </c>
      <c r="AC60" s="17">
        <v>253</v>
      </c>
      <c r="AD60" s="20">
        <v>5.8</v>
      </c>
      <c r="AE60" s="20">
        <v>172</v>
      </c>
      <c r="AF60" s="21" t="s">
        <v>90</v>
      </c>
      <c r="AH60" s="17" t="s">
        <v>307</v>
      </c>
      <c r="AJ60" s="24" t="s">
        <v>98</v>
      </c>
      <c r="AL60" s="19" t="s">
        <v>94</v>
      </c>
      <c r="AM60" s="19" t="s">
        <v>89</v>
      </c>
      <c r="AN60" s="23">
        <v>0.8</v>
      </c>
      <c r="AO60">
        <f t="shared" si="2"/>
        <v>1</v>
      </c>
      <c r="AP60">
        <f t="shared" si="3"/>
        <v>60.25</v>
      </c>
      <c r="AR60">
        <f t="shared" si="4"/>
        <v>182.5</v>
      </c>
    </row>
    <row r="61" spans="1:44">
      <c r="A61" t="s">
        <v>330</v>
      </c>
      <c r="B61">
        <v>59</v>
      </c>
      <c r="C61" s="16" t="s">
        <v>331</v>
      </c>
      <c r="D61" s="16" t="s">
        <v>331</v>
      </c>
      <c r="E61" s="16" t="s">
        <v>304</v>
      </c>
      <c r="F61" s="16" t="s">
        <v>83</v>
      </c>
      <c r="G61" s="16" t="s">
        <v>305</v>
      </c>
      <c r="H61" s="16" t="s">
        <v>85</v>
      </c>
      <c r="I61" s="16" t="s">
        <v>332</v>
      </c>
      <c r="J61" s="16" t="s">
        <v>87</v>
      </c>
      <c r="K61" s="16" t="s">
        <v>88</v>
      </c>
      <c r="L61" s="17">
        <v>2000</v>
      </c>
      <c r="M61" s="17">
        <v>80</v>
      </c>
      <c r="N61" s="17" t="s">
        <v>89</v>
      </c>
      <c r="O61" s="17" t="s">
        <v>89</v>
      </c>
      <c r="P61" s="16">
        <v>40</v>
      </c>
      <c r="Q61" s="16">
        <v>4.2</v>
      </c>
      <c r="R61" s="16">
        <v>3.7</v>
      </c>
      <c r="S61" s="16">
        <v>3</v>
      </c>
      <c r="T61" s="16">
        <f>1/2*P61</f>
        <v>20</v>
      </c>
      <c r="U61" s="16">
        <f>4*P61</f>
        <v>160</v>
      </c>
      <c r="V61" s="18">
        <v>1</v>
      </c>
      <c r="W61" s="16">
        <v>990</v>
      </c>
      <c r="Y61" s="16">
        <f t="shared" si="10"/>
        <v>40</v>
      </c>
      <c r="Z61" s="16">
        <f>1/2*P61</f>
        <v>20</v>
      </c>
      <c r="AA61" s="18">
        <v>1</v>
      </c>
      <c r="AB61" s="19" t="s">
        <v>89</v>
      </c>
      <c r="AC61" s="17">
        <v>260</v>
      </c>
      <c r="AD61" s="20">
        <v>9</v>
      </c>
      <c r="AE61" s="20">
        <v>190</v>
      </c>
      <c r="AF61" s="21" t="s">
        <v>90</v>
      </c>
      <c r="AH61" s="17" t="s">
        <v>307</v>
      </c>
      <c r="AJ61" s="24" t="s">
        <v>98</v>
      </c>
      <c r="AL61" s="19" t="s">
        <v>94</v>
      </c>
      <c r="AM61" s="19">
        <v>0.05</v>
      </c>
      <c r="AN61" s="19" t="s">
        <v>89</v>
      </c>
      <c r="AO61">
        <f t="shared" si="2"/>
        <v>1</v>
      </c>
      <c r="AP61">
        <f t="shared" si="3"/>
        <v>60.25</v>
      </c>
      <c r="AR61">
        <f t="shared" si="4"/>
        <v>149.49494949494951</v>
      </c>
    </row>
    <row r="62" spans="1:44">
      <c r="A62" t="s">
        <v>333</v>
      </c>
      <c r="B62">
        <v>60</v>
      </c>
      <c r="C62" s="16" t="s">
        <v>334</v>
      </c>
      <c r="D62" s="16" t="s">
        <v>334</v>
      </c>
      <c r="E62" s="16" t="s">
        <v>304</v>
      </c>
      <c r="F62" s="16" t="s">
        <v>83</v>
      </c>
      <c r="G62" s="16" t="s">
        <v>305</v>
      </c>
      <c r="H62" s="16" t="s">
        <v>85</v>
      </c>
      <c r="I62" s="16" t="s">
        <v>335</v>
      </c>
      <c r="J62" s="16" t="s">
        <v>87</v>
      </c>
      <c r="K62" s="16" t="s">
        <v>88</v>
      </c>
      <c r="L62" s="17" t="s">
        <v>89</v>
      </c>
      <c r="M62" s="17" t="s">
        <v>89</v>
      </c>
      <c r="N62" s="16">
        <v>451</v>
      </c>
      <c r="O62" s="16">
        <v>204</v>
      </c>
      <c r="P62" s="16">
        <v>3.3</v>
      </c>
      <c r="Q62" s="16">
        <v>4.2</v>
      </c>
      <c r="R62" s="16">
        <v>3.7</v>
      </c>
      <c r="S62" s="16">
        <v>3</v>
      </c>
      <c r="T62" s="16">
        <f>1/2*P62</f>
        <v>1.65</v>
      </c>
      <c r="U62" s="16">
        <f>2*P62</f>
        <v>6.6</v>
      </c>
      <c r="V62" s="18">
        <v>1</v>
      </c>
      <c r="W62" s="16">
        <v>60</v>
      </c>
      <c r="Y62" s="16">
        <f t="shared" si="10"/>
        <v>3.3</v>
      </c>
      <c r="Z62" s="16">
        <f>1/2*P62</f>
        <v>1.65</v>
      </c>
      <c r="AA62" s="18">
        <v>1</v>
      </c>
      <c r="AB62" s="19" t="s">
        <v>89</v>
      </c>
      <c r="AC62" s="17">
        <v>84</v>
      </c>
      <c r="AD62" s="20">
        <v>7</v>
      </c>
      <c r="AE62" s="20">
        <v>46</v>
      </c>
      <c r="AF62" s="21" t="s">
        <v>90</v>
      </c>
      <c r="AG62" s="17">
        <v>2012</v>
      </c>
      <c r="AH62" s="17" t="s">
        <v>307</v>
      </c>
      <c r="AJ62" s="24" t="s">
        <v>336</v>
      </c>
      <c r="AL62" s="19" t="s">
        <v>94</v>
      </c>
      <c r="AM62" s="19" t="s">
        <v>89</v>
      </c>
      <c r="AN62" s="19" t="s">
        <v>89</v>
      </c>
      <c r="AO62">
        <f t="shared" si="2"/>
        <v>1</v>
      </c>
      <c r="AP62">
        <f t="shared" si="3"/>
        <v>60.25</v>
      </c>
      <c r="AR62">
        <f t="shared" si="4"/>
        <v>203.5</v>
      </c>
    </row>
    <row r="63" spans="1:44">
      <c r="A63" t="s">
        <v>337</v>
      </c>
      <c r="B63">
        <v>61</v>
      </c>
      <c r="C63" s="16" t="s">
        <v>338</v>
      </c>
      <c r="D63" s="16" t="s">
        <v>338</v>
      </c>
      <c r="E63" s="16" t="s">
        <v>339</v>
      </c>
      <c r="H63" s="16" t="s">
        <v>85</v>
      </c>
      <c r="I63" s="16" t="s">
        <v>340</v>
      </c>
      <c r="J63" s="16" t="s">
        <v>87</v>
      </c>
      <c r="K63" s="16" t="s">
        <v>88</v>
      </c>
      <c r="L63" s="17">
        <v>300</v>
      </c>
      <c r="M63" s="17">
        <v>80</v>
      </c>
      <c r="N63" s="17" t="s">
        <v>89</v>
      </c>
      <c r="O63" s="17" t="s">
        <v>89</v>
      </c>
      <c r="P63" s="16">
        <v>8.8000000000000007</v>
      </c>
      <c r="Q63" s="16">
        <v>4.2</v>
      </c>
      <c r="R63" s="16">
        <v>3.7</v>
      </c>
      <c r="S63" s="16">
        <v>2.75</v>
      </c>
      <c r="T63" s="16">
        <f>0.2*P63</f>
        <v>1.7600000000000002</v>
      </c>
      <c r="U63" s="16">
        <f>1*P63</f>
        <v>8.8000000000000007</v>
      </c>
      <c r="V63" s="18">
        <v>0.2</v>
      </c>
      <c r="W63" s="16">
        <v>155</v>
      </c>
      <c r="Y63" s="16">
        <f t="shared" si="10"/>
        <v>8.8000000000000007</v>
      </c>
      <c r="Z63" s="16">
        <f>0.2*P63</f>
        <v>1.7600000000000002</v>
      </c>
      <c r="AA63" s="18">
        <v>0.2</v>
      </c>
      <c r="AB63" s="19">
        <v>1</v>
      </c>
      <c r="AC63" s="17">
        <v>90</v>
      </c>
      <c r="AD63" s="20">
        <v>12</v>
      </c>
      <c r="AE63" s="20">
        <v>60</v>
      </c>
      <c r="AF63" s="21" t="s">
        <v>90</v>
      </c>
      <c r="AH63" s="17" t="s">
        <v>91</v>
      </c>
      <c r="AJ63" s="24" t="s">
        <v>98</v>
      </c>
      <c r="AL63" s="19" t="s">
        <v>94</v>
      </c>
      <c r="AM63" s="19" t="s">
        <v>89</v>
      </c>
      <c r="AN63" s="19" t="s">
        <v>89</v>
      </c>
      <c r="AO63">
        <f t="shared" si="2"/>
        <v>1</v>
      </c>
      <c r="AP63">
        <f t="shared" si="3"/>
        <v>60.25</v>
      </c>
      <c r="AR63">
        <f t="shared" si="4"/>
        <v>210.06451612903228</v>
      </c>
    </row>
    <row r="64" spans="1:44">
      <c r="A64" t="s">
        <v>341</v>
      </c>
      <c r="B64">
        <v>62</v>
      </c>
      <c r="C64" s="16" t="s">
        <v>342</v>
      </c>
      <c r="D64" s="16" t="s">
        <v>342</v>
      </c>
      <c r="E64" s="16" t="s">
        <v>339</v>
      </c>
      <c r="H64" s="16" t="s">
        <v>85</v>
      </c>
      <c r="I64" s="16" t="s">
        <v>343</v>
      </c>
      <c r="J64" s="16" t="s">
        <v>87</v>
      </c>
      <c r="K64" s="16" t="s">
        <v>88</v>
      </c>
      <c r="L64" s="17">
        <v>500</v>
      </c>
      <c r="M64" s="17">
        <v>80</v>
      </c>
      <c r="N64" s="17" t="s">
        <v>89</v>
      </c>
      <c r="O64" s="17" t="s">
        <v>89</v>
      </c>
      <c r="P64" s="16">
        <v>4.0999999999999996</v>
      </c>
      <c r="Q64" s="16">
        <v>4.2</v>
      </c>
      <c r="R64" s="16">
        <v>3.7</v>
      </c>
      <c r="S64" s="16">
        <v>2.75</v>
      </c>
      <c r="T64" s="16">
        <f>0.2*P64</f>
        <v>0.82</v>
      </c>
      <c r="U64" s="16">
        <f>1*P64</f>
        <v>4.0999999999999996</v>
      </c>
      <c r="V64" s="18">
        <v>0.2</v>
      </c>
      <c r="W64" s="16">
        <v>70</v>
      </c>
      <c r="Y64" s="16">
        <f t="shared" si="10"/>
        <v>4.0999999999999996</v>
      </c>
      <c r="Z64" s="16">
        <f>0.2*P64</f>
        <v>0.82</v>
      </c>
      <c r="AA64" s="18">
        <v>0.2</v>
      </c>
      <c r="AB64" s="19">
        <v>1</v>
      </c>
      <c r="AC64" s="17">
        <v>85</v>
      </c>
      <c r="AD64" s="20">
        <v>8.5</v>
      </c>
      <c r="AE64" s="20">
        <v>50</v>
      </c>
      <c r="AF64" s="21" t="s">
        <v>90</v>
      </c>
      <c r="AH64" s="17" t="s">
        <v>91</v>
      </c>
      <c r="AJ64" s="24" t="s">
        <v>98</v>
      </c>
      <c r="AL64" s="19" t="s">
        <v>94</v>
      </c>
      <c r="AM64" s="19">
        <v>0.02</v>
      </c>
      <c r="AN64" s="19" t="s">
        <v>89</v>
      </c>
      <c r="AO64">
        <f t="shared" si="2"/>
        <v>1</v>
      </c>
      <c r="AP64">
        <f t="shared" si="3"/>
        <v>60.25</v>
      </c>
      <c r="AR64">
        <f t="shared" si="4"/>
        <v>216.71428571428569</v>
      </c>
    </row>
    <row r="65" spans="1:44">
      <c r="A65" t="s">
        <v>344</v>
      </c>
      <c r="B65">
        <v>63</v>
      </c>
      <c r="C65" s="16" t="s">
        <v>345</v>
      </c>
      <c r="D65" s="16" t="s">
        <v>345</v>
      </c>
      <c r="E65" s="16" t="s">
        <v>339</v>
      </c>
      <c r="H65" s="16" t="s">
        <v>85</v>
      </c>
      <c r="I65" s="16" t="s">
        <v>346</v>
      </c>
      <c r="J65" s="16" t="s">
        <v>87</v>
      </c>
      <c r="K65" s="16" t="s">
        <v>88</v>
      </c>
      <c r="L65" s="17">
        <v>500</v>
      </c>
      <c r="M65" s="17">
        <v>80</v>
      </c>
      <c r="N65" s="17" t="s">
        <v>89</v>
      </c>
      <c r="O65" s="17" t="s">
        <v>89</v>
      </c>
      <c r="P65" s="16">
        <v>10</v>
      </c>
      <c r="Q65" s="16">
        <v>4.2</v>
      </c>
      <c r="R65" s="16">
        <v>3.7</v>
      </c>
      <c r="S65" s="16">
        <v>2.75</v>
      </c>
      <c r="T65" s="16">
        <f>0.2*P65</f>
        <v>2</v>
      </c>
      <c r="U65" s="16">
        <f>1*P65</f>
        <v>10</v>
      </c>
      <c r="V65" s="18">
        <v>0.2</v>
      </c>
      <c r="W65" s="16">
        <v>200</v>
      </c>
      <c r="Y65" s="16">
        <f t="shared" si="10"/>
        <v>10</v>
      </c>
      <c r="Z65" s="16">
        <f>0.2*P65</f>
        <v>2</v>
      </c>
      <c r="AA65" s="18">
        <v>0.2</v>
      </c>
      <c r="AB65" s="19">
        <v>1</v>
      </c>
      <c r="AC65" s="17">
        <v>156</v>
      </c>
      <c r="AD65" s="20">
        <v>9</v>
      </c>
      <c r="AE65" s="20">
        <v>60</v>
      </c>
      <c r="AF65" s="21" t="s">
        <v>90</v>
      </c>
      <c r="AH65" s="17" t="s">
        <v>91</v>
      </c>
      <c r="AJ65" s="24" t="s">
        <v>98</v>
      </c>
      <c r="AL65" s="19" t="s">
        <v>94</v>
      </c>
      <c r="AM65" s="19">
        <v>0.05</v>
      </c>
      <c r="AN65" s="19" t="s">
        <v>89</v>
      </c>
      <c r="AO65">
        <f t="shared" si="2"/>
        <v>1</v>
      </c>
      <c r="AP65">
        <f t="shared" si="3"/>
        <v>60.25</v>
      </c>
      <c r="AR65">
        <f t="shared" si="4"/>
        <v>185</v>
      </c>
    </row>
    <row r="66" spans="1:44">
      <c r="A66" t="s">
        <v>347</v>
      </c>
      <c r="B66">
        <v>64</v>
      </c>
      <c r="C66" s="16" t="s">
        <v>348</v>
      </c>
      <c r="D66" s="16" t="s">
        <v>348</v>
      </c>
      <c r="E66" s="16" t="s">
        <v>339</v>
      </c>
      <c r="H66" s="16" t="s">
        <v>266</v>
      </c>
      <c r="I66" s="16" t="s">
        <v>349</v>
      </c>
      <c r="J66" s="16" t="s">
        <v>87</v>
      </c>
      <c r="K66" s="16" t="s">
        <v>268</v>
      </c>
      <c r="L66" s="17">
        <v>1000</v>
      </c>
      <c r="M66" s="17">
        <v>80</v>
      </c>
      <c r="N66" s="17" t="s">
        <v>89</v>
      </c>
      <c r="O66" s="17" t="s">
        <v>89</v>
      </c>
      <c r="P66" s="16">
        <v>4</v>
      </c>
      <c r="Q66" s="16">
        <v>4.2</v>
      </c>
      <c r="R66" s="16">
        <v>3.7</v>
      </c>
      <c r="S66" s="16">
        <v>2.75</v>
      </c>
      <c r="T66" s="16">
        <f>0.2*P66</f>
        <v>0.8</v>
      </c>
      <c r="U66" s="16">
        <v>12</v>
      </c>
      <c r="V66" s="18">
        <v>0.2</v>
      </c>
      <c r="W66" s="16">
        <v>69</v>
      </c>
      <c r="Y66" s="16">
        <v>2</v>
      </c>
      <c r="Z66" s="16">
        <f>0.2*P66</f>
        <v>0.8</v>
      </c>
      <c r="AA66" s="18">
        <v>0.2</v>
      </c>
      <c r="AB66" s="19">
        <v>0.5</v>
      </c>
      <c r="AC66" s="17" t="s">
        <v>90</v>
      </c>
      <c r="AD66" s="17">
        <v>70.5</v>
      </c>
      <c r="AE66" s="20"/>
      <c r="AF66" s="20">
        <v>21.8</v>
      </c>
      <c r="AG66" s="17">
        <v>2018</v>
      </c>
      <c r="AH66" s="17" t="s">
        <v>91</v>
      </c>
      <c r="AJ66" s="24" t="s">
        <v>350</v>
      </c>
      <c r="AL66" s="19" t="s">
        <v>94</v>
      </c>
      <c r="AM66" s="19">
        <v>0.02</v>
      </c>
      <c r="AN66" s="19" t="s">
        <v>89</v>
      </c>
      <c r="AO66">
        <f t="shared" si="2"/>
        <v>3</v>
      </c>
      <c r="AP66">
        <f t="shared" si="3"/>
        <v>64.69</v>
      </c>
      <c r="AR66">
        <f t="shared" si="4"/>
        <v>214.49275362318841</v>
      </c>
    </row>
    <row r="67" spans="1:44">
      <c r="A67" t="s">
        <v>351</v>
      </c>
      <c r="B67">
        <v>65</v>
      </c>
      <c r="C67" s="16" t="s">
        <v>352</v>
      </c>
      <c r="D67" s="16" t="s">
        <v>352</v>
      </c>
      <c r="E67" s="16" t="s">
        <v>82</v>
      </c>
      <c r="F67" s="16" t="s">
        <v>83</v>
      </c>
      <c r="G67" s="16" t="s">
        <v>84</v>
      </c>
      <c r="H67" s="16" t="s">
        <v>85</v>
      </c>
      <c r="I67" s="16" t="s">
        <v>353</v>
      </c>
      <c r="J67" s="16" t="s">
        <v>87</v>
      </c>
      <c r="K67" s="16" t="s">
        <v>88</v>
      </c>
      <c r="L67" s="17">
        <v>3000</v>
      </c>
      <c r="M67" s="17">
        <v>70</v>
      </c>
      <c r="N67" s="16">
        <v>525</v>
      </c>
      <c r="O67" s="16">
        <v>225</v>
      </c>
      <c r="P67" s="16">
        <v>70</v>
      </c>
      <c r="Q67" s="16">
        <v>4.2</v>
      </c>
      <c r="R67" s="16">
        <v>3.67</v>
      </c>
      <c r="S67" s="16">
        <v>2.7</v>
      </c>
      <c r="T67" s="16">
        <f>P67*0.2</f>
        <v>14</v>
      </c>
      <c r="U67" s="16">
        <f>2*P67</f>
        <v>140</v>
      </c>
      <c r="V67" s="18">
        <v>1</v>
      </c>
      <c r="W67" s="16">
        <v>1150</v>
      </c>
      <c r="Y67" s="16">
        <v>70</v>
      </c>
      <c r="Z67" s="16">
        <f>P67*0.2</f>
        <v>14</v>
      </c>
      <c r="AA67" s="18">
        <v>1</v>
      </c>
      <c r="AB67" s="19" t="s">
        <v>89</v>
      </c>
      <c r="AC67" s="17">
        <v>227</v>
      </c>
      <c r="AD67" s="17">
        <v>12.3</v>
      </c>
      <c r="AE67" s="17">
        <v>226</v>
      </c>
      <c r="AF67" s="21" t="s">
        <v>90</v>
      </c>
      <c r="AG67" s="17">
        <v>2020</v>
      </c>
      <c r="AH67" s="17" t="s">
        <v>91</v>
      </c>
      <c r="AI67" s="17" t="s">
        <v>91</v>
      </c>
      <c r="AJ67" s="22" t="s">
        <v>354</v>
      </c>
      <c r="AL67" s="19" t="s">
        <v>94</v>
      </c>
      <c r="AM67" s="19" t="s">
        <v>89</v>
      </c>
      <c r="AN67" s="23">
        <v>0.9</v>
      </c>
      <c r="AO67">
        <f t="shared" si="2"/>
        <v>1</v>
      </c>
      <c r="AP67">
        <f t="shared" si="3"/>
        <v>60.25</v>
      </c>
      <c r="AR67">
        <f t="shared" si="4"/>
        <v>223.39130434782609</v>
      </c>
    </row>
    <row r="68" spans="1:44">
      <c r="A68" t="s">
        <v>355</v>
      </c>
      <c r="B68">
        <v>66</v>
      </c>
      <c r="C68" s="16" t="s">
        <v>356</v>
      </c>
      <c r="D68" s="16" t="s">
        <v>356</v>
      </c>
      <c r="E68" s="16" t="s">
        <v>339</v>
      </c>
      <c r="H68" s="16" t="s">
        <v>266</v>
      </c>
      <c r="I68" s="16" t="s">
        <v>357</v>
      </c>
      <c r="J68" s="16" t="s">
        <v>87</v>
      </c>
      <c r="K68" s="16" t="s">
        <v>268</v>
      </c>
      <c r="L68" s="17">
        <v>1000</v>
      </c>
      <c r="M68" s="17">
        <v>80</v>
      </c>
      <c r="N68" s="17" t="s">
        <v>89</v>
      </c>
      <c r="O68" s="17" t="s">
        <v>89</v>
      </c>
      <c r="P68" s="16">
        <v>5</v>
      </c>
      <c r="Q68" s="16">
        <v>4.2</v>
      </c>
      <c r="R68" s="16">
        <v>3.7</v>
      </c>
      <c r="S68" s="16">
        <v>2.75</v>
      </c>
      <c r="T68" s="16">
        <f>0.2*P68</f>
        <v>1</v>
      </c>
      <c r="U68" s="16">
        <v>5</v>
      </c>
      <c r="V68" s="18">
        <v>0.2</v>
      </c>
      <c r="W68" s="16">
        <v>80</v>
      </c>
      <c r="Y68" s="16">
        <v>2.5</v>
      </c>
      <c r="Z68" s="16">
        <f>0.2*P68</f>
        <v>1</v>
      </c>
      <c r="AA68" s="18">
        <v>0.2</v>
      </c>
      <c r="AB68" s="19">
        <v>0.5</v>
      </c>
      <c r="AC68" s="17" t="s">
        <v>90</v>
      </c>
      <c r="AD68" s="17">
        <v>65</v>
      </c>
      <c r="AE68" s="20"/>
      <c r="AF68" s="20">
        <v>26</v>
      </c>
      <c r="AG68" s="17">
        <v>2018</v>
      </c>
      <c r="AH68" s="17" t="s">
        <v>91</v>
      </c>
      <c r="AJ68" s="24" t="s">
        <v>358</v>
      </c>
      <c r="AK68" s="17" t="s">
        <v>359</v>
      </c>
      <c r="AL68" s="19" t="s">
        <v>94</v>
      </c>
      <c r="AM68" s="19">
        <v>0.01</v>
      </c>
      <c r="AN68" s="19" t="s">
        <v>89</v>
      </c>
      <c r="AO68">
        <f t="shared" ref="AO68:AO131" si="11">IF(H68="Pouch",1,IF(H68="Prismatic",2,IF(H68="Cylindrical",3,"")))</f>
        <v>3</v>
      </c>
      <c r="AP68">
        <f t="shared" ref="AP68:AP131" si="12">IF(AO68=1, 60.25, IF(AO68=2, 60.79, IF(AO68=3, 64.69, 0)))</f>
        <v>64.69</v>
      </c>
      <c r="AR68">
        <f t="shared" ref="AR68:AR131" si="13">P68*R68/(W68/1000)</f>
        <v>231.25</v>
      </c>
    </row>
    <row r="69" spans="1:44">
      <c r="A69" t="s">
        <v>360</v>
      </c>
      <c r="B69">
        <v>67</v>
      </c>
      <c r="C69" s="16" t="s">
        <v>361</v>
      </c>
      <c r="D69" s="16" t="s">
        <v>361</v>
      </c>
      <c r="E69" s="16" t="s">
        <v>339</v>
      </c>
      <c r="H69" s="16" t="s">
        <v>266</v>
      </c>
      <c r="I69" s="16" t="s">
        <v>362</v>
      </c>
      <c r="J69" s="16" t="s">
        <v>87</v>
      </c>
      <c r="K69" s="16" t="s">
        <v>268</v>
      </c>
      <c r="L69" s="17">
        <v>1000</v>
      </c>
      <c r="M69" s="17">
        <v>80</v>
      </c>
      <c r="N69" s="17" t="s">
        <v>89</v>
      </c>
      <c r="O69" s="17" t="s">
        <v>89</v>
      </c>
      <c r="P69" s="16">
        <v>6</v>
      </c>
      <c r="Q69" s="16">
        <v>4.2</v>
      </c>
      <c r="R69" s="16">
        <v>3.7</v>
      </c>
      <c r="S69" s="16">
        <v>2.75</v>
      </c>
      <c r="T69" s="16">
        <v>3</v>
      </c>
      <c r="U69" s="16">
        <v>6</v>
      </c>
      <c r="V69" s="18">
        <v>0.2</v>
      </c>
      <c r="W69" s="16">
        <v>140</v>
      </c>
      <c r="Y69" s="16">
        <v>3</v>
      </c>
      <c r="Z69" s="16">
        <f>0.2*P69</f>
        <v>1.2000000000000002</v>
      </c>
      <c r="AA69" s="18">
        <v>0.2</v>
      </c>
      <c r="AB69" s="19">
        <v>0.5</v>
      </c>
      <c r="AC69" s="17" t="s">
        <v>90</v>
      </c>
      <c r="AD69" s="17">
        <v>65</v>
      </c>
      <c r="AE69" s="20"/>
      <c r="AF69" s="20">
        <v>32</v>
      </c>
      <c r="AG69" s="17">
        <v>2018</v>
      </c>
      <c r="AH69" s="17" t="s">
        <v>91</v>
      </c>
      <c r="AJ69" s="24" t="s">
        <v>363</v>
      </c>
      <c r="AK69" s="17" t="s">
        <v>359</v>
      </c>
      <c r="AL69" s="19" t="s">
        <v>94</v>
      </c>
      <c r="AM69" s="19">
        <v>0.01</v>
      </c>
      <c r="AN69" s="19" t="s">
        <v>89</v>
      </c>
      <c r="AO69">
        <f t="shared" si="11"/>
        <v>3</v>
      </c>
      <c r="AP69">
        <f t="shared" si="12"/>
        <v>64.69</v>
      </c>
      <c r="AR69">
        <f t="shared" si="13"/>
        <v>158.57142857142858</v>
      </c>
    </row>
    <row r="70" spans="1:44">
      <c r="A70" t="s">
        <v>364</v>
      </c>
      <c r="B70">
        <v>68</v>
      </c>
      <c r="C70" s="16" t="s">
        <v>365</v>
      </c>
      <c r="D70" s="16" t="s">
        <v>365</v>
      </c>
      <c r="E70" s="16" t="s">
        <v>366</v>
      </c>
      <c r="H70" s="16" t="s">
        <v>266</v>
      </c>
      <c r="I70" s="16" t="s">
        <v>367</v>
      </c>
      <c r="J70" s="16" t="s">
        <v>87</v>
      </c>
      <c r="K70" s="16" t="s">
        <v>268</v>
      </c>
      <c r="L70" s="17">
        <v>1000</v>
      </c>
      <c r="M70" s="17">
        <v>80</v>
      </c>
      <c r="N70" s="17" t="s">
        <v>89</v>
      </c>
      <c r="O70" s="17" t="s">
        <v>89</v>
      </c>
      <c r="P70" s="16">
        <v>4.7</v>
      </c>
      <c r="Q70" s="16">
        <v>4.2</v>
      </c>
      <c r="R70" s="16">
        <v>3.7</v>
      </c>
      <c r="S70" s="16">
        <v>2.75</v>
      </c>
      <c r="T70" s="16">
        <f>0.2*P70</f>
        <v>0.94000000000000006</v>
      </c>
      <c r="U70" s="16">
        <f>1.5*P70</f>
        <v>7.0500000000000007</v>
      </c>
      <c r="V70" s="18">
        <v>0.2</v>
      </c>
      <c r="W70" s="16">
        <v>140</v>
      </c>
      <c r="Y70" s="16">
        <v>2.4</v>
      </c>
      <c r="Z70" s="16">
        <v>0.96</v>
      </c>
      <c r="AA70" s="18">
        <v>0.2</v>
      </c>
      <c r="AB70" s="19" t="s">
        <v>89</v>
      </c>
      <c r="AC70" s="17" t="s">
        <v>90</v>
      </c>
      <c r="AD70" s="17">
        <v>70.5</v>
      </c>
      <c r="AE70" s="20"/>
      <c r="AF70" s="20">
        <v>21.8</v>
      </c>
      <c r="AG70" s="17">
        <v>2018</v>
      </c>
      <c r="AH70" s="17" t="s">
        <v>91</v>
      </c>
      <c r="AJ70" s="24" t="s">
        <v>368</v>
      </c>
      <c r="AK70" s="17" t="s">
        <v>369</v>
      </c>
      <c r="AL70" s="19" t="s">
        <v>94</v>
      </c>
      <c r="AM70" s="19" t="s">
        <v>89</v>
      </c>
      <c r="AN70" s="19" t="s">
        <v>89</v>
      </c>
      <c r="AO70">
        <f t="shared" si="11"/>
        <v>3</v>
      </c>
      <c r="AP70">
        <f t="shared" si="12"/>
        <v>64.69</v>
      </c>
      <c r="AR70">
        <f t="shared" si="13"/>
        <v>124.21428571428571</v>
      </c>
    </row>
    <row r="71" spans="1:44">
      <c r="A71" t="s">
        <v>370</v>
      </c>
      <c r="B71">
        <v>69</v>
      </c>
      <c r="C71" s="16" t="s">
        <v>371</v>
      </c>
      <c r="D71" s="16" t="s">
        <v>371</v>
      </c>
      <c r="E71" s="16" t="s">
        <v>372</v>
      </c>
      <c r="H71" s="16" t="s">
        <v>85</v>
      </c>
      <c r="I71" s="16" t="s">
        <v>373</v>
      </c>
      <c r="J71" s="16" t="s">
        <v>87</v>
      </c>
      <c r="K71" s="16" t="s">
        <v>88</v>
      </c>
      <c r="L71" s="17">
        <v>1000</v>
      </c>
      <c r="M71" s="17">
        <v>80</v>
      </c>
      <c r="N71" s="17" t="s">
        <v>89</v>
      </c>
      <c r="O71" s="17" t="s">
        <v>89</v>
      </c>
      <c r="P71" s="16">
        <v>5</v>
      </c>
      <c r="Q71" s="16">
        <v>4.2</v>
      </c>
      <c r="R71" s="16">
        <v>3.7</v>
      </c>
      <c r="S71" s="16">
        <v>2.75</v>
      </c>
      <c r="T71" s="16">
        <f>0.2*P71</f>
        <v>1</v>
      </c>
      <c r="U71" s="16">
        <v>15</v>
      </c>
      <c r="V71" s="18">
        <v>2</v>
      </c>
      <c r="W71" s="16">
        <v>137</v>
      </c>
      <c r="Y71" s="16">
        <v>7.5</v>
      </c>
      <c r="Z71" s="16">
        <f>0.2*P71</f>
        <v>1</v>
      </c>
      <c r="AA71" s="18">
        <v>2</v>
      </c>
      <c r="AB71" s="19" t="s">
        <v>89</v>
      </c>
      <c r="AC71" s="17">
        <v>161</v>
      </c>
      <c r="AD71" s="17">
        <v>6.5</v>
      </c>
      <c r="AE71" s="17">
        <v>78</v>
      </c>
      <c r="AF71" s="21" t="s">
        <v>90</v>
      </c>
      <c r="AI71" s="17" t="s">
        <v>91</v>
      </c>
      <c r="AJ71" s="24" t="s">
        <v>374</v>
      </c>
      <c r="AL71" s="19" t="s">
        <v>94</v>
      </c>
      <c r="AM71" s="19">
        <v>0.1</v>
      </c>
      <c r="AN71" s="19" t="s">
        <v>89</v>
      </c>
      <c r="AO71">
        <f t="shared" si="11"/>
        <v>1</v>
      </c>
      <c r="AP71">
        <f t="shared" si="12"/>
        <v>60.25</v>
      </c>
      <c r="AR71">
        <f t="shared" si="13"/>
        <v>135.03649635036496</v>
      </c>
    </row>
    <row r="72" spans="1:44" ht="15.6" customHeight="1">
      <c r="A72" t="s">
        <v>375</v>
      </c>
      <c r="B72">
        <v>70</v>
      </c>
      <c r="C72" s="16" t="s">
        <v>376</v>
      </c>
      <c r="D72" s="16" t="s">
        <v>376</v>
      </c>
      <c r="E72" s="16" t="s">
        <v>372</v>
      </c>
      <c r="H72" s="16" t="s">
        <v>85</v>
      </c>
      <c r="I72" s="16" t="s">
        <v>377</v>
      </c>
      <c r="J72" s="16" t="s">
        <v>87</v>
      </c>
      <c r="K72" s="16" t="s">
        <v>88</v>
      </c>
      <c r="L72" s="17">
        <v>1000</v>
      </c>
      <c r="M72" s="17">
        <v>80</v>
      </c>
      <c r="N72" s="17" t="s">
        <v>89</v>
      </c>
      <c r="O72" s="17" t="s">
        <v>89</v>
      </c>
      <c r="P72" s="16">
        <v>13</v>
      </c>
      <c r="Q72" s="16">
        <v>4.2</v>
      </c>
      <c r="R72" s="16">
        <v>3.7</v>
      </c>
      <c r="S72" s="16">
        <v>2.75</v>
      </c>
      <c r="T72" s="16">
        <f>0.2*P72</f>
        <v>2.6</v>
      </c>
      <c r="U72" s="16">
        <v>39</v>
      </c>
      <c r="V72" s="18">
        <v>2</v>
      </c>
      <c r="W72" s="16">
        <v>270</v>
      </c>
      <c r="Y72" s="16">
        <v>13</v>
      </c>
      <c r="Z72" s="16">
        <f>0.2*P72</f>
        <v>2.6</v>
      </c>
      <c r="AA72" s="18">
        <v>2</v>
      </c>
      <c r="AB72" s="19" t="s">
        <v>89</v>
      </c>
      <c r="AC72" s="17">
        <v>222</v>
      </c>
      <c r="AD72" s="17">
        <v>6.7</v>
      </c>
      <c r="AE72" s="17">
        <v>100</v>
      </c>
      <c r="AF72" s="21" t="s">
        <v>90</v>
      </c>
      <c r="AI72" s="17" t="s">
        <v>91</v>
      </c>
      <c r="AJ72" s="24" t="s">
        <v>374</v>
      </c>
      <c r="AL72" s="19" t="s">
        <v>94</v>
      </c>
      <c r="AM72" s="19">
        <v>0.1</v>
      </c>
      <c r="AN72" s="19" t="s">
        <v>89</v>
      </c>
      <c r="AO72">
        <f t="shared" si="11"/>
        <v>1</v>
      </c>
      <c r="AP72">
        <f t="shared" si="12"/>
        <v>60.25</v>
      </c>
      <c r="AR72">
        <f t="shared" si="13"/>
        <v>178.14814814814815</v>
      </c>
    </row>
    <row r="73" spans="1:44">
      <c r="A73" t="s">
        <v>378</v>
      </c>
      <c r="B73">
        <v>71</v>
      </c>
      <c r="C73" s="16" t="s">
        <v>379</v>
      </c>
      <c r="D73" s="16" t="s">
        <v>379</v>
      </c>
      <c r="E73" s="16" t="s">
        <v>372</v>
      </c>
      <c r="H73" s="16" t="s">
        <v>85</v>
      </c>
      <c r="I73" s="16" t="s">
        <v>380</v>
      </c>
      <c r="J73" s="16" t="s">
        <v>87</v>
      </c>
      <c r="K73" s="16" t="s">
        <v>88</v>
      </c>
      <c r="L73" s="17">
        <v>1000</v>
      </c>
      <c r="M73" s="17">
        <v>80</v>
      </c>
      <c r="N73" s="17" t="s">
        <v>89</v>
      </c>
      <c r="O73" s="17" t="s">
        <v>89</v>
      </c>
      <c r="P73" s="16">
        <v>15</v>
      </c>
      <c r="Q73" s="16">
        <v>4.2</v>
      </c>
      <c r="R73" s="16">
        <v>3.7</v>
      </c>
      <c r="S73" s="16">
        <v>2.75</v>
      </c>
      <c r="T73" s="16">
        <f>0.2*P73</f>
        <v>3</v>
      </c>
      <c r="U73" s="16">
        <v>45</v>
      </c>
      <c r="V73" s="18">
        <v>2</v>
      </c>
      <c r="W73" s="16">
        <v>307</v>
      </c>
      <c r="Y73" s="16">
        <v>15</v>
      </c>
      <c r="Z73" s="16">
        <f>0.2*P73</f>
        <v>3</v>
      </c>
      <c r="AA73" s="18">
        <v>2</v>
      </c>
      <c r="AB73" s="19" t="s">
        <v>89</v>
      </c>
      <c r="AC73" s="17">
        <v>222</v>
      </c>
      <c r="AD73" s="17">
        <v>7.5</v>
      </c>
      <c r="AE73" s="17">
        <v>100</v>
      </c>
      <c r="AF73" s="21" t="s">
        <v>90</v>
      </c>
      <c r="AI73" s="17" t="s">
        <v>91</v>
      </c>
      <c r="AJ73" s="24" t="s">
        <v>374</v>
      </c>
      <c r="AL73" s="19" t="s">
        <v>94</v>
      </c>
      <c r="AM73" s="19">
        <v>0.1</v>
      </c>
      <c r="AN73" s="19" t="s">
        <v>89</v>
      </c>
      <c r="AO73">
        <f t="shared" si="11"/>
        <v>1</v>
      </c>
      <c r="AP73">
        <f t="shared" si="12"/>
        <v>60.25</v>
      </c>
      <c r="AR73">
        <f t="shared" si="13"/>
        <v>180.78175895765472</v>
      </c>
    </row>
    <row r="74" spans="1:44">
      <c r="A74" t="s">
        <v>381</v>
      </c>
      <c r="B74">
        <v>72</v>
      </c>
      <c r="C74" s="16" t="s">
        <v>382</v>
      </c>
      <c r="D74" s="16" t="s">
        <v>382</v>
      </c>
      <c r="E74" s="16" t="s">
        <v>383</v>
      </c>
      <c r="H74" s="16" t="s">
        <v>266</v>
      </c>
      <c r="I74" s="16" t="s">
        <v>384</v>
      </c>
      <c r="J74" s="16" t="s">
        <v>87</v>
      </c>
      <c r="K74" s="16" t="s">
        <v>268</v>
      </c>
      <c r="L74" s="17">
        <v>500</v>
      </c>
      <c r="M74" s="17">
        <v>80</v>
      </c>
      <c r="N74" s="17" t="s">
        <v>89</v>
      </c>
      <c r="O74" s="17" t="s">
        <v>89</v>
      </c>
      <c r="P74" s="16">
        <v>4</v>
      </c>
      <c r="Q74" s="16">
        <v>4.2</v>
      </c>
      <c r="R74" s="16">
        <v>3.7</v>
      </c>
      <c r="S74" s="16">
        <v>2.75</v>
      </c>
      <c r="T74" s="16">
        <f>0.2*P74</f>
        <v>0.8</v>
      </c>
      <c r="U74" s="16">
        <v>4</v>
      </c>
      <c r="V74" s="18">
        <v>0.2</v>
      </c>
      <c r="W74" s="16">
        <v>69</v>
      </c>
      <c r="Y74" s="16">
        <v>2</v>
      </c>
      <c r="Z74" s="16">
        <v>0.96</v>
      </c>
      <c r="AA74" s="18">
        <v>0.2</v>
      </c>
      <c r="AB74" s="19" t="s">
        <v>89</v>
      </c>
      <c r="AC74" s="17" t="s">
        <v>90</v>
      </c>
      <c r="AD74" s="17">
        <v>70.5</v>
      </c>
      <c r="AE74" s="20"/>
      <c r="AF74" s="20">
        <v>21.8</v>
      </c>
      <c r="AI74" s="17" t="s">
        <v>91</v>
      </c>
      <c r="AJ74" s="24" t="s">
        <v>98</v>
      </c>
      <c r="AL74" s="19" t="s">
        <v>94</v>
      </c>
      <c r="AM74" s="19" t="s">
        <v>89</v>
      </c>
      <c r="AN74" s="19" t="s">
        <v>89</v>
      </c>
      <c r="AO74">
        <f t="shared" si="11"/>
        <v>3</v>
      </c>
      <c r="AP74">
        <f t="shared" si="12"/>
        <v>64.69</v>
      </c>
      <c r="AR74">
        <f t="shared" si="13"/>
        <v>214.49275362318841</v>
      </c>
    </row>
    <row r="75" spans="1:44">
      <c r="A75" t="s">
        <v>385</v>
      </c>
      <c r="B75">
        <v>73</v>
      </c>
      <c r="C75" s="16" t="s">
        <v>386</v>
      </c>
      <c r="D75" s="16" t="s">
        <v>387</v>
      </c>
      <c r="E75" s="16" t="s">
        <v>388</v>
      </c>
      <c r="F75" s="16" t="s">
        <v>389</v>
      </c>
      <c r="G75" s="16" t="s">
        <v>390</v>
      </c>
      <c r="H75" s="16" t="s">
        <v>85</v>
      </c>
      <c r="I75" s="16" t="s">
        <v>391</v>
      </c>
      <c r="J75" s="16" t="s">
        <v>87</v>
      </c>
      <c r="K75" s="16" t="s">
        <v>88</v>
      </c>
      <c r="L75" s="17">
        <v>20000</v>
      </c>
      <c r="M75" s="17">
        <v>80</v>
      </c>
      <c r="N75" s="17" t="s">
        <v>89</v>
      </c>
      <c r="O75" s="17" t="s">
        <v>89</v>
      </c>
      <c r="P75" s="16">
        <v>34</v>
      </c>
      <c r="Q75" s="16">
        <v>2.8</v>
      </c>
      <c r="R75" s="16">
        <v>2.2000000000000002</v>
      </c>
      <c r="S75" s="16">
        <v>1.5</v>
      </c>
      <c r="T75" s="16">
        <f>1*P75</f>
        <v>34</v>
      </c>
      <c r="U75" s="16">
        <v>204</v>
      </c>
      <c r="V75" s="18">
        <v>4</v>
      </c>
      <c r="W75" s="16">
        <v>1080</v>
      </c>
      <c r="X75" s="16">
        <v>475</v>
      </c>
      <c r="Y75" s="16">
        <v>204</v>
      </c>
      <c r="Z75" s="16">
        <f>1*P75</f>
        <v>34</v>
      </c>
      <c r="AA75" s="18">
        <v>4</v>
      </c>
      <c r="AB75" s="19" t="s">
        <v>89</v>
      </c>
      <c r="AC75" s="17">
        <v>286</v>
      </c>
      <c r="AD75" s="20">
        <v>12</v>
      </c>
      <c r="AE75" s="20">
        <v>178.5</v>
      </c>
      <c r="AF75" s="21" t="s">
        <v>90</v>
      </c>
      <c r="AH75" s="17" t="s">
        <v>91</v>
      </c>
      <c r="AJ75" s="24" t="s">
        <v>392</v>
      </c>
      <c r="AK75" s="25" t="s">
        <v>393</v>
      </c>
      <c r="AL75" s="19" t="s">
        <v>94</v>
      </c>
      <c r="AM75" s="19" t="s">
        <v>89</v>
      </c>
      <c r="AN75" s="23">
        <v>0.8</v>
      </c>
      <c r="AO75">
        <f t="shared" si="11"/>
        <v>1</v>
      </c>
      <c r="AP75">
        <f t="shared" si="12"/>
        <v>60.25</v>
      </c>
      <c r="AR75">
        <f t="shared" si="13"/>
        <v>69.259259259259267</v>
      </c>
    </row>
    <row r="76" spans="1:44">
      <c r="A76" t="s">
        <v>394</v>
      </c>
      <c r="B76">
        <v>74</v>
      </c>
      <c r="C76" s="16" t="s">
        <v>395</v>
      </c>
      <c r="D76" s="16" t="s">
        <v>396</v>
      </c>
      <c r="E76" s="16" t="s">
        <v>388</v>
      </c>
      <c r="F76" s="16" t="s">
        <v>83</v>
      </c>
      <c r="G76" s="16" t="s">
        <v>84</v>
      </c>
      <c r="H76" s="16" t="s">
        <v>85</v>
      </c>
      <c r="I76" s="16" t="s">
        <v>397</v>
      </c>
      <c r="J76" s="16" t="s">
        <v>87</v>
      </c>
      <c r="K76" s="16" t="s">
        <v>88</v>
      </c>
      <c r="L76" s="17">
        <v>8000</v>
      </c>
      <c r="M76" s="17">
        <v>80</v>
      </c>
      <c r="N76" s="17" t="s">
        <v>89</v>
      </c>
      <c r="O76" s="17" t="s">
        <v>89</v>
      </c>
      <c r="P76" s="16">
        <v>60</v>
      </c>
      <c r="Q76" s="16">
        <v>4.2</v>
      </c>
      <c r="R76" s="16">
        <v>3.7</v>
      </c>
      <c r="S76" s="16">
        <v>3</v>
      </c>
      <c r="T76" s="16">
        <f>0.2*P76</f>
        <v>12</v>
      </c>
      <c r="U76" s="16">
        <v>180</v>
      </c>
      <c r="V76" s="18">
        <v>1</v>
      </c>
      <c r="W76" s="16">
        <v>1120</v>
      </c>
      <c r="X76" s="16">
        <v>475</v>
      </c>
      <c r="Y76" s="16">
        <v>60</v>
      </c>
      <c r="Z76" s="16">
        <f>0.2*P76</f>
        <v>12</v>
      </c>
      <c r="AA76" s="18">
        <v>1</v>
      </c>
      <c r="AB76" s="19" t="s">
        <v>89</v>
      </c>
      <c r="AC76" s="17">
        <v>286</v>
      </c>
      <c r="AD76" s="20">
        <v>12</v>
      </c>
      <c r="AE76" s="20">
        <v>178.5</v>
      </c>
      <c r="AF76" s="21" t="s">
        <v>90</v>
      </c>
      <c r="AH76" s="17" t="s">
        <v>91</v>
      </c>
      <c r="AJ76" s="24" t="s">
        <v>398</v>
      </c>
      <c r="AK76" s="25" t="s">
        <v>399</v>
      </c>
      <c r="AL76" s="19" t="s">
        <v>94</v>
      </c>
      <c r="AM76" s="19" t="s">
        <v>89</v>
      </c>
      <c r="AN76" s="23">
        <v>1</v>
      </c>
      <c r="AO76">
        <f t="shared" si="11"/>
        <v>1</v>
      </c>
      <c r="AP76">
        <f t="shared" si="12"/>
        <v>60.25</v>
      </c>
      <c r="AR76">
        <f t="shared" si="13"/>
        <v>198.21428571428569</v>
      </c>
    </row>
    <row r="77" spans="1:44">
      <c r="A77" t="s">
        <v>400</v>
      </c>
      <c r="B77">
        <v>75</v>
      </c>
      <c r="C77" s="16" t="s">
        <v>401</v>
      </c>
      <c r="D77" s="16" t="s">
        <v>402</v>
      </c>
      <c r="E77" s="16" t="s">
        <v>388</v>
      </c>
      <c r="F77" s="16" t="s">
        <v>83</v>
      </c>
      <c r="G77" s="16" t="s">
        <v>403</v>
      </c>
      <c r="H77" s="16" t="s">
        <v>85</v>
      </c>
      <c r="I77" s="16" t="s">
        <v>404</v>
      </c>
      <c r="J77" s="16" t="s">
        <v>87</v>
      </c>
      <c r="K77" s="16" t="s">
        <v>88</v>
      </c>
      <c r="L77" s="17">
        <v>7000</v>
      </c>
      <c r="M77" s="17">
        <v>80</v>
      </c>
      <c r="N77" s="17" t="s">
        <v>89</v>
      </c>
      <c r="O77" s="17" t="s">
        <v>89</v>
      </c>
      <c r="P77" s="16">
        <v>65</v>
      </c>
      <c r="Q77" s="16">
        <v>4.3499999999999996</v>
      </c>
      <c r="R77" s="16">
        <v>3.72</v>
      </c>
      <c r="S77" s="16">
        <v>3</v>
      </c>
      <c r="T77" s="16">
        <f>0.2*P77</f>
        <v>13</v>
      </c>
      <c r="U77" s="16">
        <f>3*P77</f>
        <v>195</v>
      </c>
      <c r="V77" s="18">
        <v>1</v>
      </c>
      <c r="W77" s="16">
        <v>1120</v>
      </c>
      <c r="X77" s="16">
        <v>475</v>
      </c>
      <c r="Y77" s="16">
        <v>65</v>
      </c>
      <c r="Z77" s="16">
        <f>0.2*P77</f>
        <v>13</v>
      </c>
      <c r="AA77" s="18">
        <v>1</v>
      </c>
      <c r="AB77" s="19" t="s">
        <v>89</v>
      </c>
      <c r="AC77" s="17">
        <v>286</v>
      </c>
      <c r="AD77" s="20">
        <v>12</v>
      </c>
      <c r="AE77" s="20">
        <v>178.5</v>
      </c>
      <c r="AF77" s="21" t="s">
        <v>90</v>
      </c>
      <c r="AH77" s="17" t="s">
        <v>91</v>
      </c>
      <c r="AJ77" s="24" t="s">
        <v>405</v>
      </c>
      <c r="AK77" s="25" t="s">
        <v>399</v>
      </c>
      <c r="AL77" s="19" t="s">
        <v>94</v>
      </c>
      <c r="AM77" s="19" t="s">
        <v>89</v>
      </c>
      <c r="AN77" s="23">
        <v>1</v>
      </c>
      <c r="AO77">
        <f t="shared" si="11"/>
        <v>1</v>
      </c>
      <c r="AP77">
        <f t="shared" si="12"/>
        <v>60.25</v>
      </c>
      <c r="AR77">
        <f t="shared" si="13"/>
        <v>215.89285714285714</v>
      </c>
    </row>
    <row r="78" spans="1:44">
      <c r="A78" t="s">
        <v>406</v>
      </c>
      <c r="B78">
        <v>76</v>
      </c>
      <c r="C78" s="16" t="s">
        <v>407</v>
      </c>
      <c r="D78" s="16" t="s">
        <v>407</v>
      </c>
      <c r="E78" s="16" t="s">
        <v>82</v>
      </c>
      <c r="F78" s="16" t="s">
        <v>83</v>
      </c>
      <c r="G78" s="16" t="s">
        <v>84</v>
      </c>
      <c r="H78" s="16" t="s">
        <v>85</v>
      </c>
      <c r="I78" s="16" t="s">
        <v>408</v>
      </c>
      <c r="J78" s="16" t="s">
        <v>87</v>
      </c>
      <c r="K78" s="16" t="s">
        <v>88</v>
      </c>
      <c r="L78" s="17">
        <v>6000</v>
      </c>
      <c r="M78" s="17">
        <v>70</v>
      </c>
      <c r="N78" s="16">
        <v>423</v>
      </c>
      <c r="O78" s="16">
        <v>182</v>
      </c>
      <c r="P78" s="16">
        <v>75</v>
      </c>
      <c r="Q78" s="16">
        <v>4.2</v>
      </c>
      <c r="R78" s="16">
        <v>3.7</v>
      </c>
      <c r="S78" s="16">
        <v>2.7</v>
      </c>
      <c r="T78" s="16">
        <f>P78*0.2</f>
        <v>15</v>
      </c>
      <c r="U78" s="16">
        <f>3*P78</f>
        <v>225</v>
      </c>
      <c r="V78" s="18">
        <v>1</v>
      </c>
      <c r="W78" s="16">
        <v>1535</v>
      </c>
      <c r="Y78" s="16">
        <v>75</v>
      </c>
      <c r="Z78" s="16">
        <f>P78*0.2</f>
        <v>15</v>
      </c>
      <c r="AA78" s="18">
        <v>1</v>
      </c>
      <c r="AB78" s="19" t="s">
        <v>89</v>
      </c>
      <c r="AC78" s="17">
        <v>265</v>
      </c>
      <c r="AD78" s="17">
        <v>11.8</v>
      </c>
      <c r="AE78" s="17">
        <v>268</v>
      </c>
      <c r="AF78" s="21" t="s">
        <v>90</v>
      </c>
      <c r="AG78" s="17">
        <v>2020</v>
      </c>
      <c r="AH78" s="17" t="s">
        <v>91</v>
      </c>
      <c r="AI78" s="17" t="s">
        <v>91</v>
      </c>
      <c r="AJ78" s="22" t="s">
        <v>409</v>
      </c>
      <c r="AL78" s="19" t="s">
        <v>94</v>
      </c>
      <c r="AM78" s="19" t="s">
        <v>89</v>
      </c>
      <c r="AN78" s="23">
        <v>0.9</v>
      </c>
      <c r="AO78">
        <f t="shared" si="11"/>
        <v>1</v>
      </c>
      <c r="AP78">
        <f t="shared" si="12"/>
        <v>60.25</v>
      </c>
      <c r="AR78">
        <f t="shared" si="13"/>
        <v>180.78175895765474</v>
      </c>
    </row>
    <row r="79" spans="1:44">
      <c r="A79" t="s">
        <v>410</v>
      </c>
      <c r="B79">
        <v>77</v>
      </c>
      <c r="C79" s="16" t="s">
        <v>411</v>
      </c>
      <c r="D79" s="16" t="s">
        <v>411</v>
      </c>
      <c r="E79" s="16" t="s">
        <v>412</v>
      </c>
      <c r="F79" s="16" t="s">
        <v>83</v>
      </c>
      <c r="G79" s="16" t="s">
        <v>84</v>
      </c>
      <c r="H79" s="16" t="s">
        <v>266</v>
      </c>
      <c r="I79" s="16" t="s">
        <v>413</v>
      </c>
      <c r="J79" s="16" t="s">
        <v>87</v>
      </c>
      <c r="K79" s="16" t="s">
        <v>268</v>
      </c>
      <c r="L79" s="17">
        <v>400</v>
      </c>
      <c r="M79" s="17">
        <v>80</v>
      </c>
      <c r="N79" s="17" t="s">
        <v>89</v>
      </c>
      <c r="O79" s="16">
        <v>259.60000000000002</v>
      </c>
      <c r="P79" s="16">
        <v>3.5</v>
      </c>
      <c r="Q79" s="16">
        <v>4.2</v>
      </c>
      <c r="R79" s="16">
        <v>3.6349999999999998</v>
      </c>
      <c r="S79" s="16">
        <v>2.5</v>
      </c>
      <c r="T79" s="16">
        <f>0.2*P79</f>
        <v>0.70000000000000007</v>
      </c>
      <c r="U79" s="16">
        <v>10</v>
      </c>
      <c r="V79" s="18">
        <f>4/P79</f>
        <v>1.1428571428571428</v>
      </c>
      <c r="W79" s="16">
        <v>49</v>
      </c>
      <c r="Y79" s="16">
        <v>3.4</v>
      </c>
      <c r="Z79" s="16">
        <v>0.96</v>
      </c>
      <c r="AA79" s="18">
        <f>1.5/P79</f>
        <v>0.42857142857142855</v>
      </c>
      <c r="AB79" s="19" t="s">
        <v>89</v>
      </c>
      <c r="AC79" s="17" t="s">
        <v>90</v>
      </c>
      <c r="AD79" s="17">
        <v>65</v>
      </c>
      <c r="AE79" s="20"/>
      <c r="AF79" s="20">
        <v>18</v>
      </c>
      <c r="AG79" s="17">
        <v>2014</v>
      </c>
      <c r="AH79" s="17" t="s">
        <v>91</v>
      </c>
      <c r="AK79" s="17" t="s">
        <v>414</v>
      </c>
      <c r="AL79" s="19" t="s">
        <v>94</v>
      </c>
      <c r="AM79" s="19" t="s">
        <v>89</v>
      </c>
      <c r="AN79" s="19" t="s">
        <v>89</v>
      </c>
      <c r="AO79">
        <f t="shared" si="11"/>
        <v>3</v>
      </c>
      <c r="AP79">
        <f t="shared" si="12"/>
        <v>64.69</v>
      </c>
      <c r="AR79">
        <f t="shared" si="13"/>
        <v>259.64285714285711</v>
      </c>
    </row>
    <row r="80" spans="1:44">
      <c r="A80" t="s">
        <v>415</v>
      </c>
      <c r="B80">
        <v>78</v>
      </c>
      <c r="C80" s="16" t="s">
        <v>416</v>
      </c>
      <c r="D80" s="16" t="s">
        <v>416</v>
      </c>
      <c r="E80" s="16" t="s">
        <v>412</v>
      </c>
      <c r="F80" s="16" t="s">
        <v>83</v>
      </c>
      <c r="G80" s="16" t="s">
        <v>84</v>
      </c>
      <c r="H80" s="16" t="s">
        <v>266</v>
      </c>
      <c r="I80" s="16" t="s">
        <v>417</v>
      </c>
      <c r="J80" s="16" t="s">
        <v>87</v>
      </c>
      <c r="K80" s="16" t="s">
        <v>268</v>
      </c>
      <c r="L80" s="17">
        <v>300</v>
      </c>
      <c r="M80" s="17">
        <v>80</v>
      </c>
      <c r="N80" s="17" t="s">
        <v>89</v>
      </c>
      <c r="O80" s="17" t="s">
        <v>89</v>
      </c>
      <c r="P80" s="16">
        <v>4.8</v>
      </c>
      <c r="Q80" s="16">
        <v>4.2</v>
      </c>
      <c r="R80" s="16">
        <v>3.6349999999999998</v>
      </c>
      <c r="S80" s="16">
        <v>2.5</v>
      </c>
      <c r="T80" s="16">
        <f>0.2*P80</f>
        <v>0.96</v>
      </c>
      <c r="U80" s="16">
        <v>14.55</v>
      </c>
      <c r="V80" s="18">
        <v>0.33</v>
      </c>
      <c r="W80" s="16">
        <v>69</v>
      </c>
      <c r="Y80" s="16">
        <v>3.395</v>
      </c>
      <c r="Z80" s="16">
        <v>1.4550000000000001</v>
      </c>
      <c r="AA80" s="18">
        <v>0.33</v>
      </c>
      <c r="AB80" s="19">
        <v>0.5</v>
      </c>
      <c r="AC80" s="17" t="s">
        <v>90</v>
      </c>
      <c r="AD80" s="17">
        <v>70</v>
      </c>
      <c r="AE80" s="20"/>
      <c r="AF80" s="20">
        <v>21</v>
      </c>
      <c r="AG80" s="17">
        <v>2018</v>
      </c>
      <c r="AH80" s="17" t="s">
        <v>91</v>
      </c>
      <c r="AJ80" s="24" t="s">
        <v>418</v>
      </c>
      <c r="AL80" s="19" t="s">
        <v>94</v>
      </c>
      <c r="AM80" s="19" t="s">
        <v>89</v>
      </c>
      <c r="AN80" s="19" t="s">
        <v>89</v>
      </c>
      <c r="AO80">
        <f t="shared" si="11"/>
        <v>3</v>
      </c>
      <c r="AP80">
        <f t="shared" si="12"/>
        <v>64.69</v>
      </c>
      <c r="AR80">
        <f t="shared" si="13"/>
        <v>252.86956521739123</v>
      </c>
    </row>
    <row r="81" spans="1:44">
      <c r="A81" t="s">
        <v>419</v>
      </c>
      <c r="B81">
        <v>79</v>
      </c>
      <c r="C81" s="16" t="s">
        <v>420</v>
      </c>
      <c r="D81" s="16" t="s">
        <v>420</v>
      </c>
      <c r="E81" s="16" t="s">
        <v>412</v>
      </c>
      <c r="F81" s="16" t="s">
        <v>83</v>
      </c>
      <c r="G81" s="16" t="s">
        <v>286</v>
      </c>
      <c r="H81" s="16" t="s">
        <v>266</v>
      </c>
      <c r="I81" s="16" t="s">
        <v>421</v>
      </c>
      <c r="J81" s="16" t="s">
        <v>87</v>
      </c>
      <c r="K81" s="16" t="s">
        <v>268</v>
      </c>
      <c r="L81" s="17">
        <v>500</v>
      </c>
      <c r="M81" s="17">
        <v>80</v>
      </c>
      <c r="N81" s="17" t="s">
        <v>89</v>
      </c>
      <c r="O81" s="16">
        <v>248.7</v>
      </c>
      <c r="P81" s="16">
        <v>4.8</v>
      </c>
      <c r="Q81" s="16">
        <v>4.2</v>
      </c>
      <c r="R81" s="16">
        <v>3.6349999999999998</v>
      </c>
      <c r="S81" s="16">
        <v>2.5</v>
      </c>
      <c r="T81" s="16">
        <f>0.2*P81</f>
        <v>0.96</v>
      </c>
      <c r="U81" s="16">
        <v>14.55</v>
      </c>
      <c r="V81" s="18">
        <v>0.33</v>
      </c>
      <c r="W81" s="16">
        <v>68.5</v>
      </c>
      <c r="Y81" s="16">
        <v>3.395</v>
      </c>
      <c r="Z81" s="16">
        <v>1.4550000000000001</v>
      </c>
      <c r="AA81" s="18">
        <v>0.33</v>
      </c>
      <c r="AB81" s="19">
        <v>0.5</v>
      </c>
      <c r="AC81" s="17" t="s">
        <v>90</v>
      </c>
      <c r="AD81" s="17">
        <v>70</v>
      </c>
      <c r="AE81" s="20"/>
      <c r="AF81" s="20">
        <v>21</v>
      </c>
      <c r="AG81" s="17">
        <v>2017</v>
      </c>
      <c r="AH81" s="17" t="s">
        <v>91</v>
      </c>
      <c r="AJ81" s="24" t="s">
        <v>422</v>
      </c>
      <c r="AL81" s="19" t="s">
        <v>94</v>
      </c>
      <c r="AM81" s="19" t="s">
        <v>89</v>
      </c>
      <c r="AN81" s="19" t="s">
        <v>89</v>
      </c>
      <c r="AO81">
        <f t="shared" si="11"/>
        <v>3</v>
      </c>
      <c r="AP81">
        <f t="shared" si="12"/>
        <v>64.69</v>
      </c>
      <c r="AR81">
        <f t="shared" si="13"/>
        <v>254.71532846715323</v>
      </c>
    </row>
    <row r="82" spans="1:44">
      <c r="A82" t="s">
        <v>423</v>
      </c>
      <c r="B82">
        <v>80</v>
      </c>
      <c r="C82" s="16" t="s">
        <v>424</v>
      </c>
      <c r="D82" s="16" t="s">
        <v>424</v>
      </c>
      <c r="E82" s="16" t="s">
        <v>211</v>
      </c>
      <c r="F82" s="16" t="s">
        <v>83</v>
      </c>
      <c r="G82" s="16" t="s">
        <v>425</v>
      </c>
      <c r="H82" s="16" t="s">
        <v>266</v>
      </c>
      <c r="I82" s="16" t="s">
        <v>426</v>
      </c>
      <c r="J82" s="16" t="s">
        <v>87</v>
      </c>
      <c r="K82" s="16" t="s">
        <v>268</v>
      </c>
      <c r="L82" s="17">
        <v>1000</v>
      </c>
      <c r="M82" s="17">
        <v>80</v>
      </c>
      <c r="N82" s="17" t="s">
        <v>89</v>
      </c>
      <c r="O82" s="17" t="s">
        <v>89</v>
      </c>
      <c r="P82" s="16">
        <v>4</v>
      </c>
      <c r="Q82" s="16">
        <v>4.2</v>
      </c>
      <c r="R82" s="16">
        <v>3.65</v>
      </c>
      <c r="S82" s="16">
        <v>2.5</v>
      </c>
      <c r="T82" s="16">
        <v>2</v>
      </c>
      <c r="U82" s="16">
        <v>12</v>
      </c>
      <c r="V82" s="18">
        <v>1</v>
      </c>
      <c r="W82" s="16">
        <v>68</v>
      </c>
      <c r="Y82" s="16">
        <v>2</v>
      </c>
      <c r="Z82" s="16">
        <v>0.8</v>
      </c>
      <c r="AA82" s="18">
        <v>0.5</v>
      </c>
      <c r="AB82" s="19">
        <v>0.5</v>
      </c>
      <c r="AC82" s="17" t="s">
        <v>90</v>
      </c>
      <c r="AD82" s="17">
        <v>70</v>
      </c>
      <c r="AE82" s="20"/>
      <c r="AF82" s="20">
        <v>21</v>
      </c>
      <c r="AG82" s="17">
        <v>2017</v>
      </c>
      <c r="AH82" s="17" t="s">
        <v>91</v>
      </c>
      <c r="AJ82" s="24" t="s">
        <v>427</v>
      </c>
      <c r="AK82" s="16" t="s">
        <v>428</v>
      </c>
      <c r="AL82" s="19" t="s">
        <v>94</v>
      </c>
      <c r="AM82" s="19">
        <v>0.02</v>
      </c>
      <c r="AN82" s="19" t="s">
        <v>89</v>
      </c>
      <c r="AO82">
        <f t="shared" si="11"/>
        <v>3</v>
      </c>
      <c r="AP82">
        <f t="shared" si="12"/>
        <v>64.69</v>
      </c>
      <c r="AR82">
        <f t="shared" si="13"/>
        <v>214.70588235294116</v>
      </c>
    </row>
    <row r="83" spans="1:44">
      <c r="A83" t="s">
        <v>429</v>
      </c>
      <c r="B83">
        <v>81</v>
      </c>
      <c r="C83" s="16" t="s">
        <v>430</v>
      </c>
      <c r="D83" s="16" t="s">
        <v>430</v>
      </c>
      <c r="E83" s="16" t="s">
        <v>431</v>
      </c>
      <c r="F83" s="16" t="s">
        <v>83</v>
      </c>
      <c r="G83" s="16" t="s">
        <v>425</v>
      </c>
      <c r="H83" s="16" t="s">
        <v>266</v>
      </c>
      <c r="I83" s="16" t="s">
        <v>432</v>
      </c>
      <c r="J83" s="16" t="s">
        <v>87</v>
      </c>
      <c r="K83" s="16" t="s">
        <v>268</v>
      </c>
      <c r="L83" s="17">
        <v>1000</v>
      </c>
      <c r="M83" s="17">
        <v>80</v>
      </c>
      <c r="N83" s="17" t="s">
        <v>89</v>
      </c>
      <c r="O83" s="17" t="s">
        <v>89</v>
      </c>
      <c r="P83" s="16">
        <v>5</v>
      </c>
      <c r="Q83" s="16">
        <v>4.2</v>
      </c>
      <c r="R83" s="16">
        <v>3.65</v>
      </c>
      <c r="S83" s="16">
        <v>2.5</v>
      </c>
      <c r="T83" s="16">
        <f>0.2*P83</f>
        <v>1</v>
      </c>
      <c r="U83" s="16">
        <v>15</v>
      </c>
      <c r="V83" s="18" t="s">
        <v>89</v>
      </c>
      <c r="W83" s="16">
        <v>70</v>
      </c>
      <c r="Y83" s="16">
        <v>3</v>
      </c>
      <c r="Z83" s="16">
        <f>0.2*P83</f>
        <v>1</v>
      </c>
      <c r="AA83" s="18" t="s">
        <v>89</v>
      </c>
      <c r="AB83" s="19" t="s">
        <v>89</v>
      </c>
      <c r="AC83" s="17" t="s">
        <v>90</v>
      </c>
      <c r="AD83" s="17">
        <v>70</v>
      </c>
      <c r="AE83" s="20"/>
      <c r="AF83" s="20">
        <v>21</v>
      </c>
      <c r="AI83" s="17" t="s">
        <v>91</v>
      </c>
      <c r="AJ83" s="24" t="s">
        <v>248</v>
      </c>
      <c r="AL83" s="19" t="s">
        <v>94</v>
      </c>
      <c r="AM83" s="19" t="s">
        <v>89</v>
      </c>
      <c r="AN83" s="19" t="s">
        <v>89</v>
      </c>
      <c r="AO83">
        <f t="shared" si="11"/>
        <v>3</v>
      </c>
      <c r="AP83">
        <f t="shared" si="12"/>
        <v>64.69</v>
      </c>
      <c r="AR83">
        <f t="shared" si="13"/>
        <v>260.71428571428567</v>
      </c>
    </row>
    <row r="84" spans="1:44">
      <c r="A84" t="s">
        <v>433</v>
      </c>
      <c r="B84">
        <v>82</v>
      </c>
      <c r="C84" s="16" t="s">
        <v>434</v>
      </c>
      <c r="D84" s="16" t="s">
        <v>434</v>
      </c>
      <c r="E84" s="16" t="s">
        <v>431</v>
      </c>
      <c r="F84" s="16" t="s">
        <v>83</v>
      </c>
      <c r="G84" s="16" t="s">
        <v>425</v>
      </c>
      <c r="H84" s="16" t="s">
        <v>266</v>
      </c>
      <c r="I84" s="16" t="s">
        <v>435</v>
      </c>
      <c r="J84" s="16" t="s">
        <v>87</v>
      </c>
      <c r="K84" s="16" t="s">
        <v>268</v>
      </c>
      <c r="L84" s="17">
        <v>300</v>
      </c>
      <c r="M84" s="17">
        <v>80</v>
      </c>
      <c r="N84" s="27">
        <v>512</v>
      </c>
      <c r="O84" s="16">
        <v>192</v>
      </c>
      <c r="P84" s="16">
        <v>3.3</v>
      </c>
      <c r="Q84" s="16">
        <v>4.2</v>
      </c>
      <c r="R84" s="16">
        <v>3.65</v>
      </c>
      <c r="S84" s="16">
        <v>2.5</v>
      </c>
      <c r="T84" s="16">
        <f>0.2*P84</f>
        <v>0.66</v>
      </c>
      <c r="U84" s="16">
        <v>20</v>
      </c>
      <c r="V84" s="18">
        <v>3</v>
      </c>
      <c r="W84" s="16">
        <v>60</v>
      </c>
      <c r="Y84" s="16">
        <v>2.2000000000000002</v>
      </c>
      <c r="Z84" s="16">
        <f>0.2*P84</f>
        <v>0.66</v>
      </c>
      <c r="AA84" s="18">
        <v>1</v>
      </c>
      <c r="AB84" s="19" t="s">
        <v>89</v>
      </c>
      <c r="AC84" s="17" t="s">
        <v>90</v>
      </c>
      <c r="AD84" s="17">
        <v>70</v>
      </c>
      <c r="AE84" s="20"/>
      <c r="AF84" s="20">
        <v>20</v>
      </c>
      <c r="AI84" s="17" t="s">
        <v>91</v>
      </c>
      <c r="AL84" s="19" t="s">
        <v>94</v>
      </c>
      <c r="AM84" s="19">
        <v>0.03</v>
      </c>
      <c r="AN84" s="19" t="s">
        <v>89</v>
      </c>
      <c r="AO84">
        <f t="shared" si="11"/>
        <v>3</v>
      </c>
      <c r="AP84">
        <f t="shared" si="12"/>
        <v>64.69</v>
      </c>
      <c r="AR84">
        <f t="shared" si="13"/>
        <v>200.75</v>
      </c>
    </row>
    <row r="85" spans="1:44">
      <c r="A85" t="s">
        <v>436</v>
      </c>
      <c r="B85">
        <v>83</v>
      </c>
      <c r="C85" s="16" t="s">
        <v>437</v>
      </c>
      <c r="D85" s="16" t="s">
        <v>437</v>
      </c>
      <c r="E85" s="16" t="s">
        <v>431</v>
      </c>
      <c r="F85" s="16" t="s">
        <v>83</v>
      </c>
      <c r="G85" s="16" t="s">
        <v>425</v>
      </c>
      <c r="H85" s="16" t="s">
        <v>266</v>
      </c>
      <c r="I85" s="16" t="s">
        <v>438</v>
      </c>
      <c r="J85" s="16" t="s">
        <v>87</v>
      </c>
      <c r="K85" s="16" t="s">
        <v>268</v>
      </c>
      <c r="L85" s="17">
        <v>500</v>
      </c>
      <c r="M85" s="17">
        <v>80</v>
      </c>
      <c r="N85" s="16">
        <v>659</v>
      </c>
      <c r="O85" s="16">
        <v>224</v>
      </c>
      <c r="P85" s="16">
        <v>4</v>
      </c>
      <c r="Q85" s="16">
        <v>4.2</v>
      </c>
      <c r="R85" s="16">
        <v>3.65</v>
      </c>
      <c r="S85" s="16">
        <v>2.5</v>
      </c>
      <c r="T85" s="16">
        <f>0.2*P85</f>
        <v>0.8</v>
      </c>
      <c r="U85" s="16">
        <v>12</v>
      </c>
      <c r="V85" s="18">
        <v>2</v>
      </c>
      <c r="W85" s="16">
        <v>63</v>
      </c>
      <c r="Y85" s="16">
        <v>2</v>
      </c>
      <c r="Z85" s="16">
        <f>0.2*P85</f>
        <v>0.8</v>
      </c>
      <c r="AA85" s="18">
        <v>0.5</v>
      </c>
      <c r="AB85" s="19" t="s">
        <v>89</v>
      </c>
      <c r="AC85" s="17" t="s">
        <v>90</v>
      </c>
      <c r="AD85" s="17">
        <v>70</v>
      </c>
      <c r="AE85" s="20"/>
      <c r="AF85" s="20">
        <v>20</v>
      </c>
      <c r="AH85" s="17" t="s">
        <v>91</v>
      </c>
      <c r="AI85" s="17" t="s">
        <v>91</v>
      </c>
      <c r="AJ85" s="24" t="s">
        <v>98</v>
      </c>
      <c r="AK85" s="16" t="s">
        <v>439</v>
      </c>
      <c r="AL85" s="19" t="s">
        <v>94</v>
      </c>
      <c r="AM85" s="19">
        <v>0.03</v>
      </c>
      <c r="AN85" s="19" t="s">
        <v>89</v>
      </c>
      <c r="AO85">
        <f t="shared" si="11"/>
        <v>3</v>
      </c>
      <c r="AP85">
        <f t="shared" si="12"/>
        <v>64.69</v>
      </c>
      <c r="AR85">
        <f t="shared" si="13"/>
        <v>231.74603174603175</v>
      </c>
    </row>
    <row r="86" spans="1:44">
      <c r="A86" t="s">
        <v>440</v>
      </c>
      <c r="B86">
        <v>84</v>
      </c>
      <c r="C86" s="16" t="s">
        <v>441</v>
      </c>
      <c r="D86" s="16" t="s">
        <v>441</v>
      </c>
      <c r="E86" s="16" t="s">
        <v>442</v>
      </c>
      <c r="F86" s="16" t="s">
        <v>83</v>
      </c>
      <c r="G86" s="16" t="s">
        <v>425</v>
      </c>
      <c r="H86" s="16" t="s">
        <v>266</v>
      </c>
      <c r="I86" s="16" t="s">
        <v>443</v>
      </c>
      <c r="J86" s="16" t="s">
        <v>87</v>
      </c>
      <c r="K86" s="16" t="s">
        <v>268</v>
      </c>
      <c r="L86" s="17">
        <v>250</v>
      </c>
      <c r="M86" s="17">
        <v>60</v>
      </c>
      <c r="N86" s="17" t="s">
        <v>89</v>
      </c>
      <c r="O86" s="17" t="s">
        <v>89</v>
      </c>
      <c r="P86" s="16">
        <v>4</v>
      </c>
      <c r="Q86" s="16">
        <v>4.2</v>
      </c>
      <c r="R86" s="16">
        <v>3.6349999999999998</v>
      </c>
      <c r="S86" s="16">
        <v>2.5</v>
      </c>
      <c r="T86" s="16">
        <f>0.2*P86</f>
        <v>0.8</v>
      </c>
      <c r="U86" s="16">
        <v>10</v>
      </c>
      <c r="V86" s="18">
        <v>8</v>
      </c>
      <c r="W86" s="16">
        <v>70</v>
      </c>
      <c r="Y86" s="16">
        <v>6</v>
      </c>
      <c r="Z86" s="16">
        <v>2</v>
      </c>
      <c r="AA86" s="18">
        <f>6/P86</f>
        <v>1.5</v>
      </c>
      <c r="AB86" s="19" t="s">
        <v>89</v>
      </c>
      <c r="AC86" s="17" t="s">
        <v>90</v>
      </c>
      <c r="AD86" s="17">
        <v>70</v>
      </c>
      <c r="AE86" s="20"/>
      <c r="AF86" s="20">
        <v>21</v>
      </c>
      <c r="AG86" s="17">
        <v>2017</v>
      </c>
      <c r="AH86" s="17" t="s">
        <v>91</v>
      </c>
      <c r="AJ86" s="24" t="s">
        <v>444</v>
      </c>
      <c r="AL86" s="19" t="s">
        <v>94</v>
      </c>
      <c r="AM86" s="19">
        <v>0.03</v>
      </c>
      <c r="AN86" s="19" t="s">
        <v>89</v>
      </c>
      <c r="AO86">
        <f t="shared" si="11"/>
        <v>3</v>
      </c>
      <c r="AP86">
        <f t="shared" si="12"/>
        <v>64.69</v>
      </c>
      <c r="AR86">
        <f t="shared" si="13"/>
        <v>207.71428571428569</v>
      </c>
    </row>
    <row r="87" spans="1:44">
      <c r="A87" t="s">
        <v>445</v>
      </c>
      <c r="B87">
        <v>85</v>
      </c>
      <c r="C87" s="16" t="s">
        <v>446</v>
      </c>
      <c r="D87" s="16" t="s">
        <v>446</v>
      </c>
      <c r="E87" s="16" t="s">
        <v>442</v>
      </c>
      <c r="F87" s="16" t="s">
        <v>83</v>
      </c>
      <c r="G87" s="16" t="s">
        <v>425</v>
      </c>
      <c r="H87" s="16" t="s">
        <v>266</v>
      </c>
      <c r="I87" s="16" t="s">
        <v>447</v>
      </c>
      <c r="J87" s="16" t="s">
        <v>87</v>
      </c>
      <c r="K87" s="16" t="s">
        <v>268</v>
      </c>
      <c r="L87" s="17">
        <v>500</v>
      </c>
      <c r="M87" s="17">
        <v>60</v>
      </c>
      <c r="N87" s="17" t="s">
        <v>89</v>
      </c>
      <c r="O87" s="16">
        <v>250.4</v>
      </c>
      <c r="P87" s="16">
        <v>4.8</v>
      </c>
      <c r="Q87" s="16">
        <v>4.2</v>
      </c>
      <c r="R87" s="16">
        <v>3.6349999999999998</v>
      </c>
      <c r="S87" s="16">
        <v>2.5</v>
      </c>
      <c r="T87" s="16">
        <f>0.2*P87</f>
        <v>0.96</v>
      </c>
      <c r="U87" s="16">
        <v>9.6</v>
      </c>
      <c r="V87" s="18">
        <f>4.8/P87</f>
        <v>1</v>
      </c>
      <c r="W87" s="16">
        <v>70</v>
      </c>
      <c r="Y87" s="16">
        <v>4.8</v>
      </c>
      <c r="Z87" s="16">
        <f>0.3*P87</f>
        <v>1.44</v>
      </c>
      <c r="AA87" s="18">
        <f>1.44/P87</f>
        <v>0.3</v>
      </c>
      <c r="AB87" s="19" t="s">
        <v>89</v>
      </c>
      <c r="AC87" s="17" t="s">
        <v>90</v>
      </c>
      <c r="AD87" s="17">
        <v>70</v>
      </c>
      <c r="AE87" s="20"/>
      <c r="AF87" s="20">
        <v>21</v>
      </c>
      <c r="AG87" s="17">
        <v>2015</v>
      </c>
      <c r="AH87" s="17" t="s">
        <v>91</v>
      </c>
      <c r="AJ87" s="24" t="s">
        <v>448</v>
      </c>
      <c r="AL87" s="19" t="s">
        <v>94</v>
      </c>
      <c r="AM87" s="19" t="s">
        <v>89</v>
      </c>
      <c r="AN87" s="19" t="s">
        <v>89</v>
      </c>
      <c r="AO87">
        <f t="shared" si="11"/>
        <v>3</v>
      </c>
      <c r="AP87">
        <f t="shared" si="12"/>
        <v>64.69</v>
      </c>
      <c r="AR87">
        <f t="shared" si="13"/>
        <v>249.25714285714278</v>
      </c>
    </row>
    <row r="88" spans="1:44">
      <c r="A88" t="s">
        <v>449</v>
      </c>
      <c r="B88">
        <v>86</v>
      </c>
      <c r="C88" s="16" t="s">
        <v>450</v>
      </c>
      <c r="D88" s="16" t="s">
        <v>450</v>
      </c>
      <c r="E88" s="16" t="s">
        <v>82</v>
      </c>
      <c r="F88" s="16" t="s">
        <v>83</v>
      </c>
      <c r="G88" s="16" t="s">
        <v>84</v>
      </c>
      <c r="H88" s="16" t="s">
        <v>85</v>
      </c>
      <c r="I88" s="16" t="s">
        <v>451</v>
      </c>
      <c r="J88" s="16" t="s">
        <v>87</v>
      </c>
      <c r="K88" s="16" t="s">
        <v>88</v>
      </c>
      <c r="L88" s="17">
        <v>6000</v>
      </c>
      <c r="M88" s="17">
        <v>70</v>
      </c>
      <c r="N88" s="27">
        <v>503</v>
      </c>
      <c r="O88" s="16">
        <v>211</v>
      </c>
      <c r="P88" s="16">
        <v>103</v>
      </c>
      <c r="Q88" s="16">
        <v>4.2</v>
      </c>
      <c r="R88" s="16">
        <v>3.7</v>
      </c>
      <c r="S88" s="16">
        <v>2.7</v>
      </c>
      <c r="T88" s="16">
        <f>P88*0.2</f>
        <v>20.6</v>
      </c>
      <c r="U88" s="16">
        <f>2*P88</f>
        <v>206</v>
      </c>
      <c r="V88" s="18">
        <v>1</v>
      </c>
      <c r="W88" s="16">
        <v>1810</v>
      </c>
      <c r="Y88" s="16">
        <v>103</v>
      </c>
      <c r="Z88" s="16">
        <f>P88*0.2</f>
        <v>20.6</v>
      </c>
      <c r="AA88" s="18">
        <v>1</v>
      </c>
      <c r="AB88" s="19" t="s">
        <v>89</v>
      </c>
      <c r="AC88" s="17">
        <v>265</v>
      </c>
      <c r="AD88" s="17">
        <v>13.3</v>
      </c>
      <c r="AE88" s="17">
        <v>268</v>
      </c>
      <c r="AF88" s="21" t="s">
        <v>90</v>
      </c>
      <c r="AG88" s="17">
        <v>2020</v>
      </c>
      <c r="AH88" s="17" t="s">
        <v>91</v>
      </c>
      <c r="AI88" s="17" t="s">
        <v>91</v>
      </c>
      <c r="AJ88" s="24" t="s">
        <v>98</v>
      </c>
      <c r="AL88" s="19" t="s">
        <v>94</v>
      </c>
      <c r="AM88" s="19" t="s">
        <v>89</v>
      </c>
      <c r="AN88" s="23">
        <v>0.9</v>
      </c>
      <c r="AO88">
        <f t="shared" si="11"/>
        <v>1</v>
      </c>
      <c r="AP88">
        <f t="shared" si="12"/>
        <v>60.25</v>
      </c>
      <c r="AR88">
        <f t="shared" si="13"/>
        <v>210.55248618784532</v>
      </c>
    </row>
    <row r="89" spans="1:44">
      <c r="A89" t="s">
        <v>452</v>
      </c>
      <c r="B89">
        <v>87</v>
      </c>
      <c r="C89" s="16" t="s">
        <v>453</v>
      </c>
      <c r="D89" s="16" t="s">
        <v>453</v>
      </c>
      <c r="E89" s="16" t="s">
        <v>454</v>
      </c>
      <c r="F89" s="16" t="s">
        <v>83</v>
      </c>
      <c r="G89" s="16" t="s">
        <v>84</v>
      </c>
      <c r="H89" s="16" t="s">
        <v>266</v>
      </c>
      <c r="I89" s="16" t="s">
        <v>455</v>
      </c>
      <c r="J89" s="16" t="s">
        <v>87</v>
      </c>
      <c r="K89" s="16" t="s">
        <v>268</v>
      </c>
      <c r="L89" s="17" t="s">
        <v>89</v>
      </c>
      <c r="M89" s="17" t="s">
        <v>89</v>
      </c>
      <c r="N89" s="17" t="s">
        <v>89</v>
      </c>
      <c r="O89" s="17" t="s">
        <v>89</v>
      </c>
      <c r="P89" s="16">
        <v>4.5</v>
      </c>
      <c r="Q89" s="16">
        <v>4.2</v>
      </c>
      <c r="R89" s="16">
        <v>3.6</v>
      </c>
      <c r="S89" s="16">
        <v>2.5</v>
      </c>
      <c r="T89" s="16">
        <f>0.2*P89</f>
        <v>0.9</v>
      </c>
      <c r="U89" s="16">
        <v>20</v>
      </c>
      <c r="V89" s="18" t="s">
        <v>89</v>
      </c>
      <c r="W89" s="16">
        <v>72</v>
      </c>
      <c r="Y89" s="16">
        <v>3</v>
      </c>
      <c r="Z89" s="16">
        <v>1.5</v>
      </c>
      <c r="AA89" s="18" t="s">
        <v>89</v>
      </c>
      <c r="AB89" s="19" t="s">
        <v>89</v>
      </c>
      <c r="AC89" s="17" t="s">
        <v>90</v>
      </c>
      <c r="AD89" s="17">
        <v>70</v>
      </c>
      <c r="AE89" s="20"/>
      <c r="AF89" s="20">
        <v>21</v>
      </c>
      <c r="AI89" s="17" t="s">
        <v>91</v>
      </c>
      <c r="AJ89" s="24" t="s">
        <v>456</v>
      </c>
      <c r="AL89" s="19" t="s">
        <v>94</v>
      </c>
      <c r="AM89" s="19" t="s">
        <v>89</v>
      </c>
      <c r="AN89" s="19" t="s">
        <v>89</v>
      </c>
      <c r="AO89">
        <f t="shared" si="11"/>
        <v>3</v>
      </c>
      <c r="AP89">
        <f t="shared" si="12"/>
        <v>64.69</v>
      </c>
      <c r="AR89">
        <f t="shared" si="13"/>
        <v>225</v>
      </c>
    </row>
    <row r="90" spans="1:44">
      <c r="A90" t="s">
        <v>457</v>
      </c>
      <c r="B90">
        <v>88</v>
      </c>
      <c r="C90" s="16" t="s">
        <v>458</v>
      </c>
      <c r="D90" s="16" t="s">
        <v>458</v>
      </c>
      <c r="E90" s="16" t="s">
        <v>459</v>
      </c>
      <c r="F90" s="16" t="s">
        <v>83</v>
      </c>
      <c r="G90" s="16" t="s">
        <v>305</v>
      </c>
      <c r="H90" s="16" t="s">
        <v>88</v>
      </c>
      <c r="I90" s="16" t="s">
        <v>460</v>
      </c>
      <c r="J90" s="16" t="s">
        <v>87</v>
      </c>
      <c r="K90" s="16" t="s">
        <v>88</v>
      </c>
      <c r="L90" s="17">
        <v>2000</v>
      </c>
      <c r="M90" s="17">
        <v>80</v>
      </c>
      <c r="N90" s="16">
        <v>210</v>
      </c>
      <c r="O90" s="16">
        <v>80</v>
      </c>
      <c r="P90" s="16">
        <v>17</v>
      </c>
      <c r="Q90" s="16">
        <v>4.0999999999999996</v>
      </c>
      <c r="R90" s="16">
        <v>3.7</v>
      </c>
      <c r="S90" s="16">
        <v>2.5</v>
      </c>
      <c r="T90" s="16">
        <v>8.5</v>
      </c>
      <c r="U90" s="16">
        <v>2000</v>
      </c>
      <c r="V90" s="18">
        <v>0.5</v>
      </c>
      <c r="W90" s="16">
        <v>810</v>
      </c>
      <c r="Y90" s="16">
        <v>27.5</v>
      </c>
      <c r="Z90" s="16">
        <v>1.1000000000000001</v>
      </c>
      <c r="AA90" s="18">
        <v>1</v>
      </c>
      <c r="AB90" s="19" t="s">
        <v>89</v>
      </c>
      <c r="AC90" s="17">
        <v>229</v>
      </c>
      <c r="AD90" s="17">
        <v>9.8000000000000007</v>
      </c>
      <c r="AE90" s="17">
        <v>142</v>
      </c>
      <c r="AF90" s="21" t="s">
        <v>90</v>
      </c>
      <c r="AG90" s="17">
        <v>2020</v>
      </c>
      <c r="AH90" s="17" t="s">
        <v>91</v>
      </c>
      <c r="AK90" s="17" t="s">
        <v>461</v>
      </c>
      <c r="AL90" s="19" t="s">
        <v>94</v>
      </c>
      <c r="AM90" s="19" t="s">
        <v>89</v>
      </c>
      <c r="AN90" s="19" t="s">
        <v>89</v>
      </c>
      <c r="AO90">
        <f t="shared" si="11"/>
        <v>2</v>
      </c>
      <c r="AP90">
        <f t="shared" si="12"/>
        <v>60.79</v>
      </c>
      <c r="AR90">
        <f t="shared" si="13"/>
        <v>77.654320987654316</v>
      </c>
    </row>
    <row r="91" spans="1:44">
      <c r="A91" t="s">
        <v>462</v>
      </c>
      <c r="B91">
        <v>89</v>
      </c>
      <c r="C91" s="16" t="s">
        <v>463</v>
      </c>
      <c r="D91" s="16" t="s">
        <v>463</v>
      </c>
      <c r="E91" s="16" t="s">
        <v>459</v>
      </c>
      <c r="F91" s="16" t="s">
        <v>83</v>
      </c>
      <c r="G91" s="16" t="s">
        <v>305</v>
      </c>
      <c r="H91" s="16" t="s">
        <v>88</v>
      </c>
      <c r="I91" s="16" t="s">
        <v>464</v>
      </c>
      <c r="J91" s="16" t="s">
        <v>87</v>
      </c>
      <c r="K91" s="16" t="s">
        <v>88</v>
      </c>
      <c r="L91" s="17" t="s">
        <v>89</v>
      </c>
      <c r="M91" s="17" t="s">
        <v>89</v>
      </c>
      <c r="N91" s="16">
        <v>305.39999999999998</v>
      </c>
      <c r="O91" s="16">
        <v>121.3</v>
      </c>
      <c r="P91" s="16">
        <v>62.5</v>
      </c>
      <c r="Q91" s="16">
        <v>4.0999999999999996</v>
      </c>
      <c r="R91" s="16">
        <v>3.7</v>
      </c>
      <c r="S91" s="16">
        <v>3</v>
      </c>
      <c r="T91" s="16">
        <v>31.25</v>
      </c>
      <c r="U91" s="16">
        <v>62.5</v>
      </c>
      <c r="V91" s="18" t="s">
        <v>89</v>
      </c>
      <c r="W91" s="16">
        <v>2020</v>
      </c>
      <c r="Y91" s="16">
        <v>125</v>
      </c>
      <c r="Z91" s="16">
        <v>31.25</v>
      </c>
      <c r="AA91" s="18" t="s">
        <v>89</v>
      </c>
      <c r="AB91" s="19" t="s">
        <v>89</v>
      </c>
      <c r="AC91" s="17">
        <v>172.7</v>
      </c>
      <c r="AD91" s="17">
        <v>58.4</v>
      </c>
      <c r="AE91" s="17">
        <v>81.5</v>
      </c>
      <c r="AF91" s="21" t="s">
        <v>90</v>
      </c>
      <c r="AG91" s="17">
        <v>2016</v>
      </c>
      <c r="AH91" s="17" t="s">
        <v>91</v>
      </c>
      <c r="AK91" s="17" t="s">
        <v>465</v>
      </c>
      <c r="AL91" s="19" t="s">
        <v>94</v>
      </c>
      <c r="AM91" s="19" t="s">
        <v>89</v>
      </c>
      <c r="AN91" s="19" t="s">
        <v>89</v>
      </c>
      <c r="AO91">
        <f t="shared" si="11"/>
        <v>2</v>
      </c>
      <c r="AP91">
        <f t="shared" si="12"/>
        <v>60.79</v>
      </c>
      <c r="AR91">
        <f t="shared" si="13"/>
        <v>114.48019801980197</v>
      </c>
    </row>
    <row r="92" spans="1:44">
      <c r="A92" t="s">
        <v>466</v>
      </c>
      <c r="B92">
        <v>90</v>
      </c>
      <c r="C92" s="16" t="s">
        <v>467</v>
      </c>
      <c r="D92" s="16" t="s">
        <v>467</v>
      </c>
      <c r="E92" s="16" t="s">
        <v>459</v>
      </c>
      <c r="F92" s="16" t="s">
        <v>83</v>
      </c>
      <c r="G92" s="16" t="s">
        <v>305</v>
      </c>
      <c r="H92" s="16" t="s">
        <v>88</v>
      </c>
      <c r="I92" s="16" t="s">
        <v>468</v>
      </c>
      <c r="J92" s="16" t="s">
        <v>87</v>
      </c>
      <c r="K92" s="16" t="s">
        <v>88</v>
      </c>
      <c r="L92" s="17" t="s">
        <v>89</v>
      </c>
      <c r="M92" s="17" t="s">
        <v>89</v>
      </c>
      <c r="N92" s="16">
        <v>324.10000000000002</v>
      </c>
      <c r="O92" s="16">
        <v>131.69999999999999</v>
      </c>
      <c r="P92" s="16">
        <v>72</v>
      </c>
      <c r="Q92" s="16">
        <v>4.0999999999999996</v>
      </c>
      <c r="R92" s="16">
        <v>3.7</v>
      </c>
      <c r="S92" s="16">
        <v>3</v>
      </c>
      <c r="T92" s="16">
        <v>36</v>
      </c>
      <c r="U92" s="16">
        <v>72</v>
      </c>
      <c r="V92" s="18" t="s">
        <v>89</v>
      </c>
      <c r="W92" s="16">
        <v>1974</v>
      </c>
      <c r="Y92" s="16">
        <v>146</v>
      </c>
      <c r="Z92" s="16">
        <v>36</v>
      </c>
      <c r="AA92" s="18" t="s">
        <v>89</v>
      </c>
      <c r="AB92" s="19" t="s">
        <v>89</v>
      </c>
      <c r="AC92" s="17">
        <v>173</v>
      </c>
      <c r="AD92" s="17">
        <v>56.9</v>
      </c>
      <c r="AE92" s="17">
        <v>81.5</v>
      </c>
      <c r="AF92" s="21" t="s">
        <v>90</v>
      </c>
      <c r="AG92" s="17" t="s">
        <v>469</v>
      </c>
      <c r="AH92" s="17" t="s">
        <v>91</v>
      </c>
      <c r="AK92" s="17" t="s">
        <v>465</v>
      </c>
      <c r="AL92" s="19" t="s">
        <v>94</v>
      </c>
      <c r="AM92" s="19" t="s">
        <v>89</v>
      </c>
      <c r="AN92" s="19" t="s">
        <v>89</v>
      </c>
      <c r="AO92">
        <f t="shared" si="11"/>
        <v>2</v>
      </c>
      <c r="AP92">
        <f t="shared" si="12"/>
        <v>60.79</v>
      </c>
      <c r="AR92">
        <f t="shared" si="13"/>
        <v>134.95440729483283</v>
      </c>
    </row>
    <row r="93" spans="1:44">
      <c r="A93" t="s">
        <v>470</v>
      </c>
      <c r="B93">
        <v>91</v>
      </c>
      <c r="C93" s="16" t="s">
        <v>471</v>
      </c>
      <c r="D93" s="16" t="s">
        <v>471</v>
      </c>
      <c r="E93" s="16" t="s">
        <v>472</v>
      </c>
      <c r="F93" s="16" t="s">
        <v>83</v>
      </c>
      <c r="G93" s="16" t="s">
        <v>84</v>
      </c>
      <c r="H93" s="16" t="s">
        <v>85</v>
      </c>
      <c r="I93" s="16" t="s">
        <v>473</v>
      </c>
      <c r="J93" s="16" t="s">
        <v>87</v>
      </c>
      <c r="K93" s="16" t="s">
        <v>88</v>
      </c>
      <c r="L93" s="17">
        <v>1500</v>
      </c>
      <c r="M93" s="17">
        <v>70</v>
      </c>
      <c r="N93" s="16">
        <v>512</v>
      </c>
      <c r="O93" s="16">
        <v>246</v>
      </c>
      <c r="P93" s="16">
        <v>16.8</v>
      </c>
      <c r="Q93" s="16">
        <v>4.2</v>
      </c>
      <c r="R93" s="16">
        <v>3.7</v>
      </c>
      <c r="S93" s="16">
        <v>2.8</v>
      </c>
      <c r="T93" s="16">
        <v>3.2</v>
      </c>
      <c r="U93" s="16">
        <v>32</v>
      </c>
      <c r="V93" s="18">
        <v>1</v>
      </c>
      <c r="W93" s="16">
        <v>240</v>
      </c>
      <c r="Y93" s="16">
        <v>16</v>
      </c>
      <c r="Z93" s="16">
        <v>3.2</v>
      </c>
      <c r="AA93" s="18">
        <v>1</v>
      </c>
      <c r="AB93" s="19">
        <v>0.33</v>
      </c>
      <c r="AC93" s="17">
        <v>130</v>
      </c>
      <c r="AD93" s="17">
        <v>9.1999999999999993</v>
      </c>
      <c r="AE93" s="17">
        <v>99</v>
      </c>
      <c r="AF93" s="21" t="s">
        <v>90</v>
      </c>
      <c r="AG93" s="17" t="s">
        <v>469</v>
      </c>
      <c r="AH93" s="17" t="s">
        <v>91</v>
      </c>
      <c r="AJ93" s="24" t="s">
        <v>98</v>
      </c>
      <c r="AK93" s="17" t="s">
        <v>474</v>
      </c>
      <c r="AL93" s="19" t="s">
        <v>94</v>
      </c>
      <c r="AM93" s="19">
        <v>0.05</v>
      </c>
      <c r="AN93" s="23">
        <v>1</v>
      </c>
      <c r="AO93">
        <f t="shared" si="11"/>
        <v>1</v>
      </c>
      <c r="AP93">
        <f t="shared" si="12"/>
        <v>60.25</v>
      </c>
      <c r="AR93">
        <f t="shared" si="13"/>
        <v>259</v>
      </c>
    </row>
    <row r="94" spans="1:44">
      <c r="A94" t="s">
        <v>475</v>
      </c>
      <c r="B94">
        <v>92</v>
      </c>
      <c r="C94" s="16" t="s">
        <v>476</v>
      </c>
      <c r="D94" s="16" t="s">
        <v>476</v>
      </c>
      <c r="E94" s="16" t="s">
        <v>472</v>
      </c>
      <c r="F94" s="16" t="s">
        <v>83</v>
      </c>
      <c r="G94" s="16" t="s">
        <v>477</v>
      </c>
      <c r="H94" s="28" t="s">
        <v>88</v>
      </c>
      <c r="I94" s="16" t="s">
        <v>478</v>
      </c>
      <c r="J94" s="16" t="s">
        <v>87</v>
      </c>
      <c r="K94" s="16" t="s">
        <v>88</v>
      </c>
      <c r="L94" s="17">
        <v>7500</v>
      </c>
      <c r="M94" s="17">
        <v>80</v>
      </c>
      <c r="N94" s="16">
        <v>198</v>
      </c>
      <c r="O94" s="16">
        <v>90</v>
      </c>
      <c r="P94" s="16">
        <v>42</v>
      </c>
      <c r="Q94" s="16">
        <v>2.7</v>
      </c>
      <c r="R94" s="16">
        <v>2.2000000000000002</v>
      </c>
      <c r="S94" s="16">
        <v>1.6</v>
      </c>
      <c r="T94" s="16">
        <v>8</v>
      </c>
      <c r="U94" s="16">
        <v>200</v>
      </c>
      <c r="V94" s="18">
        <v>1</v>
      </c>
      <c r="W94" s="16">
        <v>980</v>
      </c>
      <c r="Y94" s="16">
        <v>120</v>
      </c>
      <c r="Z94" s="16">
        <v>8</v>
      </c>
      <c r="AA94" s="18">
        <v>1</v>
      </c>
      <c r="AB94" s="19" t="s">
        <v>89</v>
      </c>
      <c r="AC94" s="17">
        <v>250</v>
      </c>
      <c r="AD94" s="17">
        <v>12</v>
      </c>
      <c r="AE94" s="17">
        <v>155</v>
      </c>
      <c r="AF94" s="21" t="s">
        <v>90</v>
      </c>
      <c r="AG94" s="17">
        <v>2019</v>
      </c>
      <c r="AH94" s="17" t="s">
        <v>91</v>
      </c>
      <c r="AJ94" s="24" t="s">
        <v>479</v>
      </c>
      <c r="AK94" s="17" t="s">
        <v>480</v>
      </c>
      <c r="AL94" s="19" t="s">
        <v>94</v>
      </c>
      <c r="AM94" s="19" t="s">
        <v>89</v>
      </c>
      <c r="AN94" s="19" t="s">
        <v>89</v>
      </c>
      <c r="AO94">
        <f t="shared" si="11"/>
        <v>2</v>
      </c>
      <c r="AP94">
        <f t="shared" si="12"/>
        <v>60.79</v>
      </c>
      <c r="AR94">
        <f t="shared" si="13"/>
        <v>94.285714285714292</v>
      </c>
    </row>
    <row r="95" spans="1:44">
      <c r="A95" t="s">
        <v>481</v>
      </c>
      <c r="B95">
        <v>93</v>
      </c>
      <c r="C95" s="16" t="s">
        <v>482</v>
      </c>
      <c r="D95" s="16" t="s">
        <v>482</v>
      </c>
      <c r="E95" s="16" t="s">
        <v>472</v>
      </c>
      <c r="F95" s="16" t="s">
        <v>129</v>
      </c>
      <c r="G95" s="16" t="s">
        <v>130</v>
      </c>
      <c r="H95" s="28" t="s">
        <v>88</v>
      </c>
      <c r="I95" s="16" t="s">
        <v>483</v>
      </c>
      <c r="J95" s="16" t="s">
        <v>87</v>
      </c>
      <c r="K95" s="16" t="s">
        <v>88</v>
      </c>
      <c r="L95" s="17">
        <v>4000</v>
      </c>
      <c r="M95" s="17">
        <v>80</v>
      </c>
      <c r="N95" s="16">
        <v>275</v>
      </c>
      <c r="O95" s="16">
        <v>128</v>
      </c>
      <c r="P95" s="16">
        <v>40</v>
      </c>
      <c r="Q95" s="16">
        <v>3.65</v>
      </c>
      <c r="R95" s="16">
        <v>3.2</v>
      </c>
      <c r="S95" s="16">
        <v>2.5</v>
      </c>
      <c r="T95" s="16">
        <v>8</v>
      </c>
      <c r="U95" s="16">
        <v>120</v>
      </c>
      <c r="V95" s="18">
        <v>1</v>
      </c>
      <c r="W95" s="16">
        <v>980</v>
      </c>
      <c r="Y95" s="16">
        <v>120</v>
      </c>
      <c r="Z95" s="16">
        <v>8</v>
      </c>
      <c r="AA95" s="18">
        <v>1</v>
      </c>
      <c r="AB95" s="19">
        <v>0.33</v>
      </c>
      <c r="AC95" s="17">
        <v>250</v>
      </c>
      <c r="AD95" s="17">
        <v>12.2</v>
      </c>
      <c r="AE95" s="17">
        <v>155</v>
      </c>
      <c r="AF95" s="21" t="s">
        <v>90</v>
      </c>
      <c r="AG95" s="17">
        <v>2020</v>
      </c>
      <c r="AH95" s="17" t="s">
        <v>91</v>
      </c>
      <c r="AJ95" s="24" t="s">
        <v>484</v>
      </c>
      <c r="AL95" s="19" t="s">
        <v>94</v>
      </c>
      <c r="AM95" s="19" t="s">
        <v>89</v>
      </c>
      <c r="AN95" s="19" t="s">
        <v>89</v>
      </c>
      <c r="AO95">
        <f t="shared" si="11"/>
        <v>2</v>
      </c>
      <c r="AP95">
        <f t="shared" si="12"/>
        <v>60.79</v>
      </c>
      <c r="AR95">
        <f t="shared" si="13"/>
        <v>130.61224489795919</v>
      </c>
    </row>
    <row r="96" spans="1:44">
      <c r="A96" t="s">
        <v>485</v>
      </c>
      <c r="B96">
        <v>94</v>
      </c>
      <c r="C96" s="16" t="s">
        <v>486</v>
      </c>
      <c r="D96" s="16" t="s">
        <v>487</v>
      </c>
      <c r="E96" s="16" t="s">
        <v>472</v>
      </c>
      <c r="F96" s="16" t="s">
        <v>83</v>
      </c>
      <c r="G96" s="16" t="s">
        <v>84</v>
      </c>
      <c r="H96" s="28" t="s">
        <v>88</v>
      </c>
      <c r="I96" s="16" t="s">
        <v>488</v>
      </c>
      <c r="J96" s="16" t="s">
        <v>87</v>
      </c>
      <c r="K96" s="16" t="s">
        <v>88</v>
      </c>
      <c r="L96" s="17">
        <v>5000</v>
      </c>
      <c r="M96" s="17">
        <v>80</v>
      </c>
      <c r="N96" s="16">
        <v>384.6</v>
      </c>
      <c r="O96" s="16">
        <v>202</v>
      </c>
      <c r="P96" s="16">
        <v>49</v>
      </c>
      <c r="Q96" s="16">
        <v>4.2</v>
      </c>
      <c r="R96" s="16">
        <v>3.65</v>
      </c>
      <c r="S96" s="16">
        <v>2.8</v>
      </c>
      <c r="T96" s="16">
        <v>9.6</v>
      </c>
      <c r="U96" s="16">
        <v>144</v>
      </c>
      <c r="V96" s="18">
        <v>1</v>
      </c>
      <c r="W96" s="16">
        <v>885</v>
      </c>
      <c r="Y96" s="16">
        <v>9.6</v>
      </c>
      <c r="Z96" s="16">
        <v>144</v>
      </c>
      <c r="AA96" s="18">
        <v>1</v>
      </c>
      <c r="AB96" s="19" t="s">
        <v>89</v>
      </c>
      <c r="AC96" s="17">
        <v>250</v>
      </c>
      <c r="AD96" s="17">
        <v>12.2</v>
      </c>
      <c r="AE96" s="17">
        <v>155</v>
      </c>
      <c r="AF96" s="21" t="s">
        <v>90</v>
      </c>
      <c r="AG96" s="17">
        <v>2020</v>
      </c>
      <c r="AH96" s="17" t="s">
        <v>91</v>
      </c>
      <c r="AJ96" s="24" t="s">
        <v>484</v>
      </c>
      <c r="AL96" s="19" t="s">
        <v>94</v>
      </c>
      <c r="AM96" s="19">
        <v>0.05</v>
      </c>
      <c r="AN96" s="23">
        <v>0.9</v>
      </c>
      <c r="AO96">
        <f t="shared" si="11"/>
        <v>2</v>
      </c>
      <c r="AP96">
        <f t="shared" si="12"/>
        <v>60.79</v>
      </c>
      <c r="AR96">
        <f t="shared" si="13"/>
        <v>202.09039548022599</v>
      </c>
    </row>
    <row r="97" spans="1:44">
      <c r="A97" t="s">
        <v>489</v>
      </c>
      <c r="B97">
        <v>95</v>
      </c>
      <c r="C97" s="16" t="s">
        <v>490</v>
      </c>
      <c r="D97" s="16" t="s">
        <v>490</v>
      </c>
      <c r="E97" s="16" t="s">
        <v>472</v>
      </c>
      <c r="F97" s="16" t="s">
        <v>83</v>
      </c>
      <c r="G97" s="16" t="s">
        <v>84</v>
      </c>
      <c r="H97" s="28" t="s">
        <v>88</v>
      </c>
      <c r="I97" s="16" t="s">
        <v>491</v>
      </c>
      <c r="J97" s="16" t="s">
        <v>87</v>
      </c>
      <c r="K97" s="16" t="s">
        <v>88</v>
      </c>
      <c r="L97" s="17">
        <v>3000</v>
      </c>
      <c r="M97" s="17">
        <v>85</v>
      </c>
      <c r="N97" s="16">
        <v>348.3</v>
      </c>
      <c r="O97" s="16">
        <v>175</v>
      </c>
      <c r="P97" s="16">
        <v>45</v>
      </c>
      <c r="Q97" s="16">
        <v>4.2</v>
      </c>
      <c r="R97" s="16">
        <v>3.6</v>
      </c>
      <c r="S97" s="16">
        <v>2.4</v>
      </c>
      <c r="T97" s="16">
        <v>8.8000000000000007</v>
      </c>
      <c r="U97" s="16">
        <v>176</v>
      </c>
      <c r="V97" s="18">
        <v>1</v>
      </c>
      <c r="W97" s="16">
        <v>928</v>
      </c>
      <c r="Y97" s="16">
        <v>176</v>
      </c>
      <c r="Z97" s="16">
        <v>8.8000000000000007</v>
      </c>
      <c r="AA97" s="18">
        <v>4</v>
      </c>
      <c r="AB97" s="19" t="s">
        <v>89</v>
      </c>
      <c r="AC97" s="17">
        <v>250</v>
      </c>
      <c r="AD97" s="17">
        <v>12.2</v>
      </c>
      <c r="AE97" s="17">
        <v>155</v>
      </c>
      <c r="AF97" s="21" t="s">
        <v>90</v>
      </c>
      <c r="AG97" s="17">
        <v>2020</v>
      </c>
      <c r="AH97" s="17" t="s">
        <v>91</v>
      </c>
      <c r="AJ97" s="24" t="s">
        <v>484</v>
      </c>
      <c r="AL97" s="19" t="s">
        <v>94</v>
      </c>
      <c r="AM97" s="19">
        <v>0.05</v>
      </c>
      <c r="AN97" s="19" t="s">
        <v>89</v>
      </c>
      <c r="AO97">
        <f t="shared" si="11"/>
        <v>2</v>
      </c>
      <c r="AP97">
        <f t="shared" si="12"/>
        <v>60.79</v>
      </c>
      <c r="AR97">
        <f t="shared" si="13"/>
        <v>174.56896551724137</v>
      </c>
    </row>
    <row r="98" spans="1:44">
      <c r="A98" t="s">
        <v>492</v>
      </c>
      <c r="B98">
        <v>96</v>
      </c>
      <c r="C98" s="16" t="s">
        <v>493</v>
      </c>
      <c r="D98" s="16" t="s">
        <v>493</v>
      </c>
      <c r="E98" s="16" t="s">
        <v>472</v>
      </c>
      <c r="F98" s="16" t="s">
        <v>83</v>
      </c>
      <c r="G98" s="16" t="s">
        <v>84</v>
      </c>
      <c r="H98" s="16" t="s">
        <v>85</v>
      </c>
      <c r="I98" s="16" t="s">
        <v>494</v>
      </c>
      <c r="J98" s="16" t="s">
        <v>87</v>
      </c>
      <c r="K98" s="16" t="s">
        <v>88</v>
      </c>
      <c r="L98" s="17">
        <v>2000</v>
      </c>
      <c r="M98" s="17">
        <v>80</v>
      </c>
      <c r="N98" s="16">
        <v>333</v>
      </c>
      <c r="O98" s="16">
        <v>152</v>
      </c>
      <c r="P98" s="16">
        <v>5.5</v>
      </c>
      <c r="Q98" s="16">
        <v>4.2</v>
      </c>
      <c r="R98" s="16">
        <v>3.7</v>
      </c>
      <c r="S98" s="16">
        <v>2.8</v>
      </c>
      <c r="T98" s="20"/>
      <c r="U98" s="16">
        <v>44</v>
      </c>
      <c r="V98" s="18">
        <v>1</v>
      </c>
      <c r="W98" s="16">
        <v>141</v>
      </c>
      <c r="Y98" s="16">
        <v>27.5</v>
      </c>
      <c r="Z98" s="20"/>
      <c r="AA98" s="18">
        <v>1</v>
      </c>
      <c r="AB98" s="19" t="s">
        <v>89</v>
      </c>
      <c r="AC98" s="17">
        <v>130</v>
      </c>
      <c r="AD98" s="17">
        <v>5.23</v>
      </c>
      <c r="AE98" s="17">
        <v>98</v>
      </c>
      <c r="AF98" s="21" t="s">
        <v>90</v>
      </c>
      <c r="AG98" s="17" t="s">
        <v>469</v>
      </c>
      <c r="AH98" s="17" t="s">
        <v>91</v>
      </c>
      <c r="AJ98" s="24" t="s">
        <v>495</v>
      </c>
      <c r="AK98" s="17" t="s">
        <v>496</v>
      </c>
      <c r="AL98" s="19" t="s">
        <v>94</v>
      </c>
      <c r="AM98" s="19" t="s">
        <v>89</v>
      </c>
      <c r="AN98" s="19" t="s">
        <v>89</v>
      </c>
      <c r="AO98">
        <f t="shared" si="11"/>
        <v>1</v>
      </c>
      <c r="AP98">
        <f t="shared" si="12"/>
        <v>60.25</v>
      </c>
      <c r="AR98">
        <f t="shared" si="13"/>
        <v>144.3262411347518</v>
      </c>
    </row>
    <row r="99" spans="1:44">
      <c r="A99" t="s">
        <v>497</v>
      </c>
      <c r="B99">
        <v>97</v>
      </c>
      <c r="C99" s="16" t="s">
        <v>498</v>
      </c>
      <c r="D99" s="16" t="s">
        <v>498</v>
      </c>
      <c r="E99" s="16" t="s">
        <v>472</v>
      </c>
      <c r="F99" s="16" t="s">
        <v>83</v>
      </c>
      <c r="G99" s="16" t="s">
        <v>84</v>
      </c>
      <c r="H99" s="16" t="s">
        <v>85</v>
      </c>
      <c r="I99" s="16" t="s">
        <v>499</v>
      </c>
      <c r="J99" s="16" t="s">
        <v>87</v>
      </c>
      <c r="K99" s="16" t="s">
        <v>88</v>
      </c>
      <c r="L99" s="17">
        <v>2000</v>
      </c>
      <c r="M99" s="17" t="s">
        <v>89</v>
      </c>
      <c r="N99" s="16">
        <v>388</v>
      </c>
      <c r="O99" s="16">
        <v>181</v>
      </c>
      <c r="P99" s="16">
        <v>10.3</v>
      </c>
      <c r="Q99" s="16">
        <v>4.2</v>
      </c>
      <c r="R99" s="16">
        <v>3.7</v>
      </c>
      <c r="S99" s="16">
        <v>2.8</v>
      </c>
      <c r="T99" s="20"/>
      <c r="U99" s="16">
        <v>30.9</v>
      </c>
      <c r="V99" s="18">
        <v>1</v>
      </c>
      <c r="W99" s="16">
        <v>218</v>
      </c>
      <c r="Y99" s="16">
        <v>10.3</v>
      </c>
      <c r="Z99" s="20"/>
      <c r="AA99" s="18">
        <v>1</v>
      </c>
      <c r="AB99" s="19" t="s">
        <v>89</v>
      </c>
      <c r="AC99" s="17">
        <v>130</v>
      </c>
      <c r="AD99" s="17">
        <v>8.1999999999999993</v>
      </c>
      <c r="AE99" s="17">
        <v>98</v>
      </c>
      <c r="AF99" s="21" t="s">
        <v>90</v>
      </c>
      <c r="AG99" s="17" t="s">
        <v>469</v>
      </c>
      <c r="AH99" s="17" t="s">
        <v>91</v>
      </c>
      <c r="AJ99" s="24" t="s">
        <v>98</v>
      </c>
      <c r="AK99" s="17" t="s">
        <v>496</v>
      </c>
      <c r="AL99" s="19" t="s">
        <v>94</v>
      </c>
      <c r="AM99" s="19" t="s">
        <v>89</v>
      </c>
      <c r="AN99" s="19" t="s">
        <v>89</v>
      </c>
      <c r="AO99">
        <f t="shared" si="11"/>
        <v>1</v>
      </c>
      <c r="AP99">
        <f t="shared" si="12"/>
        <v>60.25</v>
      </c>
      <c r="AR99">
        <f t="shared" si="13"/>
        <v>174.81651376146792</v>
      </c>
    </row>
    <row r="100" spans="1:44">
      <c r="A100" t="s">
        <v>500</v>
      </c>
      <c r="B100">
        <v>98</v>
      </c>
      <c r="C100" s="16" t="s">
        <v>501</v>
      </c>
      <c r="D100" s="16" t="s">
        <v>501</v>
      </c>
      <c r="E100" s="16" t="s">
        <v>472</v>
      </c>
      <c r="F100" s="16" t="s">
        <v>83</v>
      </c>
      <c r="G100" s="16" t="s">
        <v>425</v>
      </c>
      <c r="H100" s="16" t="s">
        <v>85</v>
      </c>
      <c r="I100" s="16" t="s">
        <v>502</v>
      </c>
      <c r="J100" s="16" t="s">
        <v>87</v>
      </c>
      <c r="K100" s="16" t="s">
        <v>88</v>
      </c>
      <c r="L100" s="17">
        <v>700</v>
      </c>
      <c r="M100" s="17" t="s">
        <v>89</v>
      </c>
      <c r="N100" s="16">
        <v>521</v>
      </c>
      <c r="O100" s="16">
        <v>235</v>
      </c>
      <c r="P100" s="16">
        <v>14.5</v>
      </c>
      <c r="Q100" s="16">
        <v>4.2</v>
      </c>
      <c r="R100" s="16">
        <v>3.7</v>
      </c>
      <c r="S100" s="16">
        <v>2.8</v>
      </c>
      <c r="T100" s="20"/>
      <c r="U100" s="16">
        <v>14.5</v>
      </c>
      <c r="V100" s="18">
        <v>1</v>
      </c>
      <c r="W100" s="16">
        <v>235</v>
      </c>
      <c r="Y100" s="16">
        <v>14.5</v>
      </c>
      <c r="Z100" s="20"/>
      <c r="AA100" s="18">
        <v>1</v>
      </c>
      <c r="AB100" s="19" t="s">
        <v>89</v>
      </c>
      <c r="AC100" s="17">
        <v>130</v>
      </c>
      <c r="AD100" s="17">
        <v>8.3000000000000007</v>
      </c>
      <c r="AE100" s="17">
        <v>99</v>
      </c>
      <c r="AF100" s="21" t="s">
        <v>90</v>
      </c>
      <c r="AG100" s="17" t="s">
        <v>469</v>
      </c>
      <c r="AH100" s="17" t="s">
        <v>91</v>
      </c>
      <c r="AJ100" s="24" t="s">
        <v>98</v>
      </c>
      <c r="AK100" s="17" t="s">
        <v>496</v>
      </c>
      <c r="AL100" s="19" t="s">
        <v>94</v>
      </c>
      <c r="AM100" s="19" t="s">
        <v>89</v>
      </c>
      <c r="AN100" s="19" t="s">
        <v>89</v>
      </c>
      <c r="AO100">
        <f t="shared" si="11"/>
        <v>1</v>
      </c>
      <c r="AP100">
        <f t="shared" si="12"/>
        <v>60.25</v>
      </c>
      <c r="AR100">
        <f t="shared" si="13"/>
        <v>228.29787234042556</v>
      </c>
    </row>
    <row r="101" spans="1:44">
      <c r="A101" t="s">
        <v>503</v>
      </c>
      <c r="B101">
        <v>99</v>
      </c>
      <c r="C101" s="16" t="s">
        <v>504</v>
      </c>
      <c r="D101" s="16" t="s">
        <v>504</v>
      </c>
      <c r="E101" s="16" t="s">
        <v>472</v>
      </c>
      <c r="F101" s="16" t="s">
        <v>83</v>
      </c>
      <c r="G101" s="16" t="s">
        <v>84</v>
      </c>
      <c r="H101" s="28" t="s">
        <v>85</v>
      </c>
      <c r="I101" s="16" t="s">
        <v>505</v>
      </c>
      <c r="J101" s="16" t="s">
        <v>87</v>
      </c>
      <c r="K101" s="16" t="s">
        <v>88</v>
      </c>
      <c r="L101" s="17">
        <v>2000</v>
      </c>
      <c r="M101" s="17" t="s">
        <v>89</v>
      </c>
      <c r="N101" s="16">
        <v>440</v>
      </c>
      <c r="O101" s="16">
        <v>202</v>
      </c>
      <c r="P101" s="16">
        <v>11.7</v>
      </c>
      <c r="Q101" s="16">
        <v>4.2</v>
      </c>
      <c r="R101" s="16">
        <v>3.7</v>
      </c>
      <c r="S101" s="16">
        <v>2.8</v>
      </c>
      <c r="T101" s="20"/>
      <c r="U101" s="16">
        <v>35.1</v>
      </c>
      <c r="V101" s="18">
        <v>1</v>
      </c>
      <c r="W101" s="16">
        <v>221</v>
      </c>
      <c r="Y101" s="16">
        <v>11.7</v>
      </c>
      <c r="Z101" s="20"/>
      <c r="AA101" s="18">
        <v>1</v>
      </c>
      <c r="AB101" s="19" t="s">
        <v>89</v>
      </c>
      <c r="AC101" s="17">
        <v>130</v>
      </c>
      <c r="AD101" s="17">
        <v>8.1</v>
      </c>
      <c r="AE101" s="17">
        <v>98</v>
      </c>
      <c r="AF101" s="21" t="s">
        <v>90</v>
      </c>
      <c r="AG101" s="17" t="s">
        <v>469</v>
      </c>
      <c r="AH101" s="17" t="s">
        <v>91</v>
      </c>
      <c r="AJ101" s="24" t="s">
        <v>98</v>
      </c>
      <c r="AL101" s="19" t="s">
        <v>94</v>
      </c>
      <c r="AM101" s="19" t="s">
        <v>89</v>
      </c>
      <c r="AN101" s="19" t="s">
        <v>89</v>
      </c>
      <c r="AO101">
        <f t="shared" si="11"/>
        <v>1</v>
      </c>
      <c r="AP101">
        <f t="shared" si="12"/>
        <v>60.25</v>
      </c>
      <c r="AR101">
        <f t="shared" si="13"/>
        <v>195.88235294117646</v>
      </c>
    </row>
    <row r="102" spans="1:44">
      <c r="A102" t="s">
        <v>506</v>
      </c>
      <c r="B102">
        <v>100</v>
      </c>
      <c r="C102" s="16" t="s">
        <v>507</v>
      </c>
      <c r="D102" s="16" t="s">
        <v>507</v>
      </c>
      <c r="E102" s="16" t="s">
        <v>472</v>
      </c>
      <c r="F102" s="16" t="s">
        <v>129</v>
      </c>
      <c r="G102" s="16" t="s">
        <v>130</v>
      </c>
      <c r="H102" s="28" t="s">
        <v>85</v>
      </c>
      <c r="I102" s="16" t="s">
        <v>508</v>
      </c>
      <c r="J102" s="16" t="s">
        <v>87</v>
      </c>
      <c r="K102" s="16" t="s">
        <v>88</v>
      </c>
      <c r="L102" s="17">
        <v>3000</v>
      </c>
      <c r="M102" s="17" t="s">
        <v>89</v>
      </c>
      <c r="N102" s="16">
        <v>266</v>
      </c>
      <c r="O102" s="16">
        <v>135</v>
      </c>
      <c r="P102" s="16">
        <v>7.5</v>
      </c>
      <c r="Q102" s="16">
        <v>3.65</v>
      </c>
      <c r="R102" s="16">
        <v>3.2</v>
      </c>
      <c r="S102" s="16">
        <v>2.5</v>
      </c>
      <c r="T102" s="20"/>
      <c r="U102" s="16">
        <v>37.5</v>
      </c>
      <c r="V102" s="18" t="s">
        <v>89</v>
      </c>
      <c r="W102" s="16">
        <v>195</v>
      </c>
      <c r="Y102" s="16">
        <v>15</v>
      </c>
      <c r="Z102" s="20"/>
      <c r="AA102" s="18" t="s">
        <v>89</v>
      </c>
      <c r="AB102" s="19" t="s">
        <v>89</v>
      </c>
      <c r="AC102" s="17">
        <v>130</v>
      </c>
      <c r="AD102" s="17">
        <v>7.9</v>
      </c>
      <c r="AE102" s="17">
        <v>98</v>
      </c>
      <c r="AF102" s="21" t="s">
        <v>90</v>
      </c>
      <c r="AG102" s="17" t="s">
        <v>469</v>
      </c>
      <c r="AH102" s="17" t="s">
        <v>91</v>
      </c>
      <c r="AJ102" s="24" t="s">
        <v>98</v>
      </c>
      <c r="AL102" s="19" t="s">
        <v>94</v>
      </c>
      <c r="AM102" s="19" t="s">
        <v>89</v>
      </c>
      <c r="AN102" s="19" t="s">
        <v>89</v>
      </c>
      <c r="AO102">
        <f t="shared" si="11"/>
        <v>1</v>
      </c>
      <c r="AP102">
        <f t="shared" si="12"/>
        <v>60.25</v>
      </c>
      <c r="AR102">
        <f t="shared" si="13"/>
        <v>123.07692307692307</v>
      </c>
    </row>
    <row r="103" spans="1:44">
      <c r="A103" t="s">
        <v>509</v>
      </c>
      <c r="B103">
        <v>101</v>
      </c>
      <c r="C103" s="16" t="s">
        <v>510</v>
      </c>
      <c r="D103" s="16" t="s">
        <v>510</v>
      </c>
      <c r="E103" s="16" t="s">
        <v>472</v>
      </c>
      <c r="F103" s="16" t="s">
        <v>83</v>
      </c>
      <c r="G103" s="16" t="s">
        <v>84</v>
      </c>
      <c r="H103" s="28" t="s">
        <v>85</v>
      </c>
      <c r="I103" s="16" t="s">
        <v>511</v>
      </c>
      <c r="J103" s="16" t="s">
        <v>87</v>
      </c>
      <c r="K103" s="16" t="s">
        <v>88</v>
      </c>
      <c r="L103" s="17">
        <v>2000</v>
      </c>
      <c r="M103" s="17" t="s">
        <v>89</v>
      </c>
      <c r="N103" s="16">
        <v>404</v>
      </c>
      <c r="O103" s="16">
        <v>184</v>
      </c>
      <c r="P103" s="16">
        <v>13</v>
      </c>
      <c r="Q103" s="16">
        <v>4.2</v>
      </c>
      <c r="R103" s="16">
        <v>3.7</v>
      </c>
      <c r="S103" s="16">
        <v>2.8</v>
      </c>
      <c r="T103" s="20"/>
      <c r="U103" s="16">
        <v>39</v>
      </c>
      <c r="V103" s="18">
        <v>1</v>
      </c>
      <c r="W103" s="16">
        <v>260</v>
      </c>
      <c r="Y103" s="16">
        <v>13</v>
      </c>
      <c r="Z103" s="20"/>
      <c r="AA103" s="18">
        <v>1</v>
      </c>
      <c r="AB103" s="19" t="s">
        <v>89</v>
      </c>
      <c r="AC103" s="17">
        <v>130</v>
      </c>
      <c r="AD103" s="17">
        <v>9.0500000000000007</v>
      </c>
      <c r="AE103" s="17">
        <v>98</v>
      </c>
      <c r="AF103" s="21" t="s">
        <v>90</v>
      </c>
      <c r="AG103" s="17" t="s">
        <v>469</v>
      </c>
      <c r="AH103" s="17" t="s">
        <v>91</v>
      </c>
      <c r="AJ103" s="24" t="s">
        <v>98</v>
      </c>
      <c r="AL103" s="19" t="s">
        <v>94</v>
      </c>
      <c r="AM103" s="19" t="s">
        <v>89</v>
      </c>
      <c r="AN103" s="19" t="s">
        <v>89</v>
      </c>
      <c r="AO103">
        <f t="shared" si="11"/>
        <v>1</v>
      </c>
      <c r="AP103">
        <f t="shared" si="12"/>
        <v>60.25</v>
      </c>
      <c r="AR103">
        <f t="shared" si="13"/>
        <v>185</v>
      </c>
    </row>
    <row r="104" spans="1:44">
      <c r="A104" t="s">
        <v>512</v>
      </c>
      <c r="B104">
        <v>102</v>
      </c>
      <c r="C104" s="16" t="s">
        <v>513</v>
      </c>
      <c r="D104" s="16" t="s">
        <v>513</v>
      </c>
      <c r="E104" s="16" t="s">
        <v>514</v>
      </c>
      <c r="F104" s="16" t="s">
        <v>129</v>
      </c>
      <c r="G104" s="16" t="s">
        <v>130</v>
      </c>
      <c r="H104" s="16" t="s">
        <v>88</v>
      </c>
      <c r="I104" s="16" t="s">
        <v>515</v>
      </c>
      <c r="J104" s="16" t="s">
        <v>87</v>
      </c>
      <c r="K104" s="16" t="s">
        <v>88</v>
      </c>
      <c r="L104" s="17">
        <v>2000</v>
      </c>
      <c r="M104" s="17" t="s">
        <v>89</v>
      </c>
      <c r="N104" s="17" t="s">
        <v>89</v>
      </c>
      <c r="O104" s="17" t="s">
        <v>89</v>
      </c>
      <c r="P104" s="16">
        <v>3.5</v>
      </c>
      <c r="Q104" s="16">
        <v>3.65</v>
      </c>
      <c r="R104" s="16">
        <v>3.2</v>
      </c>
      <c r="S104" s="16">
        <v>2</v>
      </c>
      <c r="T104" s="16">
        <f t="shared" ref="T104:T114" si="14">0.2*P104</f>
        <v>0.70000000000000007</v>
      </c>
      <c r="U104" s="16">
        <v>7</v>
      </c>
      <c r="V104" s="18">
        <v>0.5</v>
      </c>
      <c r="W104" s="16">
        <v>87.5</v>
      </c>
      <c r="Y104" s="16">
        <v>3.5</v>
      </c>
      <c r="Z104" s="28">
        <f t="shared" ref="Z104:Z110" si="15">0.2*Q104</f>
        <v>0.73</v>
      </c>
      <c r="AA104" s="18">
        <v>0.5</v>
      </c>
      <c r="AB104" s="19">
        <v>0.33</v>
      </c>
      <c r="AC104" s="17">
        <v>120</v>
      </c>
      <c r="AD104" s="17">
        <v>8.1</v>
      </c>
      <c r="AE104" s="17">
        <v>51.5</v>
      </c>
      <c r="AF104" s="21" t="s">
        <v>90</v>
      </c>
      <c r="AG104" s="17">
        <v>2015</v>
      </c>
      <c r="AH104" s="17" t="s">
        <v>91</v>
      </c>
      <c r="AK104" s="17" t="s">
        <v>516</v>
      </c>
      <c r="AL104" s="19" t="s">
        <v>94</v>
      </c>
      <c r="AM104" s="19" t="s">
        <v>89</v>
      </c>
      <c r="AN104" s="19" t="s">
        <v>89</v>
      </c>
      <c r="AO104">
        <f t="shared" si="11"/>
        <v>2</v>
      </c>
      <c r="AP104">
        <f t="shared" si="12"/>
        <v>60.79</v>
      </c>
      <c r="AR104">
        <f t="shared" si="13"/>
        <v>128.00000000000003</v>
      </c>
    </row>
    <row r="105" spans="1:44">
      <c r="A105" t="s">
        <v>517</v>
      </c>
      <c r="B105">
        <v>103</v>
      </c>
      <c r="C105" s="16" t="s">
        <v>518</v>
      </c>
      <c r="D105" s="16" t="s">
        <v>518</v>
      </c>
      <c r="E105" s="16" t="s">
        <v>514</v>
      </c>
      <c r="F105" s="16" t="s">
        <v>129</v>
      </c>
      <c r="G105" s="16" t="s">
        <v>130</v>
      </c>
      <c r="H105" s="16" t="s">
        <v>88</v>
      </c>
      <c r="I105" s="16" t="s">
        <v>519</v>
      </c>
      <c r="J105" s="16" t="s">
        <v>87</v>
      </c>
      <c r="K105" s="16" t="s">
        <v>88</v>
      </c>
      <c r="L105" s="17">
        <v>2000</v>
      </c>
      <c r="M105" s="17" t="s">
        <v>89</v>
      </c>
      <c r="N105" s="17" t="s">
        <v>89</v>
      </c>
      <c r="O105" s="17" t="s">
        <v>89</v>
      </c>
      <c r="P105" s="16">
        <v>11</v>
      </c>
      <c r="Q105" s="16">
        <v>3.65</v>
      </c>
      <c r="R105" s="16">
        <v>3.2</v>
      </c>
      <c r="S105" s="16">
        <v>2</v>
      </c>
      <c r="T105" s="16">
        <f t="shared" si="14"/>
        <v>2.2000000000000002</v>
      </c>
      <c r="U105" s="16">
        <v>22</v>
      </c>
      <c r="V105" s="18">
        <v>0.5</v>
      </c>
      <c r="W105" s="16">
        <v>275</v>
      </c>
      <c r="Y105" s="16">
        <v>11</v>
      </c>
      <c r="Z105" s="28">
        <f t="shared" si="15"/>
        <v>0.73</v>
      </c>
      <c r="AA105" s="18">
        <v>0.5</v>
      </c>
      <c r="AB105" s="19">
        <v>0.33</v>
      </c>
      <c r="AC105" s="17">
        <v>224</v>
      </c>
      <c r="AD105" s="17">
        <v>11.3</v>
      </c>
      <c r="AE105" s="17">
        <v>67.5</v>
      </c>
      <c r="AF105" s="21" t="s">
        <v>90</v>
      </c>
      <c r="AG105" s="17">
        <v>2016</v>
      </c>
      <c r="AH105" s="17" t="s">
        <v>91</v>
      </c>
      <c r="AJ105" s="24" t="s">
        <v>520</v>
      </c>
      <c r="AK105" s="17" t="s">
        <v>516</v>
      </c>
      <c r="AL105" s="19" t="s">
        <v>94</v>
      </c>
      <c r="AM105" s="19" t="s">
        <v>89</v>
      </c>
      <c r="AN105" s="23">
        <v>1</v>
      </c>
      <c r="AO105">
        <f t="shared" si="11"/>
        <v>2</v>
      </c>
      <c r="AP105">
        <f t="shared" si="12"/>
        <v>60.79</v>
      </c>
      <c r="AR105">
        <f t="shared" si="13"/>
        <v>128</v>
      </c>
    </row>
    <row r="106" spans="1:44">
      <c r="A106" t="s">
        <v>521</v>
      </c>
      <c r="B106">
        <v>104</v>
      </c>
      <c r="C106" s="16" t="s">
        <v>522</v>
      </c>
      <c r="D106" s="16" t="s">
        <v>522</v>
      </c>
      <c r="E106" s="16" t="s">
        <v>514</v>
      </c>
      <c r="F106" s="16" t="s">
        <v>129</v>
      </c>
      <c r="G106" s="16" t="s">
        <v>130</v>
      </c>
      <c r="H106" s="16" t="s">
        <v>88</v>
      </c>
      <c r="I106" s="16" t="s">
        <v>523</v>
      </c>
      <c r="J106" s="16" t="s">
        <v>87</v>
      </c>
      <c r="K106" s="16" t="s">
        <v>88</v>
      </c>
      <c r="L106" s="17">
        <v>2000</v>
      </c>
      <c r="M106" s="17" t="s">
        <v>89</v>
      </c>
      <c r="N106" s="17" t="s">
        <v>89</v>
      </c>
      <c r="O106" s="17" t="s">
        <v>89</v>
      </c>
      <c r="P106" s="16">
        <v>5</v>
      </c>
      <c r="Q106" s="16">
        <v>3.65</v>
      </c>
      <c r="R106" s="16">
        <v>3.2</v>
      </c>
      <c r="S106" s="16">
        <v>2</v>
      </c>
      <c r="T106" s="16">
        <f t="shared" si="14"/>
        <v>1</v>
      </c>
      <c r="U106" s="16">
        <v>10</v>
      </c>
      <c r="V106" s="18">
        <v>0.5</v>
      </c>
      <c r="W106" s="16">
        <v>125</v>
      </c>
      <c r="Y106" s="16">
        <v>5</v>
      </c>
      <c r="Z106" s="28">
        <f t="shared" si="15"/>
        <v>0.73</v>
      </c>
      <c r="AA106" s="18">
        <v>0.5</v>
      </c>
      <c r="AB106" s="19">
        <v>0.33</v>
      </c>
      <c r="AC106" s="17">
        <v>131</v>
      </c>
      <c r="AD106" s="17">
        <v>7.8</v>
      </c>
      <c r="AE106" s="17">
        <v>68.5</v>
      </c>
      <c r="AF106" s="21" t="s">
        <v>90</v>
      </c>
      <c r="AG106" s="17">
        <v>2015</v>
      </c>
      <c r="AH106" s="17" t="s">
        <v>91</v>
      </c>
      <c r="AJ106" s="24" t="s">
        <v>524</v>
      </c>
      <c r="AK106" s="17" t="s">
        <v>516</v>
      </c>
      <c r="AL106" s="19" t="s">
        <v>94</v>
      </c>
      <c r="AM106" s="19" t="s">
        <v>89</v>
      </c>
      <c r="AN106" s="23">
        <v>1</v>
      </c>
      <c r="AO106">
        <f t="shared" si="11"/>
        <v>2</v>
      </c>
      <c r="AP106">
        <f t="shared" si="12"/>
        <v>60.79</v>
      </c>
      <c r="AR106">
        <f t="shared" si="13"/>
        <v>128</v>
      </c>
    </row>
    <row r="107" spans="1:44">
      <c r="A107" t="s">
        <v>525</v>
      </c>
      <c r="B107">
        <v>105</v>
      </c>
      <c r="C107" s="16" t="s">
        <v>526</v>
      </c>
      <c r="D107" s="16" t="s">
        <v>526</v>
      </c>
      <c r="E107" s="16" t="s">
        <v>514</v>
      </c>
      <c r="F107" s="16" t="s">
        <v>129</v>
      </c>
      <c r="G107" s="16" t="s">
        <v>130</v>
      </c>
      <c r="H107" s="16" t="s">
        <v>88</v>
      </c>
      <c r="I107" s="16" t="s">
        <v>527</v>
      </c>
      <c r="J107" s="16" t="s">
        <v>87</v>
      </c>
      <c r="K107" s="16" t="s">
        <v>88</v>
      </c>
      <c r="L107" s="17">
        <v>2000</v>
      </c>
      <c r="M107" s="17" t="s">
        <v>89</v>
      </c>
      <c r="N107" s="17" t="s">
        <v>89</v>
      </c>
      <c r="O107" s="17" t="s">
        <v>89</v>
      </c>
      <c r="P107" s="16">
        <v>8.5</v>
      </c>
      <c r="Q107" s="16">
        <v>3.65</v>
      </c>
      <c r="R107" s="16">
        <v>3.2</v>
      </c>
      <c r="S107" s="16">
        <v>2</v>
      </c>
      <c r="T107" s="16">
        <f t="shared" si="14"/>
        <v>1.7000000000000002</v>
      </c>
      <c r="U107" s="16">
        <v>17</v>
      </c>
      <c r="V107" s="18">
        <v>0.5</v>
      </c>
      <c r="W107" s="16">
        <v>170</v>
      </c>
      <c r="Y107" s="16">
        <v>8.5</v>
      </c>
      <c r="Z107" s="28">
        <f t="shared" si="15"/>
        <v>0.73</v>
      </c>
      <c r="AA107" s="18">
        <v>0.5</v>
      </c>
      <c r="AB107" s="19">
        <v>0.33</v>
      </c>
      <c r="AC107" s="17">
        <v>121</v>
      </c>
      <c r="AD107" s="17">
        <v>9.8000000000000007</v>
      </c>
      <c r="AE107" s="17">
        <v>90.5</v>
      </c>
      <c r="AF107" s="21" t="s">
        <v>90</v>
      </c>
      <c r="AG107" s="17">
        <v>2018</v>
      </c>
      <c r="AH107" s="17" t="s">
        <v>91</v>
      </c>
      <c r="AJ107" s="24" t="s">
        <v>528</v>
      </c>
      <c r="AK107" s="17" t="s">
        <v>516</v>
      </c>
      <c r="AL107" s="19" t="s">
        <v>94</v>
      </c>
      <c r="AM107" s="19" t="s">
        <v>89</v>
      </c>
      <c r="AN107" s="23">
        <v>1</v>
      </c>
      <c r="AO107">
        <f t="shared" si="11"/>
        <v>2</v>
      </c>
      <c r="AP107">
        <f t="shared" si="12"/>
        <v>60.79</v>
      </c>
      <c r="AR107">
        <f t="shared" si="13"/>
        <v>160</v>
      </c>
    </row>
    <row r="108" spans="1:44">
      <c r="A108" t="s">
        <v>529</v>
      </c>
      <c r="B108">
        <v>106</v>
      </c>
      <c r="C108" s="16" t="s">
        <v>530</v>
      </c>
      <c r="D108" s="16" t="s">
        <v>530</v>
      </c>
      <c r="E108" s="16" t="s">
        <v>514</v>
      </c>
      <c r="F108" s="16" t="s">
        <v>129</v>
      </c>
      <c r="G108" s="16" t="s">
        <v>130</v>
      </c>
      <c r="H108" s="16" t="s">
        <v>88</v>
      </c>
      <c r="I108" s="16" t="s">
        <v>531</v>
      </c>
      <c r="J108" s="16" t="s">
        <v>87</v>
      </c>
      <c r="K108" s="16" t="s">
        <v>88</v>
      </c>
      <c r="L108" s="17">
        <v>2000</v>
      </c>
      <c r="M108" s="17" t="s">
        <v>89</v>
      </c>
      <c r="N108" s="17" t="s">
        <v>89</v>
      </c>
      <c r="O108" s="17" t="s">
        <v>89</v>
      </c>
      <c r="P108" s="16">
        <v>4.5</v>
      </c>
      <c r="Q108" s="16">
        <v>3.65</v>
      </c>
      <c r="R108" s="16">
        <v>3.2</v>
      </c>
      <c r="S108" s="16">
        <v>2</v>
      </c>
      <c r="T108" s="16">
        <f t="shared" si="14"/>
        <v>0.9</v>
      </c>
      <c r="U108" s="16">
        <v>9</v>
      </c>
      <c r="V108" s="18">
        <v>0.5</v>
      </c>
      <c r="W108" s="16">
        <v>112.5</v>
      </c>
      <c r="Y108" s="16">
        <v>4.5</v>
      </c>
      <c r="Z108" s="28">
        <f t="shared" si="15"/>
        <v>0.73</v>
      </c>
      <c r="AA108" s="18">
        <v>0.5</v>
      </c>
      <c r="AB108" s="19">
        <v>0.33</v>
      </c>
      <c r="AC108" s="17">
        <v>101</v>
      </c>
      <c r="AD108" s="17">
        <v>6.3</v>
      </c>
      <c r="AE108" s="17">
        <v>100.5</v>
      </c>
      <c r="AF108" s="21" t="s">
        <v>90</v>
      </c>
      <c r="AG108" s="17">
        <v>2015</v>
      </c>
      <c r="AH108" s="17" t="s">
        <v>91</v>
      </c>
      <c r="AJ108" s="24" t="s">
        <v>524</v>
      </c>
      <c r="AK108" s="17" t="s">
        <v>516</v>
      </c>
      <c r="AL108" s="19" t="s">
        <v>94</v>
      </c>
      <c r="AM108" s="19" t="s">
        <v>89</v>
      </c>
      <c r="AN108" s="23">
        <v>1</v>
      </c>
      <c r="AO108">
        <f t="shared" si="11"/>
        <v>2</v>
      </c>
      <c r="AP108">
        <f t="shared" si="12"/>
        <v>60.79</v>
      </c>
      <c r="AR108">
        <f t="shared" si="13"/>
        <v>128</v>
      </c>
    </row>
    <row r="109" spans="1:44">
      <c r="A109" t="s">
        <v>532</v>
      </c>
      <c r="B109">
        <v>107</v>
      </c>
      <c r="C109" s="16" t="s">
        <v>533</v>
      </c>
      <c r="D109" s="16" t="s">
        <v>533</v>
      </c>
      <c r="E109" s="16" t="s">
        <v>514</v>
      </c>
      <c r="F109" s="16" t="s">
        <v>129</v>
      </c>
      <c r="G109" s="16" t="s">
        <v>130</v>
      </c>
      <c r="H109" s="16" t="s">
        <v>88</v>
      </c>
      <c r="I109" s="16" t="s">
        <v>534</v>
      </c>
      <c r="J109" s="16" t="s">
        <v>87</v>
      </c>
      <c r="K109" s="16" t="s">
        <v>88</v>
      </c>
      <c r="L109" s="17">
        <v>2000</v>
      </c>
      <c r="M109" s="17" t="s">
        <v>89</v>
      </c>
      <c r="N109" s="17" t="s">
        <v>89</v>
      </c>
      <c r="O109" s="17" t="s">
        <v>89</v>
      </c>
      <c r="P109" s="16">
        <v>10</v>
      </c>
      <c r="Q109" s="16">
        <v>3.65</v>
      </c>
      <c r="R109" s="16">
        <v>3.2</v>
      </c>
      <c r="S109" s="16">
        <v>2</v>
      </c>
      <c r="T109" s="16">
        <f t="shared" si="14"/>
        <v>2</v>
      </c>
      <c r="U109" s="16">
        <v>20</v>
      </c>
      <c r="V109" s="18">
        <v>0.5</v>
      </c>
      <c r="W109" s="16">
        <v>250</v>
      </c>
      <c r="Y109" s="16">
        <v>10</v>
      </c>
      <c r="Z109" s="28">
        <f t="shared" si="15"/>
        <v>0.73</v>
      </c>
      <c r="AA109" s="18">
        <v>0.5</v>
      </c>
      <c r="AB109" s="19">
        <v>0.33</v>
      </c>
      <c r="AC109" s="17">
        <v>166</v>
      </c>
      <c r="AD109" s="17">
        <v>9.5</v>
      </c>
      <c r="AE109" s="17">
        <v>101</v>
      </c>
      <c r="AF109" s="21" t="s">
        <v>90</v>
      </c>
      <c r="AG109" s="17">
        <v>2017</v>
      </c>
      <c r="AH109" s="17" t="s">
        <v>91</v>
      </c>
      <c r="AJ109" s="24" t="s">
        <v>535</v>
      </c>
      <c r="AK109" s="17" t="s">
        <v>516</v>
      </c>
      <c r="AL109" s="19" t="s">
        <v>94</v>
      </c>
      <c r="AM109" s="19" t="s">
        <v>89</v>
      </c>
      <c r="AN109" s="23">
        <v>1</v>
      </c>
      <c r="AO109">
        <f t="shared" si="11"/>
        <v>2</v>
      </c>
      <c r="AP109">
        <f t="shared" si="12"/>
        <v>60.79</v>
      </c>
      <c r="AR109">
        <f t="shared" si="13"/>
        <v>128</v>
      </c>
    </row>
    <row r="110" spans="1:44">
      <c r="A110" t="s">
        <v>536</v>
      </c>
      <c r="B110">
        <v>108</v>
      </c>
      <c r="C110" s="16" t="s">
        <v>537</v>
      </c>
      <c r="D110" s="16" t="s">
        <v>537</v>
      </c>
      <c r="E110" s="16" t="s">
        <v>514</v>
      </c>
      <c r="F110" s="16" t="s">
        <v>129</v>
      </c>
      <c r="G110" s="16" t="s">
        <v>130</v>
      </c>
      <c r="H110" s="16" t="s">
        <v>88</v>
      </c>
      <c r="I110" s="16" t="s">
        <v>515</v>
      </c>
      <c r="J110" s="16" t="s">
        <v>87</v>
      </c>
      <c r="K110" s="16" t="s">
        <v>88</v>
      </c>
      <c r="L110" s="17">
        <v>2000</v>
      </c>
      <c r="M110" s="17" t="s">
        <v>89</v>
      </c>
      <c r="N110" s="17" t="s">
        <v>89</v>
      </c>
      <c r="O110" s="17" t="s">
        <v>89</v>
      </c>
      <c r="P110" s="16">
        <v>7</v>
      </c>
      <c r="Q110" s="16">
        <v>3.65</v>
      </c>
      <c r="R110" s="16">
        <v>3.2</v>
      </c>
      <c r="S110" s="16">
        <v>2</v>
      </c>
      <c r="T110" s="16">
        <f t="shared" si="14"/>
        <v>1.4000000000000001</v>
      </c>
      <c r="U110" s="16">
        <v>14</v>
      </c>
      <c r="V110" s="18">
        <v>0.5</v>
      </c>
      <c r="W110" s="16">
        <v>175</v>
      </c>
      <c r="Y110" s="16">
        <v>7</v>
      </c>
      <c r="Z110" s="28">
        <f t="shared" si="15"/>
        <v>0.73</v>
      </c>
      <c r="AA110" s="18">
        <v>0.5</v>
      </c>
      <c r="AB110" s="19">
        <v>0.33</v>
      </c>
      <c r="AC110" s="17">
        <v>123</v>
      </c>
      <c r="AD110" s="17">
        <v>7.8</v>
      </c>
      <c r="AE110" s="17">
        <v>103.5</v>
      </c>
      <c r="AF110" s="21" t="s">
        <v>90</v>
      </c>
      <c r="AG110" s="17">
        <v>2014</v>
      </c>
      <c r="AH110" s="17" t="s">
        <v>91</v>
      </c>
      <c r="AJ110" s="24" t="s">
        <v>538</v>
      </c>
      <c r="AK110" s="17" t="s">
        <v>516</v>
      </c>
      <c r="AL110" s="19" t="s">
        <v>94</v>
      </c>
      <c r="AM110" s="19" t="s">
        <v>89</v>
      </c>
      <c r="AN110" s="23">
        <v>1</v>
      </c>
      <c r="AO110">
        <f t="shared" si="11"/>
        <v>2</v>
      </c>
      <c r="AP110">
        <f t="shared" si="12"/>
        <v>60.79</v>
      </c>
      <c r="AR110">
        <f t="shared" si="13"/>
        <v>128.00000000000003</v>
      </c>
    </row>
    <row r="111" spans="1:44">
      <c r="A111" t="s">
        <v>539</v>
      </c>
      <c r="B111">
        <v>109</v>
      </c>
      <c r="C111" s="16" t="s">
        <v>540</v>
      </c>
      <c r="D111" s="16" t="s">
        <v>540</v>
      </c>
      <c r="E111" s="16" t="s">
        <v>459</v>
      </c>
      <c r="F111" s="16" t="s">
        <v>83</v>
      </c>
      <c r="G111" s="16" t="s">
        <v>425</v>
      </c>
      <c r="H111" s="16" t="s">
        <v>88</v>
      </c>
      <c r="I111" s="16" t="s">
        <v>541</v>
      </c>
      <c r="J111" s="16" t="s">
        <v>87</v>
      </c>
      <c r="K111" s="16" t="s">
        <v>88</v>
      </c>
      <c r="L111" s="17">
        <v>2000</v>
      </c>
      <c r="M111" s="17">
        <v>80</v>
      </c>
      <c r="N111" s="16">
        <v>343</v>
      </c>
      <c r="O111" s="16">
        <v>134</v>
      </c>
      <c r="P111" s="16">
        <v>55</v>
      </c>
      <c r="Q111" s="16">
        <v>4.0999999999999996</v>
      </c>
      <c r="R111" s="16">
        <v>3.7</v>
      </c>
      <c r="S111" s="16">
        <v>3</v>
      </c>
      <c r="T111" s="16">
        <f t="shared" si="14"/>
        <v>11</v>
      </c>
      <c r="U111" s="16">
        <v>440</v>
      </c>
      <c r="V111" s="18">
        <v>0.5</v>
      </c>
      <c r="W111" s="16">
        <v>1680</v>
      </c>
      <c r="Y111" s="16">
        <v>27.5</v>
      </c>
      <c r="Z111" s="16">
        <f>0.2*P111</f>
        <v>11</v>
      </c>
      <c r="AA111" s="18">
        <v>0.5</v>
      </c>
      <c r="AB111" s="19" t="s">
        <v>89</v>
      </c>
      <c r="AC111" s="17">
        <v>141</v>
      </c>
      <c r="AD111" s="17">
        <v>34</v>
      </c>
      <c r="AE111" s="17">
        <v>137.69999999999999</v>
      </c>
      <c r="AF111" s="21" t="s">
        <v>90</v>
      </c>
      <c r="AG111" s="17">
        <v>2016</v>
      </c>
      <c r="AH111" s="17" t="s">
        <v>91</v>
      </c>
      <c r="AL111" s="19" t="s">
        <v>94</v>
      </c>
      <c r="AM111" s="19" t="s">
        <v>89</v>
      </c>
      <c r="AN111" s="19" t="s">
        <v>89</v>
      </c>
      <c r="AO111">
        <f t="shared" si="11"/>
        <v>2</v>
      </c>
      <c r="AP111">
        <f t="shared" si="12"/>
        <v>60.79</v>
      </c>
      <c r="AR111">
        <f t="shared" si="13"/>
        <v>121.13095238095238</v>
      </c>
    </row>
    <row r="112" spans="1:44">
      <c r="A112" t="s">
        <v>542</v>
      </c>
      <c r="B112">
        <v>110</v>
      </c>
      <c r="C112" s="16" t="s">
        <v>543</v>
      </c>
      <c r="D112" s="16" t="s">
        <v>543</v>
      </c>
      <c r="E112" s="16" t="s">
        <v>544</v>
      </c>
      <c r="F112" s="16" t="s">
        <v>83</v>
      </c>
      <c r="G112" s="16" t="s">
        <v>286</v>
      </c>
      <c r="H112" s="16" t="s">
        <v>266</v>
      </c>
      <c r="I112" s="16" t="s">
        <v>545</v>
      </c>
      <c r="J112" s="16" t="s">
        <v>87</v>
      </c>
      <c r="K112" s="16" t="s">
        <v>268</v>
      </c>
      <c r="L112" s="17">
        <v>1000</v>
      </c>
      <c r="M112" s="17">
        <v>90</v>
      </c>
      <c r="N112" s="17" t="s">
        <v>89</v>
      </c>
      <c r="O112" s="16">
        <v>257</v>
      </c>
      <c r="P112" s="16">
        <v>5</v>
      </c>
      <c r="Q112" s="16">
        <v>4.2</v>
      </c>
      <c r="R112" s="16">
        <v>3.6</v>
      </c>
      <c r="S112" s="16">
        <v>2.5</v>
      </c>
      <c r="T112" s="16">
        <f t="shared" si="14"/>
        <v>1</v>
      </c>
      <c r="U112" s="16">
        <v>14</v>
      </c>
      <c r="V112" s="18">
        <v>0.33</v>
      </c>
      <c r="W112" s="16">
        <v>68.5</v>
      </c>
      <c r="Y112" s="16">
        <v>2.38</v>
      </c>
      <c r="Z112" s="16">
        <v>1.45</v>
      </c>
      <c r="AA112" s="18">
        <v>0.33</v>
      </c>
      <c r="AB112" s="19" t="s">
        <v>89</v>
      </c>
      <c r="AC112" s="17" t="s">
        <v>90</v>
      </c>
      <c r="AD112" s="17">
        <v>70.150000000000006</v>
      </c>
      <c r="AF112" s="17">
        <v>21.1</v>
      </c>
      <c r="AG112" s="17">
        <v>2018</v>
      </c>
      <c r="AH112" s="17" t="s">
        <v>91</v>
      </c>
      <c r="AL112" s="19" t="s">
        <v>94</v>
      </c>
      <c r="AM112" s="19" t="s">
        <v>89</v>
      </c>
      <c r="AN112" s="19" t="s">
        <v>89</v>
      </c>
      <c r="AO112">
        <f t="shared" si="11"/>
        <v>3</v>
      </c>
      <c r="AP112">
        <f t="shared" si="12"/>
        <v>64.69</v>
      </c>
      <c r="AR112">
        <f t="shared" si="13"/>
        <v>262.77372262773719</v>
      </c>
    </row>
    <row r="113" spans="1:44">
      <c r="A113" t="s">
        <v>546</v>
      </c>
      <c r="B113">
        <v>111</v>
      </c>
      <c r="C113" s="16" t="s">
        <v>547</v>
      </c>
      <c r="D113" s="16" t="s">
        <v>547</v>
      </c>
      <c r="E113" s="16" t="s">
        <v>548</v>
      </c>
      <c r="F113" s="16" t="s">
        <v>83</v>
      </c>
      <c r="G113" s="16" t="s">
        <v>286</v>
      </c>
      <c r="H113" s="16" t="s">
        <v>85</v>
      </c>
      <c r="I113" s="16" t="s">
        <v>549</v>
      </c>
      <c r="J113" s="16" t="s">
        <v>87</v>
      </c>
      <c r="K113" s="16" t="s">
        <v>88</v>
      </c>
      <c r="L113" s="17">
        <v>800</v>
      </c>
      <c r="M113" s="17">
        <v>80</v>
      </c>
      <c r="N113" s="16">
        <v>850</v>
      </c>
      <c r="O113" s="16">
        <v>340</v>
      </c>
      <c r="P113" s="16">
        <v>12</v>
      </c>
      <c r="Q113" s="16">
        <v>4.2</v>
      </c>
      <c r="R113" s="16">
        <v>3.45</v>
      </c>
      <c r="S113" s="16">
        <v>2.5</v>
      </c>
      <c r="T113" s="16">
        <f t="shared" si="14"/>
        <v>2.4000000000000004</v>
      </c>
      <c r="U113" s="16">
        <f>5*P113</f>
        <v>60</v>
      </c>
      <c r="V113" s="18">
        <v>1</v>
      </c>
      <c r="W113" s="16">
        <v>121</v>
      </c>
      <c r="Y113" s="16">
        <f>1*P113</f>
        <v>12</v>
      </c>
      <c r="Z113" s="16">
        <f>0.2*P113</f>
        <v>2.4000000000000004</v>
      </c>
      <c r="AA113" s="18">
        <v>1</v>
      </c>
      <c r="AB113" s="19" t="s">
        <v>89</v>
      </c>
      <c r="AC113" s="17">
        <v>145</v>
      </c>
      <c r="AD113" s="17">
        <v>6</v>
      </c>
      <c r="AE113" s="17">
        <v>64</v>
      </c>
      <c r="AF113" s="21" t="s">
        <v>90</v>
      </c>
      <c r="AG113" s="17">
        <v>2019</v>
      </c>
      <c r="AH113" s="17" t="s">
        <v>91</v>
      </c>
      <c r="AJ113" s="24" t="s">
        <v>550</v>
      </c>
      <c r="AL113" s="19" t="s">
        <v>94</v>
      </c>
      <c r="AM113" s="19" t="s">
        <v>89</v>
      </c>
      <c r="AN113" s="19" t="s">
        <v>89</v>
      </c>
      <c r="AO113">
        <f t="shared" si="11"/>
        <v>1</v>
      </c>
      <c r="AP113">
        <f t="shared" si="12"/>
        <v>60.25</v>
      </c>
      <c r="AR113">
        <f t="shared" si="13"/>
        <v>342.14876033057857</v>
      </c>
    </row>
    <row r="114" spans="1:44">
      <c r="A114" t="s">
        <v>551</v>
      </c>
      <c r="B114">
        <v>112</v>
      </c>
      <c r="C114" s="16" t="s">
        <v>552</v>
      </c>
      <c r="D114" s="16" t="s">
        <v>552</v>
      </c>
      <c r="E114" s="16" t="s">
        <v>548</v>
      </c>
      <c r="F114" s="16" t="s">
        <v>83</v>
      </c>
      <c r="G114" s="16" t="s">
        <v>84</v>
      </c>
      <c r="H114" s="16" t="s">
        <v>85</v>
      </c>
      <c r="I114" s="16" t="s">
        <v>553</v>
      </c>
      <c r="J114" s="16" t="s">
        <v>87</v>
      </c>
      <c r="K114" s="16" t="s">
        <v>88</v>
      </c>
      <c r="L114" s="17">
        <v>1000</v>
      </c>
      <c r="M114" s="17">
        <v>80</v>
      </c>
      <c r="N114" s="16">
        <v>640</v>
      </c>
      <c r="O114" s="16">
        <v>300</v>
      </c>
      <c r="P114" s="16">
        <v>51</v>
      </c>
      <c r="Q114" s="16">
        <v>4.3</v>
      </c>
      <c r="R114" s="16">
        <v>3.46</v>
      </c>
      <c r="S114" s="16">
        <v>2.5</v>
      </c>
      <c r="T114" s="16">
        <f t="shared" si="14"/>
        <v>10.200000000000001</v>
      </c>
      <c r="U114" s="16">
        <f>5*P114</f>
        <v>255</v>
      </c>
      <c r="V114" s="18">
        <v>1</v>
      </c>
      <c r="W114" s="16">
        <v>592</v>
      </c>
      <c r="Y114" s="16">
        <f>1*P114</f>
        <v>51</v>
      </c>
      <c r="Z114" s="16">
        <f>0.2*P114</f>
        <v>10.200000000000001</v>
      </c>
      <c r="AA114" s="18">
        <v>1</v>
      </c>
      <c r="AB114" s="19" t="s">
        <v>89</v>
      </c>
      <c r="AC114" s="17">
        <v>320</v>
      </c>
      <c r="AD114" s="17">
        <v>7</v>
      </c>
      <c r="AE114" s="17">
        <v>102</v>
      </c>
      <c r="AF114" s="21" t="s">
        <v>90</v>
      </c>
      <c r="AG114" s="17">
        <v>2019</v>
      </c>
      <c r="AH114" s="17" t="s">
        <v>91</v>
      </c>
      <c r="AL114" s="19" t="s">
        <v>94</v>
      </c>
      <c r="AM114" s="19" t="s">
        <v>89</v>
      </c>
      <c r="AN114" s="19" t="s">
        <v>89</v>
      </c>
      <c r="AO114">
        <f t="shared" si="11"/>
        <v>1</v>
      </c>
      <c r="AP114">
        <f t="shared" si="12"/>
        <v>60.25</v>
      </c>
      <c r="AR114">
        <f t="shared" si="13"/>
        <v>298.07432432432438</v>
      </c>
    </row>
    <row r="115" spans="1:44">
      <c r="A115" t="s">
        <v>554</v>
      </c>
      <c r="B115">
        <v>113</v>
      </c>
      <c r="C115" s="16" t="s">
        <v>555</v>
      </c>
      <c r="D115" s="16" t="s">
        <v>555</v>
      </c>
      <c r="E115" s="16" t="s">
        <v>556</v>
      </c>
      <c r="H115" s="16" t="s">
        <v>85</v>
      </c>
      <c r="I115" s="16">
        <v>2895129</v>
      </c>
      <c r="J115" s="16" t="s">
        <v>87</v>
      </c>
      <c r="K115" s="16" t="s">
        <v>88</v>
      </c>
      <c r="L115" s="17">
        <v>800</v>
      </c>
      <c r="M115" s="17">
        <v>80</v>
      </c>
      <c r="N115" s="17" t="s">
        <v>89</v>
      </c>
      <c r="O115" s="17" t="s">
        <v>89</v>
      </c>
      <c r="P115" s="16">
        <v>4.42</v>
      </c>
      <c r="Q115" s="16">
        <v>4.3499999999999996</v>
      </c>
      <c r="R115" s="16">
        <v>3.85</v>
      </c>
      <c r="S115" s="16">
        <v>2.5</v>
      </c>
      <c r="T115" s="16">
        <v>1</v>
      </c>
      <c r="U115" s="16">
        <v>8.8000000000000007</v>
      </c>
      <c r="V115" s="18">
        <v>0.5</v>
      </c>
      <c r="W115" s="16">
        <v>79</v>
      </c>
      <c r="Y115" s="16">
        <v>4.4000000000000004</v>
      </c>
      <c r="Z115" s="16">
        <v>1</v>
      </c>
      <c r="AA115" s="18">
        <v>0.33</v>
      </c>
      <c r="AB115" s="19" t="s">
        <v>89</v>
      </c>
      <c r="AC115" s="17">
        <v>129</v>
      </c>
      <c r="AD115" s="17">
        <v>2.8</v>
      </c>
      <c r="AE115" s="17">
        <v>95</v>
      </c>
      <c r="AF115" s="21" t="s">
        <v>90</v>
      </c>
      <c r="AH115" s="17" t="s">
        <v>307</v>
      </c>
      <c r="AI115" s="17" t="s">
        <v>91</v>
      </c>
      <c r="AL115" s="19" t="s">
        <v>94</v>
      </c>
      <c r="AM115" s="19" t="s">
        <v>89</v>
      </c>
      <c r="AN115" s="19" t="s">
        <v>89</v>
      </c>
      <c r="AO115">
        <f t="shared" si="11"/>
        <v>1</v>
      </c>
      <c r="AP115">
        <f t="shared" si="12"/>
        <v>60.25</v>
      </c>
      <c r="AR115">
        <f t="shared" si="13"/>
        <v>215.40506329113924</v>
      </c>
    </row>
    <row r="116" spans="1:44">
      <c r="A116" t="s">
        <v>557</v>
      </c>
      <c r="B116">
        <v>114</v>
      </c>
      <c r="C116" s="16" t="s">
        <v>558</v>
      </c>
      <c r="D116" s="16" t="s">
        <v>558</v>
      </c>
      <c r="E116" s="16" t="s">
        <v>161</v>
      </c>
      <c r="F116" s="16" t="s">
        <v>129</v>
      </c>
      <c r="G116" s="16" t="s">
        <v>130</v>
      </c>
      <c r="H116" s="16" t="s">
        <v>88</v>
      </c>
      <c r="I116" s="16" t="s">
        <v>559</v>
      </c>
      <c r="J116" s="16" t="s">
        <v>87</v>
      </c>
      <c r="K116" s="16" t="s">
        <v>88</v>
      </c>
      <c r="L116" s="17">
        <v>3500</v>
      </c>
      <c r="M116" s="17">
        <v>80</v>
      </c>
      <c r="N116" s="17" t="s">
        <v>89</v>
      </c>
      <c r="O116" s="17" t="s">
        <v>89</v>
      </c>
      <c r="P116" s="16">
        <v>106.5</v>
      </c>
      <c r="Q116" s="16">
        <v>3.65</v>
      </c>
      <c r="R116" s="16">
        <v>3.2</v>
      </c>
      <c r="S116" s="16">
        <v>2.5</v>
      </c>
      <c r="T116" s="16">
        <f>0.5*P116</f>
        <v>53.25</v>
      </c>
      <c r="U116" s="16">
        <f>3*P116</f>
        <v>319.5</v>
      </c>
      <c r="V116" s="18">
        <v>1</v>
      </c>
      <c r="W116" s="16">
        <v>1980</v>
      </c>
      <c r="Y116" s="16">
        <f>1*P116</f>
        <v>106.5</v>
      </c>
      <c r="Z116" s="16">
        <f>0.5*P116</f>
        <v>53.25</v>
      </c>
      <c r="AA116" s="18">
        <v>1</v>
      </c>
      <c r="AB116" s="19" t="s">
        <v>89</v>
      </c>
      <c r="AC116" s="17">
        <v>200.5</v>
      </c>
      <c r="AD116" s="17">
        <v>36.700000000000003</v>
      </c>
      <c r="AE116" s="17">
        <v>130.30000000000001</v>
      </c>
      <c r="AF116" s="21" t="s">
        <v>90</v>
      </c>
      <c r="AG116" s="17">
        <v>2017</v>
      </c>
      <c r="AH116" s="17" t="s">
        <v>91</v>
      </c>
      <c r="AJ116" s="24" t="s">
        <v>560</v>
      </c>
      <c r="AL116" s="19" t="s">
        <v>94</v>
      </c>
      <c r="AM116" s="19">
        <v>0.05</v>
      </c>
      <c r="AN116" s="19" t="s">
        <v>89</v>
      </c>
      <c r="AO116">
        <f t="shared" si="11"/>
        <v>2</v>
      </c>
      <c r="AP116">
        <f t="shared" si="12"/>
        <v>60.79</v>
      </c>
      <c r="AR116">
        <f t="shared" si="13"/>
        <v>172.12121212121212</v>
      </c>
    </row>
    <row r="117" spans="1:44">
      <c r="A117" t="s">
        <v>561</v>
      </c>
      <c r="B117">
        <v>115</v>
      </c>
      <c r="C117" s="16" t="s">
        <v>562</v>
      </c>
      <c r="D117" s="16" t="s">
        <v>562</v>
      </c>
      <c r="E117" s="16" t="s">
        <v>161</v>
      </c>
      <c r="F117" s="16" t="s">
        <v>129</v>
      </c>
      <c r="G117" s="16" t="s">
        <v>130</v>
      </c>
      <c r="H117" s="16" t="s">
        <v>88</v>
      </c>
      <c r="I117" s="16" t="s">
        <v>563</v>
      </c>
      <c r="J117" s="16" t="s">
        <v>87</v>
      </c>
      <c r="K117" s="16" t="s">
        <v>88</v>
      </c>
      <c r="L117" s="17">
        <v>3500</v>
      </c>
      <c r="M117" s="17">
        <v>80</v>
      </c>
      <c r="N117" s="27">
        <v>318</v>
      </c>
      <c r="O117" s="16">
        <v>147</v>
      </c>
      <c r="P117" s="16">
        <v>91.5</v>
      </c>
      <c r="Q117" s="16">
        <v>3.65</v>
      </c>
      <c r="R117" s="16">
        <v>3.2</v>
      </c>
      <c r="S117" s="16">
        <v>2.5</v>
      </c>
      <c r="T117" s="16">
        <v>265</v>
      </c>
      <c r="U117" s="16">
        <v>681</v>
      </c>
      <c r="V117" s="18">
        <v>1</v>
      </c>
      <c r="W117" s="16">
        <v>1990</v>
      </c>
      <c r="Y117" s="16">
        <f>1*P117</f>
        <v>91.5</v>
      </c>
      <c r="Z117" s="16">
        <f>0.5*P117</f>
        <v>45.75</v>
      </c>
      <c r="AA117" s="18">
        <v>1</v>
      </c>
      <c r="AB117" s="19" t="s">
        <v>89</v>
      </c>
      <c r="AC117" s="17">
        <v>195.3</v>
      </c>
      <c r="AD117" s="17">
        <v>36.200000000000003</v>
      </c>
      <c r="AE117" s="17">
        <v>130.1</v>
      </c>
      <c r="AF117" s="21" t="s">
        <v>90</v>
      </c>
      <c r="AI117" s="17" t="s">
        <v>91</v>
      </c>
      <c r="AL117" s="19" t="s">
        <v>94</v>
      </c>
      <c r="AM117" s="19" t="s">
        <v>89</v>
      </c>
      <c r="AN117" s="19" t="s">
        <v>89</v>
      </c>
      <c r="AO117">
        <f t="shared" si="11"/>
        <v>2</v>
      </c>
      <c r="AP117">
        <f t="shared" si="12"/>
        <v>60.79</v>
      </c>
      <c r="AR117">
        <f t="shared" si="13"/>
        <v>147.1356783919598</v>
      </c>
    </row>
    <row r="118" spans="1:44">
      <c r="A118" t="s">
        <v>564</v>
      </c>
      <c r="B118">
        <v>116</v>
      </c>
      <c r="C118" s="16" t="s">
        <v>565</v>
      </c>
      <c r="D118" s="16" t="s">
        <v>565</v>
      </c>
      <c r="E118" s="16" t="s">
        <v>566</v>
      </c>
      <c r="F118" s="16" t="s">
        <v>83</v>
      </c>
      <c r="G118" s="16" t="s">
        <v>425</v>
      </c>
      <c r="H118" s="16" t="s">
        <v>266</v>
      </c>
      <c r="I118" s="16" t="s">
        <v>567</v>
      </c>
      <c r="J118" s="16" t="s">
        <v>87</v>
      </c>
      <c r="K118" s="16" t="s">
        <v>268</v>
      </c>
      <c r="L118" s="17">
        <v>800</v>
      </c>
      <c r="M118" s="17">
        <v>80</v>
      </c>
      <c r="N118" s="16">
        <v>727</v>
      </c>
      <c r="O118" s="16">
        <v>264</v>
      </c>
      <c r="P118" s="16">
        <v>5</v>
      </c>
      <c r="Q118" s="16">
        <v>4.2</v>
      </c>
      <c r="R118" s="16">
        <v>3.6</v>
      </c>
      <c r="S118" s="16">
        <v>2.75</v>
      </c>
      <c r="T118" s="16">
        <v>1</v>
      </c>
      <c r="U118" s="16">
        <v>15</v>
      </c>
      <c r="V118" s="18">
        <v>1</v>
      </c>
      <c r="W118" s="16">
        <v>72</v>
      </c>
      <c r="Y118" s="16">
        <v>3.5</v>
      </c>
      <c r="Z118" s="16">
        <v>0.2</v>
      </c>
      <c r="AA118" s="18">
        <v>0.5</v>
      </c>
      <c r="AB118" s="19" t="s">
        <v>89</v>
      </c>
      <c r="AC118" s="17" t="s">
        <v>90</v>
      </c>
      <c r="AD118" s="17">
        <v>70.900000000000006</v>
      </c>
      <c r="AE118" s="20"/>
      <c r="AF118" s="17">
        <v>21.7</v>
      </c>
      <c r="AG118" s="17">
        <v>2021</v>
      </c>
      <c r="AH118" s="17" t="s">
        <v>91</v>
      </c>
      <c r="AJ118" s="24" t="s">
        <v>568</v>
      </c>
      <c r="AL118" s="19" t="s">
        <v>94</v>
      </c>
      <c r="AM118" s="19">
        <v>0.02</v>
      </c>
      <c r="AN118" s="19" t="s">
        <v>89</v>
      </c>
      <c r="AO118">
        <f t="shared" si="11"/>
        <v>3</v>
      </c>
      <c r="AP118">
        <f t="shared" si="12"/>
        <v>64.69</v>
      </c>
      <c r="AR118">
        <f t="shared" si="13"/>
        <v>250.00000000000003</v>
      </c>
    </row>
    <row r="119" spans="1:44">
      <c r="A119" t="s">
        <v>569</v>
      </c>
      <c r="B119">
        <v>117</v>
      </c>
      <c r="C119" s="16" t="s">
        <v>570</v>
      </c>
      <c r="D119" s="16" t="s">
        <v>570</v>
      </c>
      <c r="E119" s="16" t="s">
        <v>571</v>
      </c>
      <c r="F119" s="16" t="s">
        <v>83</v>
      </c>
      <c r="H119" s="16" t="s">
        <v>85</v>
      </c>
      <c r="I119" s="16" t="s">
        <v>572</v>
      </c>
      <c r="J119" s="16" t="s">
        <v>87</v>
      </c>
      <c r="K119" s="16" t="s">
        <v>88</v>
      </c>
      <c r="L119" s="17">
        <v>1000</v>
      </c>
      <c r="M119" s="17">
        <v>80</v>
      </c>
      <c r="N119" s="16">
        <v>607</v>
      </c>
      <c r="O119" s="16">
        <v>257</v>
      </c>
      <c r="P119" s="16">
        <v>60</v>
      </c>
      <c r="Q119" s="16">
        <v>4.3499999999999996</v>
      </c>
      <c r="R119" s="16">
        <v>3.63</v>
      </c>
      <c r="S119" s="16">
        <v>2.75</v>
      </c>
      <c r="T119" s="16">
        <f t="shared" ref="T119:T127" si="16">0.5*P119</f>
        <v>30</v>
      </c>
      <c r="U119" s="16">
        <v>120</v>
      </c>
      <c r="V119" s="18">
        <v>1</v>
      </c>
      <c r="W119" s="16">
        <v>899.3</v>
      </c>
      <c r="Y119" s="16">
        <f>1*P119</f>
        <v>60</v>
      </c>
      <c r="Z119" s="16">
        <f>0.5*P119</f>
        <v>30</v>
      </c>
      <c r="AA119" s="18">
        <v>1</v>
      </c>
      <c r="AB119" s="19" t="s">
        <v>89</v>
      </c>
      <c r="AC119" s="17">
        <v>300</v>
      </c>
      <c r="AD119" s="17">
        <v>15</v>
      </c>
      <c r="AE119" s="17">
        <v>108.5</v>
      </c>
      <c r="AF119" s="21" t="s">
        <v>90</v>
      </c>
      <c r="AG119" s="17">
        <v>2019</v>
      </c>
      <c r="AI119" s="17" t="s">
        <v>91</v>
      </c>
      <c r="AL119" s="19" t="s">
        <v>94</v>
      </c>
      <c r="AM119" s="19" t="s">
        <v>89</v>
      </c>
      <c r="AN119" s="19" t="s">
        <v>89</v>
      </c>
      <c r="AO119">
        <f t="shared" si="11"/>
        <v>1</v>
      </c>
      <c r="AP119">
        <f t="shared" si="12"/>
        <v>60.25</v>
      </c>
      <c r="AR119">
        <f t="shared" si="13"/>
        <v>242.18836873123539</v>
      </c>
    </row>
    <row r="120" spans="1:44">
      <c r="A120" t="s">
        <v>573</v>
      </c>
      <c r="B120">
        <v>118</v>
      </c>
      <c r="C120" s="16" t="s">
        <v>574</v>
      </c>
      <c r="D120" s="16" t="s">
        <v>574</v>
      </c>
      <c r="E120" s="16" t="s">
        <v>128</v>
      </c>
      <c r="F120" s="16" t="s">
        <v>83</v>
      </c>
      <c r="G120" s="16" t="s">
        <v>84</v>
      </c>
      <c r="H120" s="16" t="s">
        <v>88</v>
      </c>
      <c r="I120" s="16" t="s">
        <v>575</v>
      </c>
      <c r="J120" s="16" t="s">
        <v>87</v>
      </c>
      <c r="K120" s="16" t="s">
        <v>88</v>
      </c>
      <c r="L120" s="17">
        <v>2000</v>
      </c>
      <c r="M120" s="17">
        <v>80</v>
      </c>
      <c r="N120" s="17" t="s">
        <v>89</v>
      </c>
      <c r="O120" s="16">
        <v>212</v>
      </c>
      <c r="P120" s="16">
        <v>50</v>
      </c>
      <c r="Q120" s="16">
        <v>4.3499999999999996</v>
      </c>
      <c r="R120" s="16">
        <v>3.66</v>
      </c>
      <c r="S120" s="16">
        <v>2.75</v>
      </c>
      <c r="T120" s="16">
        <f t="shared" si="16"/>
        <v>25</v>
      </c>
      <c r="U120" s="16">
        <v>50</v>
      </c>
      <c r="V120" s="18">
        <v>1</v>
      </c>
      <c r="W120" s="16">
        <v>861</v>
      </c>
      <c r="Y120" s="16">
        <v>50</v>
      </c>
      <c r="Z120" s="16">
        <v>25</v>
      </c>
      <c r="AA120" s="18">
        <v>1</v>
      </c>
      <c r="AB120" s="19" t="s">
        <v>89</v>
      </c>
      <c r="AC120" s="17">
        <v>148</v>
      </c>
      <c r="AD120" s="17">
        <v>26.5</v>
      </c>
      <c r="AE120" s="17">
        <v>97.5</v>
      </c>
      <c r="AF120" s="21" t="s">
        <v>90</v>
      </c>
      <c r="AG120" s="17">
        <v>2019</v>
      </c>
      <c r="AH120" s="17" t="s">
        <v>91</v>
      </c>
      <c r="AJ120" s="24" t="s">
        <v>576</v>
      </c>
      <c r="AL120" s="19" t="s">
        <v>94</v>
      </c>
      <c r="AM120" s="19" t="s">
        <v>89</v>
      </c>
      <c r="AN120" s="23">
        <v>0.8</v>
      </c>
      <c r="AO120">
        <f t="shared" si="11"/>
        <v>2</v>
      </c>
      <c r="AP120">
        <f t="shared" si="12"/>
        <v>60.79</v>
      </c>
      <c r="AR120">
        <f t="shared" si="13"/>
        <v>212.54355400696863</v>
      </c>
    </row>
    <row r="121" spans="1:44">
      <c r="A121" t="s">
        <v>577</v>
      </c>
      <c r="B121">
        <v>119</v>
      </c>
      <c r="C121" s="16" t="s">
        <v>578</v>
      </c>
      <c r="D121" s="16" t="s">
        <v>578</v>
      </c>
      <c r="E121" s="16" t="s">
        <v>128</v>
      </c>
      <c r="F121" s="16" t="s">
        <v>129</v>
      </c>
      <c r="G121" s="16" t="s">
        <v>130</v>
      </c>
      <c r="H121" s="16" t="s">
        <v>88</v>
      </c>
      <c r="I121" s="16" t="s">
        <v>579</v>
      </c>
      <c r="J121" s="16" t="s">
        <v>87</v>
      </c>
      <c r="K121" s="16" t="s">
        <v>88</v>
      </c>
      <c r="L121" s="17">
        <v>2000</v>
      </c>
      <c r="M121" s="17">
        <v>80</v>
      </c>
      <c r="N121" s="17" t="s">
        <v>89</v>
      </c>
      <c r="O121" s="16">
        <v>132</v>
      </c>
      <c r="P121" s="16">
        <v>72</v>
      </c>
      <c r="Q121" s="16">
        <v>3.65</v>
      </c>
      <c r="R121" s="16">
        <v>3.2</v>
      </c>
      <c r="S121" s="16">
        <v>2.5</v>
      </c>
      <c r="T121" s="16">
        <f t="shared" si="16"/>
        <v>36</v>
      </c>
      <c r="U121" s="16">
        <f>1*P121</f>
        <v>72</v>
      </c>
      <c r="V121" s="18">
        <v>1</v>
      </c>
      <c r="W121" s="16">
        <v>1780</v>
      </c>
      <c r="Y121" s="16">
        <f>1*P121</f>
        <v>72</v>
      </c>
      <c r="Z121" s="16">
        <f t="shared" ref="Z121:Z127" si="17">0.5*P121</f>
        <v>36</v>
      </c>
      <c r="AA121" s="18">
        <v>1</v>
      </c>
      <c r="AB121" s="19" t="s">
        <v>89</v>
      </c>
      <c r="AC121" s="17">
        <v>215</v>
      </c>
      <c r="AD121" s="17">
        <v>30</v>
      </c>
      <c r="AE121" s="17">
        <v>135</v>
      </c>
      <c r="AF121" s="21" t="s">
        <v>90</v>
      </c>
      <c r="AG121" s="17">
        <v>2019</v>
      </c>
      <c r="AH121" s="17" t="s">
        <v>91</v>
      </c>
      <c r="AJ121" s="24" t="s">
        <v>576</v>
      </c>
      <c r="AL121" s="19" t="s">
        <v>94</v>
      </c>
      <c r="AM121" s="19" t="s">
        <v>89</v>
      </c>
      <c r="AN121" s="23">
        <v>0.8</v>
      </c>
      <c r="AO121">
        <f t="shared" si="11"/>
        <v>2</v>
      </c>
      <c r="AP121">
        <f t="shared" si="12"/>
        <v>60.79</v>
      </c>
      <c r="AR121">
        <f t="shared" si="13"/>
        <v>129.43820224719101</v>
      </c>
    </row>
    <row r="122" spans="1:44">
      <c r="A122" t="s">
        <v>580</v>
      </c>
      <c r="B122">
        <v>120</v>
      </c>
      <c r="C122" s="16" t="s">
        <v>581</v>
      </c>
      <c r="D122" s="16" t="s">
        <v>581</v>
      </c>
      <c r="E122" s="16" t="s">
        <v>128</v>
      </c>
      <c r="F122" s="16" t="s">
        <v>129</v>
      </c>
      <c r="G122" s="16" t="s">
        <v>130</v>
      </c>
      <c r="H122" s="16" t="s">
        <v>88</v>
      </c>
      <c r="I122" s="16" t="s">
        <v>582</v>
      </c>
      <c r="J122" s="16" t="s">
        <v>87</v>
      </c>
      <c r="K122" s="16" t="s">
        <v>88</v>
      </c>
      <c r="L122" s="17">
        <v>3000</v>
      </c>
      <c r="M122" s="17">
        <v>80</v>
      </c>
      <c r="N122" s="17" t="s">
        <v>89</v>
      </c>
      <c r="O122" s="16">
        <v>160</v>
      </c>
      <c r="P122" s="16">
        <v>100</v>
      </c>
      <c r="Q122" s="16">
        <v>3.65</v>
      </c>
      <c r="R122" s="16">
        <v>3.2</v>
      </c>
      <c r="S122" s="16">
        <v>2.5</v>
      </c>
      <c r="T122" s="16">
        <f t="shared" si="16"/>
        <v>50</v>
      </c>
      <c r="U122" s="16">
        <f>1*P122</f>
        <v>100</v>
      </c>
      <c r="V122" s="18">
        <v>1</v>
      </c>
      <c r="W122" s="16">
        <v>1970</v>
      </c>
      <c r="Y122" s="16">
        <f>1*P122</f>
        <v>100</v>
      </c>
      <c r="Z122" s="16">
        <f t="shared" si="17"/>
        <v>50</v>
      </c>
      <c r="AA122" s="18">
        <v>1</v>
      </c>
      <c r="AB122" s="19" t="s">
        <v>89</v>
      </c>
      <c r="AC122" s="17">
        <v>160</v>
      </c>
      <c r="AD122" s="17">
        <v>49.9</v>
      </c>
      <c r="AE122" s="17">
        <v>116</v>
      </c>
      <c r="AF122" s="21" t="s">
        <v>90</v>
      </c>
      <c r="AG122" s="17">
        <v>2019</v>
      </c>
      <c r="AH122" s="17" t="s">
        <v>91</v>
      </c>
      <c r="AJ122" s="24" t="s">
        <v>576</v>
      </c>
      <c r="AL122" s="19" t="s">
        <v>94</v>
      </c>
      <c r="AM122" s="19" t="s">
        <v>89</v>
      </c>
      <c r="AN122" s="23">
        <v>0.8</v>
      </c>
      <c r="AO122">
        <f t="shared" si="11"/>
        <v>2</v>
      </c>
      <c r="AP122">
        <f t="shared" si="12"/>
        <v>60.79</v>
      </c>
      <c r="AR122">
        <f t="shared" si="13"/>
        <v>162.43654822335026</v>
      </c>
    </row>
    <row r="123" spans="1:44">
      <c r="A123" t="s">
        <v>583</v>
      </c>
      <c r="B123">
        <v>121</v>
      </c>
      <c r="C123" s="16" t="s">
        <v>584</v>
      </c>
      <c r="D123" s="16" t="s">
        <v>584</v>
      </c>
      <c r="E123" s="16" t="s">
        <v>128</v>
      </c>
      <c r="F123" s="16" t="s">
        <v>129</v>
      </c>
      <c r="G123" s="16" t="s">
        <v>130</v>
      </c>
      <c r="H123" s="16" t="s">
        <v>88</v>
      </c>
      <c r="I123" s="16" t="s">
        <v>585</v>
      </c>
      <c r="J123" s="16" t="s">
        <v>87</v>
      </c>
      <c r="K123" s="16" t="s">
        <v>88</v>
      </c>
      <c r="L123" s="17">
        <v>2000</v>
      </c>
      <c r="M123" s="17">
        <v>80</v>
      </c>
      <c r="N123" s="17" t="s">
        <v>89</v>
      </c>
      <c r="O123" s="16">
        <v>141</v>
      </c>
      <c r="P123" s="16">
        <v>176</v>
      </c>
      <c r="Q123" s="16">
        <v>3.65</v>
      </c>
      <c r="R123" s="16">
        <v>3.2</v>
      </c>
      <c r="S123" s="16">
        <v>2.5</v>
      </c>
      <c r="T123" s="16">
        <f t="shared" si="16"/>
        <v>88</v>
      </c>
      <c r="U123" s="16">
        <f>1*P123</f>
        <v>176</v>
      </c>
      <c r="V123" s="18">
        <v>1</v>
      </c>
      <c r="W123" s="16">
        <v>3984</v>
      </c>
      <c r="Y123" s="16">
        <f>1*P123</f>
        <v>176</v>
      </c>
      <c r="Z123" s="16">
        <f t="shared" si="17"/>
        <v>88</v>
      </c>
      <c r="AA123" s="18">
        <v>1</v>
      </c>
      <c r="AB123" s="19" t="s">
        <v>89</v>
      </c>
      <c r="AC123" s="17">
        <v>207</v>
      </c>
      <c r="AD123" s="17">
        <v>53.7</v>
      </c>
      <c r="AE123" s="17">
        <v>174</v>
      </c>
      <c r="AF123" s="21" t="s">
        <v>90</v>
      </c>
      <c r="AG123" s="17">
        <v>2019</v>
      </c>
      <c r="AH123" s="17" t="s">
        <v>91</v>
      </c>
      <c r="AJ123" s="24" t="s">
        <v>576</v>
      </c>
      <c r="AL123" s="19" t="s">
        <v>94</v>
      </c>
      <c r="AM123" s="19" t="s">
        <v>89</v>
      </c>
      <c r="AN123" s="23">
        <v>0.8</v>
      </c>
      <c r="AO123">
        <f t="shared" si="11"/>
        <v>2</v>
      </c>
      <c r="AP123">
        <f t="shared" si="12"/>
        <v>60.79</v>
      </c>
      <c r="AR123">
        <f t="shared" si="13"/>
        <v>141.36546184738958</v>
      </c>
    </row>
    <row r="124" spans="1:44">
      <c r="A124" t="s">
        <v>586</v>
      </c>
      <c r="B124">
        <v>122</v>
      </c>
      <c r="C124" s="16" t="s">
        <v>587</v>
      </c>
      <c r="D124" s="16" t="s">
        <v>587</v>
      </c>
      <c r="E124" s="16" t="s">
        <v>128</v>
      </c>
      <c r="F124" s="16" t="s">
        <v>129</v>
      </c>
      <c r="G124" s="16" t="s">
        <v>130</v>
      </c>
      <c r="H124" s="16" t="s">
        <v>88</v>
      </c>
      <c r="I124" s="16" t="s">
        <v>588</v>
      </c>
      <c r="J124" s="16" t="s">
        <v>87</v>
      </c>
      <c r="K124" s="16" t="s">
        <v>88</v>
      </c>
      <c r="L124" s="17">
        <v>2000</v>
      </c>
      <c r="M124" s="17">
        <v>80</v>
      </c>
      <c r="N124" s="17" t="s">
        <v>89</v>
      </c>
      <c r="O124" s="16">
        <v>129</v>
      </c>
      <c r="P124" s="16">
        <v>3.6</v>
      </c>
      <c r="Q124" s="16">
        <v>3.65</v>
      </c>
      <c r="R124" s="16">
        <v>3.2</v>
      </c>
      <c r="S124" s="16">
        <v>2</v>
      </c>
      <c r="T124" s="16">
        <f t="shared" si="16"/>
        <v>1.8</v>
      </c>
      <c r="U124" s="16">
        <v>10.8</v>
      </c>
      <c r="V124" s="18">
        <v>0.5</v>
      </c>
      <c r="W124" s="16">
        <v>89</v>
      </c>
      <c r="Y124" s="16">
        <v>5.4</v>
      </c>
      <c r="Z124" s="16">
        <f t="shared" si="17"/>
        <v>1.8</v>
      </c>
      <c r="AA124" s="18">
        <v>0.5</v>
      </c>
      <c r="AB124" s="19" t="s">
        <v>89</v>
      </c>
      <c r="AC124" s="17" t="s">
        <v>90</v>
      </c>
      <c r="AD124" s="17">
        <v>65</v>
      </c>
      <c r="AF124" s="20">
        <v>26</v>
      </c>
      <c r="AG124" s="17">
        <v>2019</v>
      </c>
      <c r="AH124" s="17" t="s">
        <v>91</v>
      </c>
      <c r="AJ124" s="24" t="s">
        <v>576</v>
      </c>
      <c r="AL124" s="19" t="s">
        <v>94</v>
      </c>
      <c r="AM124" s="19" t="s">
        <v>89</v>
      </c>
      <c r="AN124" s="23">
        <v>0.8</v>
      </c>
      <c r="AO124">
        <f t="shared" si="11"/>
        <v>2</v>
      </c>
      <c r="AP124">
        <f t="shared" si="12"/>
        <v>60.79</v>
      </c>
      <c r="AR124">
        <f t="shared" si="13"/>
        <v>129.43820224719104</v>
      </c>
    </row>
    <row r="125" spans="1:44">
      <c r="A125" t="s">
        <v>589</v>
      </c>
      <c r="B125">
        <v>123</v>
      </c>
      <c r="C125" s="16" t="s">
        <v>590</v>
      </c>
      <c r="D125" s="16" t="s">
        <v>590</v>
      </c>
      <c r="E125" s="16" t="s">
        <v>442</v>
      </c>
      <c r="F125" s="16" t="s">
        <v>83</v>
      </c>
      <c r="H125" s="16" t="s">
        <v>88</v>
      </c>
      <c r="I125" s="16" t="s">
        <v>591</v>
      </c>
      <c r="J125" s="16" t="s">
        <v>87</v>
      </c>
      <c r="K125" s="16" t="s">
        <v>88</v>
      </c>
      <c r="L125" s="17" t="s">
        <v>89</v>
      </c>
      <c r="M125" s="17" t="s">
        <v>89</v>
      </c>
      <c r="N125" s="16">
        <v>488</v>
      </c>
      <c r="O125" s="16">
        <v>208</v>
      </c>
      <c r="P125" s="16">
        <v>49.5</v>
      </c>
      <c r="Q125" s="16">
        <v>4.3499999999999996</v>
      </c>
      <c r="R125" s="16">
        <v>3.6</v>
      </c>
      <c r="S125" s="16">
        <v>2.75</v>
      </c>
      <c r="T125" s="16">
        <f t="shared" si="16"/>
        <v>24.75</v>
      </c>
      <c r="U125" s="16">
        <f>1*P125</f>
        <v>49.5</v>
      </c>
      <c r="V125" s="18">
        <v>1</v>
      </c>
      <c r="W125" s="16">
        <v>866</v>
      </c>
      <c r="Y125" s="16">
        <f>1*P125</f>
        <v>49.5</v>
      </c>
      <c r="Z125" s="16">
        <f t="shared" si="17"/>
        <v>24.75</v>
      </c>
      <c r="AA125" s="18">
        <v>1</v>
      </c>
      <c r="AB125" s="19" t="s">
        <v>89</v>
      </c>
      <c r="AC125" s="17">
        <v>148</v>
      </c>
      <c r="AD125" s="17">
        <v>27</v>
      </c>
      <c r="AE125" s="17">
        <v>91</v>
      </c>
      <c r="AF125" s="21" t="s">
        <v>90</v>
      </c>
      <c r="AG125" s="17">
        <v>2019</v>
      </c>
      <c r="AI125" s="17" t="s">
        <v>91</v>
      </c>
      <c r="AJ125" s="24" t="s">
        <v>592</v>
      </c>
      <c r="AK125" s="17" t="s">
        <v>593</v>
      </c>
      <c r="AL125" s="19" t="s">
        <v>94</v>
      </c>
      <c r="AM125" s="19" t="s">
        <v>89</v>
      </c>
      <c r="AN125" s="23" t="s">
        <v>89</v>
      </c>
      <c r="AO125">
        <f t="shared" si="11"/>
        <v>2</v>
      </c>
      <c r="AP125">
        <f t="shared" si="12"/>
        <v>60.79</v>
      </c>
      <c r="AR125">
        <f t="shared" si="13"/>
        <v>205.77367205542728</v>
      </c>
    </row>
    <row r="126" spans="1:44">
      <c r="A126" t="s">
        <v>594</v>
      </c>
      <c r="B126">
        <v>124</v>
      </c>
      <c r="C126" s="16" t="s">
        <v>595</v>
      </c>
      <c r="D126" s="16" t="s">
        <v>595</v>
      </c>
      <c r="E126" s="16" t="s">
        <v>264</v>
      </c>
      <c r="F126" s="16" t="s">
        <v>83</v>
      </c>
      <c r="H126" s="16" t="s">
        <v>266</v>
      </c>
      <c r="I126" s="16" t="s">
        <v>596</v>
      </c>
      <c r="J126" s="16" t="s">
        <v>87</v>
      </c>
      <c r="K126" s="16" t="s">
        <v>268</v>
      </c>
      <c r="L126" s="17">
        <v>800</v>
      </c>
      <c r="M126" s="17">
        <v>80</v>
      </c>
      <c r="N126" s="27">
        <v>704</v>
      </c>
      <c r="O126" s="16">
        <v>260</v>
      </c>
      <c r="P126" s="16">
        <v>5</v>
      </c>
      <c r="Q126" s="16">
        <v>4.2</v>
      </c>
      <c r="R126" s="16">
        <v>3.6</v>
      </c>
      <c r="S126" s="16">
        <v>2.5</v>
      </c>
      <c r="T126" s="16">
        <f t="shared" si="16"/>
        <v>2.5</v>
      </c>
      <c r="U126" s="16">
        <f>3*P126</f>
        <v>15</v>
      </c>
      <c r="V126" s="18">
        <v>1</v>
      </c>
      <c r="W126" s="16">
        <v>70</v>
      </c>
      <c r="Y126" s="16">
        <f>1*P126</f>
        <v>5</v>
      </c>
      <c r="Z126" s="16">
        <f t="shared" si="17"/>
        <v>2.5</v>
      </c>
      <c r="AA126" s="18">
        <f>Z126/P126</f>
        <v>0.5</v>
      </c>
      <c r="AB126" s="19" t="s">
        <v>89</v>
      </c>
      <c r="AC126" s="17" t="s">
        <v>90</v>
      </c>
      <c r="AD126" s="17">
        <v>70</v>
      </c>
      <c r="AE126" s="20"/>
      <c r="AF126" s="20">
        <v>21</v>
      </c>
      <c r="AG126" s="17">
        <v>2020</v>
      </c>
      <c r="AI126" s="17" t="s">
        <v>91</v>
      </c>
      <c r="AJ126" s="24" t="s">
        <v>597</v>
      </c>
      <c r="AK126" s="17" t="s">
        <v>593</v>
      </c>
      <c r="AL126" s="19" t="s">
        <v>94</v>
      </c>
      <c r="AM126" s="19">
        <v>0.01</v>
      </c>
      <c r="AN126" s="19" t="s">
        <v>89</v>
      </c>
      <c r="AO126">
        <f t="shared" si="11"/>
        <v>3</v>
      </c>
      <c r="AP126">
        <f t="shared" si="12"/>
        <v>64.69</v>
      </c>
      <c r="AR126">
        <f t="shared" si="13"/>
        <v>257.14285714285711</v>
      </c>
    </row>
    <row r="127" spans="1:44">
      <c r="A127" t="s">
        <v>598</v>
      </c>
      <c r="B127">
        <v>125</v>
      </c>
      <c r="C127" s="16" t="s">
        <v>599</v>
      </c>
      <c r="D127" s="16" t="s">
        <v>599</v>
      </c>
      <c r="E127" s="16" t="s">
        <v>431</v>
      </c>
      <c r="F127" s="16" t="s">
        <v>83</v>
      </c>
      <c r="H127" s="16" t="s">
        <v>266</v>
      </c>
      <c r="I127" s="16" t="s">
        <v>600</v>
      </c>
      <c r="J127" s="16" t="s">
        <v>87</v>
      </c>
      <c r="K127" s="16" t="s">
        <v>268</v>
      </c>
      <c r="L127" s="17" t="s">
        <v>89</v>
      </c>
      <c r="M127" s="17" t="s">
        <v>89</v>
      </c>
      <c r="N127" s="27">
        <v>755</v>
      </c>
      <c r="O127" s="16">
        <v>271</v>
      </c>
      <c r="P127" s="16">
        <v>5.0199999999999996</v>
      </c>
      <c r="Q127" s="16">
        <v>4.2</v>
      </c>
      <c r="R127" s="16">
        <v>3.6</v>
      </c>
      <c r="S127" s="16">
        <v>2.5</v>
      </c>
      <c r="T127" s="16">
        <f t="shared" si="16"/>
        <v>2.5099999999999998</v>
      </c>
      <c r="U127" s="16">
        <v>15.8</v>
      </c>
      <c r="V127" s="18">
        <v>1</v>
      </c>
      <c r="W127" s="16">
        <v>70</v>
      </c>
      <c r="Y127" s="16">
        <f>1*P127</f>
        <v>5.0199999999999996</v>
      </c>
      <c r="Z127" s="16">
        <f t="shared" si="17"/>
        <v>2.5099999999999998</v>
      </c>
      <c r="AA127" s="18">
        <f>Z127/P127</f>
        <v>0.5</v>
      </c>
      <c r="AB127" s="19" t="s">
        <v>89</v>
      </c>
      <c r="AC127" s="17" t="s">
        <v>90</v>
      </c>
      <c r="AD127" s="17">
        <v>70</v>
      </c>
      <c r="AE127" s="20"/>
      <c r="AF127" s="20">
        <v>21</v>
      </c>
      <c r="AG127" s="17">
        <v>2020</v>
      </c>
      <c r="AI127" s="17" t="s">
        <v>91</v>
      </c>
      <c r="AJ127" s="24" t="s">
        <v>601</v>
      </c>
      <c r="AK127" s="17" t="s">
        <v>593</v>
      </c>
      <c r="AL127" s="19" t="s">
        <v>94</v>
      </c>
      <c r="AM127" s="19" t="s">
        <v>89</v>
      </c>
      <c r="AN127" s="19" t="s">
        <v>89</v>
      </c>
      <c r="AO127">
        <f t="shared" si="11"/>
        <v>3</v>
      </c>
      <c r="AP127">
        <f t="shared" si="12"/>
        <v>64.69</v>
      </c>
      <c r="AR127">
        <f t="shared" si="13"/>
        <v>258.17142857142852</v>
      </c>
    </row>
    <row r="128" spans="1:44">
      <c r="A128" t="s">
        <v>602</v>
      </c>
      <c r="B128">
        <v>126</v>
      </c>
      <c r="C128" s="16" t="s">
        <v>603</v>
      </c>
      <c r="D128" s="16" t="s">
        <v>603</v>
      </c>
      <c r="E128" s="16" t="s">
        <v>604</v>
      </c>
      <c r="F128" s="16" t="s">
        <v>83</v>
      </c>
      <c r="H128" s="16" t="s">
        <v>266</v>
      </c>
      <c r="I128" s="16" t="s">
        <v>605</v>
      </c>
      <c r="J128" s="16" t="s">
        <v>87</v>
      </c>
      <c r="K128" s="16" t="s">
        <v>268</v>
      </c>
      <c r="L128" s="17">
        <v>800</v>
      </c>
      <c r="M128" s="17">
        <v>80</v>
      </c>
      <c r="N128" s="27">
        <v>601</v>
      </c>
      <c r="O128" s="16">
        <v>226</v>
      </c>
      <c r="P128" s="16">
        <v>4.2</v>
      </c>
      <c r="Q128" s="16">
        <v>4.2</v>
      </c>
      <c r="R128" s="16">
        <v>3.6</v>
      </c>
      <c r="S128" s="16">
        <v>2.5</v>
      </c>
      <c r="T128" s="16">
        <f>1*P128</f>
        <v>4.2</v>
      </c>
      <c r="U128" s="16">
        <v>26</v>
      </c>
      <c r="V128" s="18">
        <v>1</v>
      </c>
      <c r="W128" s="16">
        <v>70</v>
      </c>
      <c r="Y128" s="16">
        <v>6</v>
      </c>
      <c r="Z128" s="16">
        <v>4.2</v>
      </c>
      <c r="AA128" s="18">
        <v>1</v>
      </c>
      <c r="AB128" s="19" t="s">
        <v>89</v>
      </c>
      <c r="AC128" s="17" t="s">
        <v>90</v>
      </c>
      <c r="AD128" s="17">
        <v>70</v>
      </c>
      <c r="AE128" s="20"/>
      <c r="AF128" s="20">
        <v>21</v>
      </c>
      <c r="AI128" s="17" t="s">
        <v>91</v>
      </c>
      <c r="AJ128" s="24" t="s">
        <v>98</v>
      </c>
      <c r="AK128" s="17" t="s">
        <v>593</v>
      </c>
      <c r="AL128" s="19" t="s">
        <v>94</v>
      </c>
      <c r="AM128" s="19">
        <v>0.01</v>
      </c>
      <c r="AN128" s="19" t="s">
        <v>89</v>
      </c>
      <c r="AO128">
        <f t="shared" si="11"/>
        <v>3</v>
      </c>
      <c r="AP128">
        <f t="shared" si="12"/>
        <v>64.69</v>
      </c>
      <c r="AR128">
        <f t="shared" si="13"/>
        <v>216</v>
      </c>
    </row>
    <row r="129" spans="1:44">
      <c r="A129" t="s">
        <v>606</v>
      </c>
      <c r="B129">
        <v>127</v>
      </c>
      <c r="C129" s="16" t="s">
        <v>607</v>
      </c>
      <c r="D129" s="16" t="s">
        <v>607</v>
      </c>
      <c r="E129" s="16" t="s">
        <v>442</v>
      </c>
      <c r="F129" s="16" t="s">
        <v>83</v>
      </c>
      <c r="H129" s="16" t="s">
        <v>266</v>
      </c>
      <c r="I129" s="16" t="s">
        <v>608</v>
      </c>
      <c r="J129" s="16" t="s">
        <v>87</v>
      </c>
      <c r="K129" s="16" t="s">
        <v>268</v>
      </c>
      <c r="L129" s="17" t="s">
        <v>89</v>
      </c>
      <c r="M129" s="17" t="s">
        <v>89</v>
      </c>
      <c r="N129" s="27">
        <v>742</v>
      </c>
      <c r="O129" s="16">
        <v>260</v>
      </c>
      <c r="P129" s="16">
        <v>5</v>
      </c>
      <c r="Q129" s="16">
        <v>4.2</v>
      </c>
      <c r="R129" s="16">
        <v>3.6</v>
      </c>
      <c r="S129" s="16">
        <v>2.5</v>
      </c>
      <c r="T129" s="16">
        <f>1*P129</f>
        <v>5</v>
      </c>
      <c r="U129" s="16">
        <v>20</v>
      </c>
      <c r="V129" s="18">
        <v>1</v>
      </c>
      <c r="W129" s="16">
        <v>72</v>
      </c>
      <c r="Y129" s="16">
        <v>6</v>
      </c>
      <c r="Z129" s="16">
        <v>2.5</v>
      </c>
      <c r="AA129" s="18">
        <v>1</v>
      </c>
      <c r="AB129" s="19" t="s">
        <v>89</v>
      </c>
      <c r="AC129" s="17" t="s">
        <v>90</v>
      </c>
      <c r="AD129" s="17">
        <v>70</v>
      </c>
      <c r="AE129" s="20"/>
      <c r="AF129" s="20">
        <v>21</v>
      </c>
      <c r="AG129" s="17">
        <v>2020</v>
      </c>
      <c r="AI129" s="17" t="s">
        <v>91</v>
      </c>
      <c r="AJ129" s="24" t="s">
        <v>98</v>
      </c>
      <c r="AK129" s="17" t="s">
        <v>593</v>
      </c>
      <c r="AL129" s="19" t="s">
        <v>94</v>
      </c>
      <c r="AM129" s="19" t="s">
        <v>89</v>
      </c>
      <c r="AN129" s="19" t="s">
        <v>89</v>
      </c>
      <c r="AO129">
        <f t="shared" si="11"/>
        <v>3</v>
      </c>
      <c r="AP129">
        <f t="shared" si="12"/>
        <v>64.69</v>
      </c>
      <c r="AR129">
        <f t="shared" si="13"/>
        <v>250.00000000000003</v>
      </c>
    </row>
    <row r="130" spans="1:44">
      <c r="A130" t="s">
        <v>609</v>
      </c>
      <c r="B130">
        <v>128</v>
      </c>
      <c r="C130" s="16" t="s">
        <v>610</v>
      </c>
      <c r="D130" s="16" t="s">
        <v>610</v>
      </c>
      <c r="E130" s="16" t="s">
        <v>412</v>
      </c>
      <c r="F130" s="16" t="s">
        <v>83</v>
      </c>
      <c r="H130" s="16" t="s">
        <v>85</v>
      </c>
      <c r="I130" s="16" t="s">
        <v>611</v>
      </c>
      <c r="J130" s="16" t="s">
        <v>87</v>
      </c>
      <c r="K130" s="16" t="s">
        <v>88</v>
      </c>
      <c r="L130" s="17" t="s">
        <v>89</v>
      </c>
      <c r="M130" s="17" t="s">
        <v>89</v>
      </c>
      <c r="N130" s="27">
        <v>524</v>
      </c>
      <c r="O130" s="16">
        <v>211</v>
      </c>
      <c r="P130" s="16">
        <v>50</v>
      </c>
      <c r="Q130" s="16">
        <v>4.2</v>
      </c>
      <c r="R130" s="16">
        <v>3.6</v>
      </c>
      <c r="S130" s="16">
        <v>2.5</v>
      </c>
      <c r="T130" s="16">
        <f>1*P130</f>
        <v>50</v>
      </c>
      <c r="U130" s="16">
        <v>179</v>
      </c>
      <c r="V130" s="18">
        <v>1</v>
      </c>
      <c r="W130" s="16">
        <v>895</v>
      </c>
      <c r="Y130" s="16">
        <f>P130</f>
        <v>50</v>
      </c>
      <c r="Z130" s="16">
        <f>0.5*P130</f>
        <v>25</v>
      </c>
      <c r="AA130" s="18">
        <v>1</v>
      </c>
      <c r="AB130" s="19" t="s">
        <v>89</v>
      </c>
      <c r="AC130" s="17">
        <v>298</v>
      </c>
      <c r="AD130" s="20">
        <v>10.6</v>
      </c>
      <c r="AE130" s="20">
        <v>153</v>
      </c>
      <c r="AF130" s="21" t="s">
        <v>90</v>
      </c>
      <c r="AG130" s="17">
        <v>2018</v>
      </c>
      <c r="AI130" s="17" t="s">
        <v>91</v>
      </c>
      <c r="AJ130" s="24" t="s">
        <v>612</v>
      </c>
      <c r="AK130" s="17" t="s">
        <v>593</v>
      </c>
      <c r="AL130" s="19" t="s">
        <v>94</v>
      </c>
      <c r="AM130" s="19" t="s">
        <v>89</v>
      </c>
      <c r="AN130" s="19" t="s">
        <v>89</v>
      </c>
      <c r="AO130">
        <f t="shared" si="11"/>
        <v>1</v>
      </c>
      <c r="AP130">
        <f t="shared" si="12"/>
        <v>60.25</v>
      </c>
      <c r="AR130">
        <f t="shared" si="13"/>
        <v>201.11731843575419</v>
      </c>
    </row>
    <row r="131" spans="1:44">
      <c r="A131" t="s">
        <v>613</v>
      </c>
      <c r="B131">
        <v>129</v>
      </c>
      <c r="C131" s="16" t="s">
        <v>614</v>
      </c>
      <c r="D131" s="16" t="s">
        <v>614</v>
      </c>
      <c r="E131" s="16" t="s">
        <v>211</v>
      </c>
      <c r="F131" s="16" t="s">
        <v>83</v>
      </c>
      <c r="H131" s="16" t="s">
        <v>88</v>
      </c>
      <c r="I131" s="16" t="s">
        <v>615</v>
      </c>
      <c r="J131" s="16" t="s">
        <v>87</v>
      </c>
      <c r="K131" s="16" t="s">
        <v>88</v>
      </c>
      <c r="L131" s="17" t="s">
        <v>89</v>
      </c>
      <c r="M131" s="17" t="s">
        <v>89</v>
      </c>
      <c r="N131" s="27">
        <v>481</v>
      </c>
      <c r="O131" s="16">
        <v>215</v>
      </c>
      <c r="P131" s="16">
        <v>51</v>
      </c>
      <c r="Q131" s="16">
        <v>4.2</v>
      </c>
      <c r="R131" s="16">
        <v>3.6</v>
      </c>
      <c r="S131" s="16">
        <v>2.5</v>
      </c>
      <c r="T131" s="16">
        <f>1*P131</f>
        <v>51</v>
      </c>
      <c r="U131" s="16">
        <v>188</v>
      </c>
      <c r="V131" s="18">
        <v>1</v>
      </c>
      <c r="W131" s="16">
        <v>911</v>
      </c>
      <c r="Y131" s="16">
        <f>P131</f>
        <v>51</v>
      </c>
      <c r="Z131" s="16">
        <f>0.5*P131</f>
        <v>25.5</v>
      </c>
      <c r="AA131" s="18">
        <v>1</v>
      </c>
      <c r="AB131" s="19" t="s">
        <v>89</v>
      </c>
      <c r="AC131" s="17">
        <v>148</v>
      </c>
      <c r="AD131" s="20">
        <v>28</v>
      </c>
      <c r="AE131" s="20">
        <v>98</v>
      </c>
      <c r="AF131" s="21" t="s">
        <v>90</v>
      </c>
      <c r="AI131" s="17" t="s">
        <v>91</v>
      </c>
      <c r="AK131" s="17" t="s">
        <v>593</v>
      </c>
      <c r="AL131" s="19" t="s">
        <v>94</v>
      </c>
      <c r="AM131" s="19" t="s">
        <v>89</v>
      </c>
      <c r="AN131" s="19" t="s">
        <v>89</v>
      </c>
      <c r="AO131">
        <f t="shared" si="11"/>
        <v>2</v>
      </c>
      <c r="AP131">
        <f t="shared" si="12"/>
        <v>60.79</v>
      </c>
      <c r="AR131">
        <f t="shared" si="13"/>
        <v>201.53677277716793</v>
      </c>
    </row>
    <row r="132" spans="1:44">
      <c r="A132" t="s">
        <v>616</v>
      </c>
      <c r="B132">
        <v>130</v>
      </c>
      <c r="C132" s="16" t="s">
        <v>617</v>
      </c>
      <c r="D132" s="16" t="s">
        <v>617</v>
      </c>
      <c r="E132" s="16" t="s">
        <v>412</v>
      </c>
      <c r="F132" s="16" t="s">
        <v>83</v>
      </c>
      <c r="H132" s="16" t="s">
        <v>85</v>
      </c>
      <c r="I132" s="16" t="s">
        <v>618</v>
      </c>
      <c r="J132" s="16" t="s">
        <v>87</v>
      </c>
      <c r="K132" s="16" t="s">
        <v>88</v>
      </c>
      <c r="L132" s="17" t="s">
        <v>89</v>
      </c>
      <c r="M132" s="17" t="s">
        <v>89</v>
      </c>
      <c r="N132" s="27">
        <v>641</v>
      </c>
      <c r="O132" s="16">
        <v>257</v>
      </c>
      <c r="P132" s="16">
        <v>61</v>
      </c>
      <c r="Q132" s="16">
        <v>4.2</v>
      </c>
      <c r="R132" s="16">
        <v>3.6</v>
      </c>
      <c r="S132" s="16">
        <v>2.5</v>
      </c>
      <c r="T132" s="16">
        <f>0.5*P132</f>
        <v>30.5</v>
      </c>
      <c r="U132" s="16">
        <f>1*P132</f>
        <v>61</v>
      </c>
      <c r="V132" s="18">
        <v>0.5</v>
      </c>
      <c r="W132" s="16">
        <v>875</v>
      </c>
      <c r="Y132" s="16">
        <f>1*P132</f>
        <v>61</v>
      </c>
      <c r="Z132" s="16">
        <f>0.33*P132</f>
        <v>20.130000000000003</v>
      </c>
      <c r="AA132" s="18">
        <v>0.33</v>
      </c>
      <c r="AB132" s="19" t="s">
        <v>89</v>
      </c>
      <c r="AC132" s="17">
        <v>355</v>
      </c>
      <c r="AD132" s="20">
        <v>11.4</v>
      </c>
      <c r="AE132" s="20">
        <v>110</v>
      </c>
      <c r="AF132" s="21" t="s">
        <v>90</v>
      </c>
      <c r="AG132" s="17">
        <v>2019</v>
      </c>
      <c r="AI132" s="17" t="s">
        <v>91</v>
      </c>
      <c r="AJ132" s="24" t="s">
        <v>619</v>
      </c>
      <c r="AK132" s="17" t="s">
        <v>593</v>
      </c>
      <c r="AL132" s="19" t="s">
        <v>94</v>
      </c>
      <c r="AM132" s="19" t="s">
        <v>89</v>
      </c>
      <c r="AN132" s="19" t="s">
        <v>89</v>
      </c>
      <c r="AO132">
        <f t="shared" ref="AO132:AO195" si="18">IF(H132="Pouch",1,IF(H132="Prismatic",2,IF(H132="Cylindrical",3,"")))</f>
        <v>1</v>
      </c>
      <c r="AP132">
        <f t="shared" ref="AP132:AP195" si="19">IF(AO132=1, 60.25, IF(AO132=2, 60.79, IF(AO132=3, 64.69, 0)))</f>
        <v>60.25</v>
      </c>
      <c r="AR132">
        <f t="shared" ref="AR132:AR195" si="20">P132*R132/(W132/1000)</f>
        <v>250.97142857142856</v>
      </c>
    </row>
    <row r="133" spans="1:44">
      <c r="A133" t="s">
        <v>620</v>
      </c>
      <c r="B133">
        <v>131</v>
      </c>
      <c r="C133" s="16" t="s">
        <v>621</v>
      </c>
      <c r="D133" s="16" t="s">
        <v>621</v>
      </c>
      <c r="E133" s="16" t="s">
        <v>412</v>
      </c>
      <c r="F133" s="16" t="s">
        <v>83</v>
      </c>
      <c r="H133" s="16" t="s">
        <v>85</v>
      </c>
      <c r="I133" s="16" t="s">
        <v>622</v>
      </c>
      <c r="J133" s="16" t="s">
        <v>87</v>
      </c>
      <c r="K133" s="16" t="s">
        <v>88</v>
      </c>
      <c r="L133" s="17" t="s">
        <v>89</v>
      </c>
      <c r="M133" s="17" t="s">
        <v>89</v>
      </c>
      <c r="N133" s="27">
        <v>648</v>
      </c>
      <c r="O133" s="16">
        <v>259</v>
      </c>
      <c r="P133" s="16">
        <v>65</v>
      </c>
      <c r="Q133" s="16">
        <v>4.2</v>
      </c>
      <c r="R133" s="16">
        <v>3.657</v>
      </c>
      <c r="S133" s="16">
        <v>2.5</v>
      </c>
      <c r="T133" s="16">
        <f>0.5*P133</f>
        <v>32.5</v>
      </c>
      <c r="U133" s="16">
        <f>1*P133</f>
        <v>65</v>
      </c>
      <c r="V133" s="18">
        <v>0.5</v>
      </c>
      <c r="W133" s="16">
        <v>897</v>
      </c>
      <c r="X133" s="16">
        <v>426</v>
      </c>
      <c r="Y133" s="16">
        <f>1*P133</f>
        <v>65</v>
      </c>
      <c r="Z133" s="16">
        <f>0.33*P133</f>
        <v>21.45</v>
      </c>
      <c r="AA133" s="18">
        <v>0.33</v>
      </c>
      <c r="AB133" s="19" t="s">
        <v>89</v>
      </c>
      <c r="AC133" s="17">
        <v>350</v>
      </c>
      <c r="AD133" s="20">
        <v>11.7</v>
      </c>
      <c r="AE133" s="20">
        <v>104</v>
      </c>
      <c r="AF133" s="21" t="s">
        <v>90</v>
      </c>
      <c r="AG133" s="17">
        <v>2020</v>
      </c>
      <c r="AI133" s="17" t="s">
        <v>91</v>
      </c>
      <c r="AJ133" s="24" t="s">
        <v>623</v>
      </c>
      <c r="AK133" s="17" t="s">
        <v>593</v>
      </c>
      <c r="AL133" s="19" t="s">
        <v>94</v>
      </c>
      <c r="AM133" s="19" t="s">
        <v>89</v>
      </c>
      <c r="AN133" s="19" t="s">
        <v>89</v>
      </c>
      <c r="AO133">
        <f t="shared" si="18"/>
        <v>1</v>
      </c>
      <c r="AP133">
        <f t="shared" si="19"/>
        <v>60.25</v>
      </c>
      <c r="AR133">
        <f t="shared" si="20"/>
        <v>265</v>
      </c>
    </row>
    <row r="134" spans="1:44">
      <c r="A134" t="s">
        <v>624</v>
      </c>
      <c r="B134">
        <v>132</v>
      </c>
      <c r="C134" s="16" t="s">
        <v>625</v>
      </c>
      <c r="D134" s="16" t="s">
        <v>625</v>
      </c>
      <c r="E134" s="16" t="s">
        <v>412</v>
      </c>
      <c r="F134" s="16" t="s">
        <v>83</v>
      </c>
      <c r="H134" s="16" t="s">
        <v>85</v>
      </c>
      <c r="I134" s="16" t="s">
        <v>626</v>
      </c>
      <c r="J134" s="16" t="s">
        <v>87</v>
      </c>
      <c r="K134" s="16" t="s">
        <v>88</v>
      </c>
      <c r="L134" s="17">
        <v>1000</v>
      </c>
      <c r="M134" s="17">
        <v>80</v>
      </c>
      <c r="N134" s="17" t="s">
        <v>89</v>
      </c>
      <c r="O134" s="17" t="s">
        <v>89</v>
      </c>
      <c r="P134" s="16">
        <v>65.599999999999994</v>
      </c>
      <c r="Q134" s="16">
        <v>4.2</v>
      </c>
      <c r="R134" s="16">
        <v>3.6</v>
      </c>
      <c r="S134" s="16">
        <v>2.5</v>
      </c>
      <c r="T134" s="16">
        <f>0.5*P134</f>
        <v>32.799999999999997</v>
      </c>
      <c r="U134" s="16">
        <f>1*P134</f>
        <v>65.599999999999994</v>
      </c>
      <c r="V134" s="18">
        <v>0.5</v>
      </c>
      <c r="W134" s="16">
        <v>964</v>
      </c>
      <c r="Y134" s="16">
        <f>1*P134</f>
        <v>65.599999999999994</v>
      </c>
      <c r="Z134" s="16">
        <f>0.33*P134</f>
        <v>21.648</v>
      </c>
      <c r="AA134" s="18">
        <v>0.33</v>
      </c>
      <c r="AB134" s="19" t="s">
        <v>89</v>
      </c>
      <c r="AC134" s="17">
        <v>325</v>
      </c>
      <c r="AD134" s="20">
        <v>11.5</v>
      </c>
      <c r="AE134" s="20">
        <v>125</v>
      </c>
      <c r="AF134" s="21" t="s">
        <v>90</v>
      </c>
      <c r="AG134" s="17">
        <v>2018</v>
      </c>
      <c r="AH134" s="17" t="s">
        <v>91</v>
      </c>
      <c r="AJ134" s="24" t="s">
        <v>627</v>
      </c>
      <c r="AK134" s="25" t="s">
        <v>628</v>
      </c>
      <c r="AL134" s="19" t="s">
        <v>94</v>
      </c>
      <c r="AM134" s="19" t="s">
        <v>89</v>
      </c>
      <c r="AN134" s="19" t="s">
        <v>89</v>
      </c>
      <c r="AO134">
        <f t="shared" si="18"/>
        <v>1</v>
      </c>
      <c r="AP134">
        <f t="shared" si="19"/>
        <v>60.25</v>
      </c>
      <c r="AR134">
        <f t="shared" si="20"/>
        <v>244.97925311203321</v>
      </c>
    </row>
    <row r="135" spans="1:44">
      <c r="A135" t="s">
        <v>629</v>
      </c>
      <c r="B135">
        <v>133</v>
      </c>
      <c r="C135" s="16" t="s">
        <v>630</v>
      </c>
      <c r="D135" s="16" t="s">
        <v>631</v>
      </c>
      <c r="E135" s="16" t="s">
        <v>442</v>
      </c>
      <c r="F135" s="16" t="s">
        <v>83</v>
      </c>
      <c r="H135" s="16" t="s">
        <v>266</v>
      </c>
      <c r="I135" s="16" t="s">
        <v>632</v>
      </c>
      <c r="J135" s="16" t="s">
        <v>87</v>
      </c>
      <c r="K135" s="16" t="s">
        <v>268</v>
      </c>
      <c r="L135" s="17">
        <v>1500</v>
      </c>
      <c r="M135" s="17">
        <v>70</v>
      </c>
      <c r="N135" s="17" t="s">
        <v>89</v>
      </c>
      <c r="O135" s="17" t="s">
        <v>89</v>
      </c>
      <c r="P135" s="16">
        <v>4.8</v>
      </c>
      <c r="Q135" s="16">
        <v>4.2</v>
      </c>
      <c r="R135" s="16">
        <v>3.6</v>
      </c>
      <c r="S135" s="16">
        <v>2.5</v>
      </c>
      <c r="T135" s="16">
        <v>0.96</v>
      </c>
      <c r="U135" s="16">
        <v>4.8</v>
      </c>
      <c r="V135" s="18">
        <v>1</v>
      </c>
      <c r="W135" s="16">
        <v>72</v>
      </c>
      <c r="Y135" s="16">
        <v>4.8</v>
      </c>
      <c r="Z135" s="16">
        <v>1.5840000000000001</v>
      </c>
      <c r="AA135" s="18">
        <v>1</v>
      </c>
      <c r="AB135" s="19" t="s">
        <v>89</v>
      </c>
      <c r="AC135" s="17" t="s">
        <v>90</v>
      </c>
      <c r="AD135" s="17">
        <v>70</v>
      </c>
      <c r="AE135" s="20"/>
      <c r="AF135" s="20">
        <v>21</v>
      </c>
      <c r="AI135" s="17" t="s">
        <v>91</v>
      </c>
      <c r="AJ135" s="24" t="s">
        <v>633</v>
      </c>
      <c r="AL135" s="19" t="s">
        <v>94</v>
      </c>
      <c r="AM135" s="19" t="s">
        <v>89</v>
      </c>
      <c r="AN135" s="23">
        <v>0.8</v>
      </c>
      <c r="AO135">
        <f t="shared" si="18"/>
        <v>3</v>
      </c>
      <c r="AP135">
        <f t="shared" si="19"/>
        <v>64.69</v>
      </c>
      <c r="AR135">
        <f t="shared" si="20"/>
        <v>240.00000000000003</v>
      </c>
    </row>
    <row r="136" spans="1:44">
      <c r="A136" t="s">
        <v>634</v>
      </c>
      <c r="B136">
        <v>134</v>
      </c>
      <c r="C136" s="16" t="s">
        <v>635</v>
      </c>
      <c r="D136" s="16" t="s">
        <v>635</v>
      </c>
      <c r="E136" s="16" t="s">
        <v>412</v>
      </c>
      <c r="F136" s="16" t="s">
        <v>83</v>
      </c>
      <c r="H136" s="16" t="s">
        <v>85</v>
      </c>
      <c r="I136" s="16" t="s">
        <v>636</v>
      </c>
      <c r="J136" s="16" t="s">
        <v>87</v>
      </c>
      <c r="K136" s="16" t="s">
        <v>88</v>
      </c>
      <c r="L136" s="17">
        <v>1200</v>
      </c>
      <c r="M136" s="17">
        <v>65</v>
      </c>
      <c r="N136" s="17" t="s">
        <v>89</v>
      </c>
      <c r="O136" s="17" t="s">
        <v>89</v>
      </c>
      <c r="P136" s="16">
        <v>63</v>
      </c>
      <c r="Q136" s="16">
        <v>4.2</v>
      </c>
      <c r="R136" s="16">
        <v>3.6</v>
      </c>
      <c r="S136" s="16">
        <v>2.5</v>
      </c>
      <c r="T136" s="16">
        <f>0.5*P136</f>
        <v>31.5</v>
      </c>
      <c r="U136" s="16">
        <f>1*P136</f>
        <v>63</v>
      </c>
      <c r="V136" s="18">
        <v>1</v>
      </c>
      <c r="W136" s="16">
        <v>882</v>
      </c>
      <c r="Y136" s="16">
        <f>1*P136</f>
        <v>63</v>
      </c>
      <c r="Z136" s="16">
        <v>18.899999999999999</v>
      </c>
      <c r="AA136" s="18">
        <v>0.33</v>
      </c>
      <c r="AB136" s="19" t="s">
        <v>89</v>
      </c>
      <c r="AC136" s="17">
        <v>301</v>
      </c>
      <c r="AD136" s="20">
        <v>14.5</v>
      </c>
      <c r="AE136" s="20">
        <v>100</v>
      </c>
      <c r="AF136" s="21" t="s">
        <v>90</v>
      </c>
      <c r="AG136" s="17">
        <v>2018</v>
      </c>
      <c r="AH136" s="17" t="s">
        <v>91</v>
      </c>
      <c r="AJ136" s="24" t="s">
        <v>98</v>
      </c>
      <c r="AK136" s="25" t="s">
        <v>628</v>
      </c>
      <c r="AL136" s="19" t="s">
        <v>94</v>
      </c>
      <c r="AM136" s="19" t="s">
        <v>89</v>
      </c>
      <c r="AN136" s="19" t="s">
        <v>89</v>
      </c>
      <c r="AO136">
        <f t="shared" si="18"/>
        <v>1</v>
      </c>
      <c r="AP136">
        <f t="shared" si="19"/>
        <v>60.25</v>
      </c>
      <c r="AR136">
        <f t="shared" si="20"/>
        <v>257.14285714285717</v>
      </c>
    </row>
    <row r="137" spans="1:44">
      <c r="A137" t="s">
        <v>637</v>
      </c>
      <c r="B137">
        <v>135</v>
      </c>
      <c r="C137" s="16" t="s">
        <v>638</v>
      </c>
      <c r="D137" s="16" t="s">
        <v>638</v>
      </c>
      <c r="E137" s="16" t="s">
        <v>412</v>
      </c>
      <c r="F137" s="16" t="s">
        <v>83</v>
      </c>
      <c r="G137" s="16" t="s">
        <v>639</v>
      </c>
      <c r="H137" s="16" t="s">
        <v>85</v>
      </c>
      <c r="I137" s="16" t="s">
        <v>640</v>
      </c>
      <c r="J137" s="16" t="s">
        <v>87</v>
      </c>
      <c r="K137" s="16" t="s">
        <v>88</v>
      </c>
      <c r="L137" s="17">
        <v>1500</v>
      </c>
      <c r="M137" s="17">
        <v>80</v>
      </c>
      <c r="N137" s="17" t="s">
        <v>89</v>
      </c>
      <c r="O137" s="16">
        <v>265</v>
      </c>
      <c r="P137" s="16">
        <v>78</v>
      </c>
      <c r="Q137" s="16">
        <v>4.2</v>
      </c>
      <c r="R137" s="16">
        <v>3.6</v>
      </c>
      <c r="S137" s="16">
        <v>2.5</v>
      </c>
      <c r="T137" s="16">
        <f>0.3*P137</f>
        <v>23.4</v>
      </c>
      <c r="U137" s="16">
        <f>1*P137</f>
        <v>78</v>
      </c>
      <c r="V137" s="18">
        <v>0.33</v>
      </c>
      <c r="W137" s="16">
        <v>965</v>
      </c>
      <c r="Y137" s="16">
        <f>1*P137</f>
        <v>78</v>
      </c>
      <c r="Z137" s="16">
        <f>0.3*P137</f>
        <v>23.4</v>
      </c>
      <c r="AA137" s="18">
        <v>0.33</v>
      </c>
      <c r="AB137" s="19" t="s">
        <v>89</v>
      </c>
      <c r="AC137" s="17">
        <v>530</v>
      </c>
      <c r="AD137" s="20">
        <v>8.5</v>
      </c>
      <c r="AE137" s="20">
        <v>100</v>
      </c>
      <c r="AF137" s="21" t="s">
        <v>90</v>
      </c>
      <c r="AG137" s="17">
        <v>2021</v>
      </c>
      <c r="AI137" s="17" t="s">
        <v>91</v>
      </c>
      <c r="AJ137" s="24" t="s">
        <v>641</v>
      </c>
      <c r="AK137" s="25" t="s">
        <v>628</v>
      </c>
      <c r="AL137" s="19" t="s">
        <v>94</v>
      </c>
      <c r="AM137" s="19" t="s">
        <v>89</v>
      </c>
      <c r="AN137" s="19" t="s">
        <v>89</v>
      </c>
      <c r="AO137">
        <f t="shared" si="18"/>
        <v>1</v>
      </c>
      <c r="AP137">
        <f t="shared" si="19"/>
        <v>60.25</v>
      </c>
      <c r="AR137">
        <f t="shared" si="20"/>
        <v>290.98445595854923</v>
      </c>
    </row>
    <row r="138" spans="1:44">
      <c r="A138" t="s">
        <v>642</v>
      </c>
      <c r="B138">
        <v>136</v>
      </c>
      <c r="C138" s="16" t="s">
        <v>643</v>
      </c>
      <c r="D138" s="16" t="s">
        <v>643</v>
      </c>
      <c r="E138" s="16" t="s">
        <v>243</v>
      </c>
      <c r="F138" s="16" t="s">
        <v>129</v>
      </c>
      <c r="G138" s="16" t="s">
        <v>130</v>
      </c>
      <c r="H138" s="16" t="s">
        <v>85</v>
      </c>
      <c r="I138" s="16" t="s">
        <v>644</v>
      </c>
      <c r="J138" s="16" t="s">
        <v>87</v>
      </c>
      <c r="K138" s="16" t="s">
        <v>88</v>
      </c>
      <c r="L138" s="17">
        <v>1000</v>
      </c>
      <c r="M138" s="17">
        <v>80</v>
      </c>
      <c r="N138" s="17" t="s">
        <v>89</v>
      </c>
      <c r="O138" s="17" t="s">
        <v>89</v>
      </c>
      <c r="P138" s="16">
        <v>20</v>
      </c>
      <c r="Q138" s="16">
        <v>3.65</v>
      </c>
      <c r="R138" s="16">
        <v>3.3</v>
      </c>
      <c r="S138" s="16">
        <v>2.5</v>
      </c>
      <c r="T138" s="16">
        <f>0.2*P138</f>
        <v>4</v>
      </c>
      <c r="U138" s="16">
        <f>1*P138</f>
        <v>20</v>
      </c>
      <c r="V138" s="18" t="s">
        <v>89</v>
      </c>
      <c r="W138" s="16">
        <v>496</v>
      </c>
      <c r="Y138" s="16">
        <f>1*P138</f>
        <v>20</v>
      </c>
      <c r="Z138" s="16">
        <f>0.2*P138</f>
        <v>4</v>
      </c>
      <c r="AA138" s="18" t="s">
        <v>89</v>
      </c>
      <c r="AB138" s="19" t="s">
        <v>89</v>
      </c>
      <c r="AC138" s="17">
        <v>227</v>
      </c>
      <c r="AD138" s="17">
        <v>7.25</v>
      </c>
      <c r="AE138" s="17">
        <v>160</v>
      </c>
      <c r="AF138" s="21" t="s">
        <v>90</v>
      </c>
      <c r="AI138" s="17" t="s">
        <v>91</v>
      </c>
      <c r="AL138" s="19" t="s">
        <v>94</v>
      </c>
      <c r="AM138" s="19" t="s">
        <v>89</v>
      </c>
      <c r="AN138" s="19" t="s">
        <v>89</v>
      </c>
      <c r="AO138">
        <f t="shared" si="18"/>
        <v>1</v>
      </c>
      <c r="AP138">
        <f t="shared" si="19"/>
        <v>60.25</v>
      </c>
      <c r="AR138">
        <f t="shared" si="20"/>
        <v>133.06451612903226</v>
      </c>
    </row>
    <row r="139" spans="1:44">
      <c r="A139" t="s">
        <v>645</v>
      </c>
      <c r="B139">
        <v>137</v>
      </c>
      <c r="C139" s="16" t="s">
        <v>646</v>
      </c>
      <c r="D139" s="16" t="s">
        <v>646</v>
      </c>
      <c r="E139" s="16" t="s">
        <v>412</v>
      </c>
      <c r="F139" s="16" t="s">
        <v>83</v>
      </c>
      <c r="G139" s="16" t="s">
        <v>84</v>
      </c>
      <c r="H139" s="16" t="s">
        <v>85</v>
      </c>
      <c r="I139" s="16" t="s">
        <v>647</v>
      </c>
      <c r="J139" s="16" t="s">
        <v>87</v>
      </c>
      <c r="K139" s="16" t="s">
        <v>88</v>
      </c>
      <c r="L139" s="17">
        <v>1000</v>
      </c>
      <c r="M139" s="17">
        <v>80</v>
      </c>
      <c r="N139" s="17" t="s">
        <v>89</v>
      </c>
      <c r="O139" s="16">
        <v>265</v>
      </c>
      <c r="P139" s="16">
        <v>60</v>
      </c>
      <c r="Q139" s="16">
        <v>4.2</v>
      </c>
      <c r="R139" s="16">
        <v>3.6</v>
      </c>
      <c r="S139" s="16">
        <v>2.5</v>
      </c>
      <c r="T139" s="16">
        <f>0.2*P139</f>
        <v>12</v>
      </c>
      <c r="U139" s="16">
        <f>2*P139</f>
        <v>120</v>
      </c>
      <c r="V139" s="18">
        <v>0.33</v>
      </c>
      <c r="W139" s="16">
        <v>820</v>
      </c>
      <c r="Y139" s="16">
        <f>1*P139</f>
        <v>60</v>
      </c>
      <c r="Z139" s="16">
        <f>0.2*P139</f>
        <v>12</v>
      </c>
      <c r="AA139" s="18">
        <v>0.33</v>
      </c>
      <c r="AB139" s="19" t="s">
        <v>89</v>
      </c>
      <c r="AC139" s="17">
        <v>330</v>
      </c>
      <c r="AD139" s="17">
        <v>16.5</v>
      </c>
      <c r="AE139" s="17">
        <v>100</v>
      </c>
      <c r="AF139" s="21" t="s">
        <v>90</v>
      </c>
      <c r="AG139" s="17">
        <v>2020</v>
      </c>
      <c r="AH139" s="17" t="s">
        <v>91</v>
      </c>
      <c r="AI139" s="17" t="s">
        <v>91</v>
      </c>
      <c r="AJ139" s="24" t="s">
        <v>98</v>
      </c>
      <c r="AK139" s="17" t="s">
        <v>628</v>
      </c>
      <c r="AL139" s="19" t="s">
        <v>94</v>
      </c>
      <c r="AM139" s="19" t="s">
        <v>89</v>
      </c>
      <c r="AN139" s="19" t="s">
        <v>89</v>
      </c>
      <c r="AO139">
        <f t="shared" si="18"/>
        <v>1</v>
      </c>
      <c r="AP139">
        <f t="shared" si="19"/>
        <v>60.25</v>
      </c>
      <c r="AR139">
        <f t="shared" si="20"/>
        <v>263.41463414634148</v>
      </c>
    </row>
    <row r="140" spans="1:44">
      <c r="A140" t="s">
        <v>648</v>
      </c>
      <c r="B140">
        <v>138</v>
      </c>
      <c r="C140" s="16" t="s">
        <v>649</v>
      </c>
      <c r="D140" s="16" t="s">
        <v>649</v>
      </c>
      <c r="E140" s="16" t="s">
        <v>128</v>
      </c>
      <c r="F140" s="16" t="s">
        <v>129</v>
      </c>
      <c r="G140" s="16" t="s">
        <v>130</v>
      </c>
      <c r="H140" s="16" t="s">
        <v>88</v>
      </c>
      <c r="I140" s="16" t="s">
        <v>650</v>
      </c>
      <c r="J140" s="16" t="s">
        <v>87</v>
      </c>
      <c r="K140" s="16" t="s">
        <v>88</v>
      </c>
      <c r="L140" s="17">
        <v>2000</v>
      </c>
      <c r="M140" s="17">
        <v>80</v>
      </c>
      <c r="N140" s="17" t="s">
        <v>89</v>
      </c>
      <c r="O140" s="17" t="s">
        <v>89</v>
      </c>
      <c r="P140" s="16">
        <v>400</v>
      </c>
      <c r="Q140" s="16">
        <v>3.65</v>
      </c>
      <c r="R140" s="16">
        <v>3.2</v>
      </c>
      <c r="S140" s="16">
        <v>2.5</v>
      </c>
      <c r="T140" s="16">
        <f>0.3*P140</f>
        <v>120</v>
      </c>
      <c r="U140" s="16">
        <v>800</v>
      </c>
      <c r="V140" s="18">
        <v>0.3</v>
      </c>
      <c r="W140" s="16">
        <v>13600</v>
      </c>
      <c r="Y140" s="16">
        <v>400</v>
      </c>
      <c r="Z140" s="16">
        <f>P140*0.3</f>
        <v>120</v>
      </c>
      <c r="AA140" s="18">
        <v>0.3</v>
      </c>
      <c r="AB140" s="19" t="s">
        <v>89</v>
      </c>
      <c r="AC140" s="17">
        <v>450</v>
      </c>
      <c r="AD140" s="17">
        <v>71</v>
      </c>
      <c r="AE140" s="17">
        <v>275</v>
      </c>
      <c r="AF140" s="21" t="s">
        <v>90</v>
      </c>
      <c r="AH140" s="17" t="s">
        <v>91</v>
      </c>
      <c r="AJ140" s="24" t="s">
        <v>98</v>
      </c>
      <c r="AL140" s="19" t="s">
        <v>94</v>
      </c>
      <c r="AM140" s="19" t="s">
        <v>89</v>
      </c>
      <c r="AN140" s="23">
        <v>0.8</v>
      </c>
      <c r="AO140">
        <f t="shared" si="18"/>
        <v>2</v>
      </c>
      <c r="AP140">
        <f t="shared" si="19"/>
        <v>60.79</v>
      </c>
      <c r="AR140">
        <f t="shared" si="20"/>
        <v>94.117647058823536</v>
      </c>
    </row>
    <row r="141" spans="1:44">
      <c r="A141" t="s">
        <v>651</v>
      </c>
      <c r="B141">
        <v>139</v>
      </c>
      <c r="C141" s="16" t="s">
        <v>652</v>
      </c>
      <c r="D141" s="16" t="s">
        <v>652</v>
      </c>
      <c r="E141" s="16" t="s">
        <v>128</v>
      </c>
      <c r="F141" s="16" t="s">
        <v>129</v>
      </c>
      <c r="G141" s="16" t="s">
        <v>130</v>
      </c>
      <c r="H141" s="16" t="s">
        <v>88</v>
      </c>
      <c r="I141" s="16" t="s">
        <v>653</v>
      </c>
      <c r="J141" s="16" t="s">
        <v>87</v>
      </c>
      <c r="K141" s="16" t="s">
        <v>88</v>
      </c>
      <c r="L141" s="17">
        <v>2000</v>
      </c>
      <c r="M141" s="17">
        <v>80</v>
      </c>
      <c r="N141" s="17" t="s">
        <v>89</v>
      </c>
      <c r="O141" s="17" t="s">
        <v>89</v>
      </c>
      <c r="P141" s="16">
        <v>72</v>
      </c>
      <c r="Q141" s="16">
        <v>3.65</v>
      </c>
      <c r="R141" s="16">
        <v>3.2</v>
      </c>
      <c r="S141" s="16">
        <v>2.5</v>
      </c>
      <c r="T141" s="16">
        <f>0.3*P141</f>
        <v>21.599999999999998</v>
      </c>
      <c r="U141" s="16">
        <v>216</v>
      </c>
      <c r="V141" s="18">
        <v>0.3</v>
      </c>
      <c r="W141" s="16">
        <v>1900</v>
      </c>
      <c r="Y141" s="16">
        <v>72</v>
      </c>
      <c r="Z141" s="16">
        <f>P141*0.3</f>
        <v>21.599999999999998</v>
      </c>
      <c r="AA141" s="18">
        <v>0.3</v>
      </c>
      <c r="AB141" s="19" t="s">
        <v>89</v>
      </c>
      <c r="AC141" s="17">
        <v>68</v>
      </c>
      <c r="AD141" s="17">
        <v>29</v>
      </c>
      <c r="AE141" s="17">
        <v>216</v>
      </c>
      <c r="AF141" s="21" t="s">
        <v>90</v>
      </c>
      <c r="AH141" s="17" t="s">
        <v>91</v>
      </c>
      <c r="AJ141" s="24" t="s">
        <v>98</v>
      </c>
      <c r="AL141" s="19" t="s">
        <v>94</v>
      </c>
      <c r="AM141" s="19" t="s">
        <v>89</v>
      </c>
      <c r="AN141" s="23">
        <v>0.8</v>
      </c>
      <c r="AO141">
        <f t="shared" si="18"/>
        <v>2</v>
      </c>
      <c r="AP141">
        <f t="shared" si="19"/>
        <v>60.79</v>
      </c>
      <c r="AR141">
        <f t="shared" si="20"/>
        <v>121.26315789473685</v>
      </c>
    </row>
    <row r="142" spans="1:44">
      <c r="A142" t="s">
        <v>654</v>
      </c>
      <c r="B142">
        <v>140</v>
      </c>
      <c r="C142" s="16" t="s">
        <v>655</v>
      </c>
      <c r="D142" s="16" t="s">
        <v>655</v>
      </c>
      <c r="E142" s="16" t="s">
        <v>656</v>
      </c>
      <c r="F142" s="16" t="s">
        <v>129</v>
      </c>
      <c r="G142" s="16" t="s">
        <v>130</v>
      </c>
      <c r="H142" s="16" t="s">
        <v>88</v>
      </c>
      <c r="I142" s="16" t="s">
        <v>657</v>
      </c>
      <c r="J142" s="16" t="s">
        <v>87</v>
      </c>
      <c r="K142" s="16" t="s">
        <v>88</v>
      </c>
      <c r="L142" s="17">
        <v>2000</v>
      </c>
      <c r="M142" s="17">
        <v>80</v>
      </c>
      <c r="N142" s="17" t="s">
        <v>89</v>
      </c>
      <c r="O142" s="17" t="s">
        <v>89</v>
      </c>
      <c r="P142" s="16">
        <v>60</v>
      </c>
      <c r="Q142" s="16">
        <v>3.65</v>
      </c>
      <c r="R142" s="16">
        <v>3.2</v>
      </c>
      <c r="S142" s="16">
        <v>2</v>
      </c>
      <c r="T142" s="16">
        <v>12</v>
      </c>
      <c r="U142" s="16">
        <v>180</v>
      </c>
      <c r="V142" s="18">
        <v>0.2</v>
      </c>
      <c r="W142" s="16">
        <v>1410</v>
      </c>
      <c r="Y142" s="16">
        <v>120</v>
      </c>
      <c r="Z142" s="16">
        <v>12</v>
      </c>
      <c r="AA142" s="18">
        <v>0.2</v>
      </c>
      <c r="AB142" s="19" t="s">
        <v>89</v>
      </c>
      <c r="AC142" s="17">
        <v>173</v>
      </c>
      <c r="AD142" s="17">
        <v>32</v>
      </c>
      <c r="AE142" s="17">
        <v>124</v>
      </c>
      <c r="AF142" s="21" t="s">
        <v>90</v>
      </c>
      <c r="AH142" s="17" t="s">
        <v>91</v>
      </c>
      <c r="AJ142" s="24" t="s">
        <v>98</v>
      </c>
      <c r="AL142" s="19" t="s">
        <v>94</v>
      </c>
      <c r="AM142" s="19">
        <v>0.02</v>
      </c>
      <c r="AN142" s="23">
        <v>0.8</v>
      </c>
      <c r="AO142">
        <f t="shared" si="18"/>
        <v>2</v>
      </c>
      <c r="AP142">
        <f t="shared" si="19"/>
        <v>60.79</v>
      </c>
      <c r="AR142">
        <f t="shared" si="20"/>
        <v>136.17021276595744</v>
      </c>
    </row>
    <row r="143" spans="1:44">
      <c r="A143" t="s">
        <v>658</v>
      </c>
      <c r="B143">
        <v>141</v>
      </c>
      <c r="C143" s="16" t="s">
        <v>659</v>
      </c>
      <c r="D143" s="16" t="s">
        <v>659</v>
      </c>
      <c r="E143" s="16" t="s">
        <v>656</v>
      </c>
      <c r="F143" s="16" t="s">
        <v>129</v>
      </c>
      <c r="G143" s="16" t="s">
        <v>130</v>
      </c>
      <c r="H143" s="16" t="s">
        <v>266</v>
      </c>
      <c r="I143" s="16" t="s">
        <v>660</v>
      </c>
      <c r="J143" s="16" t="s">
        <v>87</v>
      </c>
      <c r="K143" s="16" t="s">
        <v>268</v>
      </c>
      <c r="L143" s="17">
        <v>2000</v>
      </c>
      <c r="M143" s="17">
        <v>80</v>
      </c>
      <c r="N143" s="17" t="s">
        <v>89</v>
      </c>
      <c r="O143" s="17" t="s">
        <v>89</v>
      </c>
      <c r="P143" s="16">
        <v>3.8</v>
      </c>
      <c r="Q143" s="16">
        <v>3.65</v>
      </c>
      <c r="R143" s="16">
        <v>3.2</v>
      </c>
      <c r="S143" s="16">
        <v>2</v>
      </c>
      <c r="T143" s="16">
        <v>0.76</v>
      </c>
      <c r="U143" s="16">
        <f>3*P143</f>
        <v>11.399999999999999</v>
      </c>
      <c r="V143" s="18">
        <v>0.2</v>
      </c>
      <c r="W143" s="16">
        <v>92</v>
      </c>
      <c r="Y143" s="16">
        <f>1*P143</f>
        <v>3.8</v>
      </c>
      <c r="Z143" s="16">
        <v>0.76</v>
      </c>
      <c r="AA143" s="18">
        <v>0.2</v>
      </c>
      <c r="AB143" s="19" t="s">
        <v>89</v>
      </c>
      <c r="AC143" s="17" t="s">
        <v>90</v>
      </c>
      <c r="AD143" s="17">
        <v>65.2</v>
      </c>
      <c r="AF143" s="17">
        <v>26.5</v>
      </c>
      <c r="AH143" s="17" t="s">
        <v>91</v>
      </c>
      <c r="AJ143" s="24" t="s">
        <v>98</v>
      </c>
      <c r="AL143" s="19" t="s">
        <v>94</v>
      </c>
      <c r="AM143" s="19">
        <v>0.02</v>
      </c>
      <c r="AN143" s="23">
        <v>0.8</v>
      </c>
      <c r="AO143">
        <f t="shared" si="18"/>
        <v>3</v>
      </c>
      <c r="AP143">
        <f t="shared" si="19"/>
        <v>64.69</v>
      </c>
      <c r="AR143">
        <f t="shared" si="20"/>
        <v>132.17391304347825</v>
      </c>
    </row>
    <row r="144" spans="1:44">
      <c r="A144" t="s">
        <v>661</v>
      </c>
      <c r="B144">
        <v>142</v>
      </c>
      <c r="C144" s="16" t="s">
        <v>662</v>
      </c>
      <c r="D144" s="16" t="s">
        <v>662</v>
      </c>
      <c r="E144" s="16" t="s">
        <v>656</v>
      </c>
      <c r="F144" s="16" t="s">
        <v>83</v>
      </c>
      <c r="G144" s="16" t="s">
        <v>84</v>
      </c>
      <c r="H144" s="16" t="s">
        <v>85</v>
      </c>
      <c r="I144" s="16" t="s">
        <v>663</v>
      </c>
      <c r="J144" s="16" t="s">
        <v>87</v>
      </c>
      <c r="K144" s="16" t="s">
        <v>88</v>
      </c>
      <c r="L144" s="17">
        <v>100</v>
      </c>
      <c r="M144" s="17">
        <v>80</v>
      </c>
      <c r="N144" s="17" t="s">
        <v>89</v>
      </c>
      <c r="O144" s="17" t="s">
        <v>89</v>
      </c>
      <c r="P144" s="16">
        <v>6.55</v>
      </c>
      <c r="Q144" s="16">
        <v>4.2</v>
      </c>
      <c r="R144" s="16">
        <v>3.7</v>
      </c>
      <c r="S144" s="16">
        <v>2.5</v>
      </c>
      <c r="T144" s="16">
        <v>1.31</v>
      </c>
      <c r="U144" s="16">
        <f>15*P144</f>
        <v>98.25</v>
      </c>
      <c r="V144" s="18">
        <v>15</v>
      </c>
      <c r="W144" s="16">
        <v>126</v>
      </c>
      <c r="Y144" s="16">
        <f>2*P144</f>
        <v>13.1</v>
      </c>
      <c r="Z144" s="16">
        <v>1.31</v>
      </c>
      <c r="AA144" s="18">
        <v>0.5</v>
      </c>
      <c r="AB144" s="19" t="s">
        <v>89</v>
      </c>
      <c r="AC144" s="17">
        <v>127</v>
      </c>
      <c r="AD144" s="17">
        <v>10.199999999999999</v>
      </c>
      <c r="AE144" s="17">
        <v>42</v>
      </c>
      <c r="AF144" s="21" t="s">
        <v>90</v>
      </c>
      <c r="AH144" s="17" t="s">
        <v>91</v>
      </c>
      <c r="AJ144" s="24" t="s">
        <v>98</v>
      </c>
      <c r="AL144" s="19" t="s">
        <v>94</v>
      </c>
      <c r="AM144" s="19">
        <v>0.02</v>
      </c>
      <c r="AN144" s="23">
        <v>0.8</v>
      </c>
      <c r="AO144">
        <f t="shared" si="18"/>
        <v>1</v>
      </c>
      <c r="AP144">
        <f t="shared" si="19"/>
        <v>60.25</v>
      </c>
      <c r="AR144">
        <f t="shared" si="20"/>
        <v>192.34126984126985</v>
      </c>
    </row>
    <row r="145" spans="1:44">
      <c r="A145" t="s">
        <v>664</v>
      </c>
      <c r="B145">
        <v>143</v>
      </c>
      <c r="C145" s="16" t="s">
        <v>665</v>
      </c>
      <c r="D145" s="16" t="s">
        <v>665</v>
      </c>
      <c r="E145" s="16" t="s">
        <v>82</v>
      </c>
      <c r="F145" s="16" t="s">
        <v>83</v>
      </c>
      <c r="G145" s="16" t="s">
        <v>84</v>
      </c>
      <c r="H145" s="16" t="s">
        <v>85</v>
      </c>
      <c r="I145" s="16" t="s">
        <v>666</v>
      </c>
      <c r="J145" s="16" t="s">
        <v>87</v>
      </c>
      <c r="K145" s="16" t="s">
        <v>88</v>
      </c>
      <c r="L145" s="17">
        <v>1400</v>
      </c>
      <c r="M145" s="17">
        <v>80</v>
      </c>
      <c r="N145" s="17" t="s">
        <v>89</v>
      </c>
      <c r="O145" s="17" t="s">
        <v>89</v>
      </c>
      <c r="P145" s="16">
        <v>12</v>
      </c>
      <c r="Q145" s="16">
        <v>4.2</v>
      </c>
      <c r="R145" s="16">
        <v>3.7</v>
      </c>
      <c r="S145" s="16">
        <v>2.7</v>
      </c>
      <c r="T145" s="16">
        <v>12</v>
      </c>
      <c r="U145" s="16">
        <v>180</v>
      </c>
      <c r="V145" s="18">
        <v>0.5</v>
      </c>
      <c r="W145" s="16">
        <v>345</v>
      </c>
      <c r="Y145" s="16">
        <v>36</v>
      </c>
      <c r="Z145" s="16">
        <v>12</v>
      </c>
      <c r="AA145" s="18">
        <v>0.5</v>
      </c>
      <c r="AB145" s="19" t="s">
        <v>89</v>
      </c>
      <c r="AC145" s="17">
        <v>208</v>
      </c>
      <c r="AD145" s="17">
        <v>130</v>
      </c>
      <c r="AE145" s="17">
        <v>7</v>
      </c>
      <c r="AF145" s="21" t="s">
        <v>90</v>
      </c>
      <c r="AG145" s="17">
        <v>2011</v>
      </c>
      <c r="AH145" s="17" t="s">
        <v>91</v>
      </c>
      <c r="AJ145" s="24" t="s">
        <v>667</v>
      </c>
      <c r="AL145" s="19" t="s">
        <v>94</v>
      </c>
      <c r="AM145" s="19">
        <v>0.05</v>
      </c>
      <c r="AN145" s="23">
        <v>0.8</v>
      </c>
      <c r="AO145">
        <f t="shared" si="18"/>
        <v>1</v>
      </c>
      <c r="AP145">
        <f t="shared" si="19"/>
        <v>60.25</v>
      </c>
      <c r="AR145">
        <f t="shared" si="20"/>
        <v>128.69565217391306</v>
      </c>
    </row>
    <row r="146" spans="1:44">
      <c r="A146" t="s">
        <v>668</v>
      </c>
      <c r="B146">
        <v>144</v>
      </c>
      <c r="C146" s="16" t="s">
        <v>669</v>
      </c>
      <c r="D146" s="16" t="s">
        <v>669</v>
      </c>
      <c r="E146" s="16" t="s">
        <v>670</v>
      </c>
      <c r="H146" s="16" t="s">
        <v>88</v>
      </c>
      <c r="I146" s="16" t="s">
        <v>671</v>
      </c>
      <c r="J146" s="16" t="s">
        <v>87</v>
      </c>
      <c r="K146" s="16" t="s">
        <v>88</v>
      </c>
      <c r="L146" s="17">
        <v>2250</v>
      </c>
      <c r="M146" s="17" t="s">
        <v>89</v>
      </c>
      <c r="N146" s="17" t="s">
        <v>89</v>
      </c>
      <c r="O146" s="17" t="s">
        <v>89</v>
      </c>
      <c r="P146" s="16">
        <v>5.6</v>
      </c>
      <c r="Q146" s="16">
        <v>4.2</v>
      </c>
      <c r="R146" s="16">
        <v>3.65</v>
      </c>
      <c r="S146" s="16">
        <v>2.5</v>
      </c>
      <c r="T146" s="16">
        <v>2.8</v>
      </c>
      <c r="U146" s="16">
        <v>11</v>
      </c>
      <c r="V146" s="18">
        <v>0.5</v>
      </c>
      <c r="W146" s="16">
        <v>155</v>
      </c>
      <c r="Y146" s="16">
        <v>5.6</v>
      </c>
      <c r="Z146" s="16">
        <v>5.6</v>
      </c>
      <c r="AA146" s="18">
        <v>1</v>
      </c>
      <c r="AB146" s="19" t="s">
        <v>89</v>
      </c>
      <c r="AC146" s="17">
        <v>63</v>
      </c>
      <c r="AD146" s="17">
        <v>74</v>
      </c>
      <c r="AE146" s="17">
        <v>20.6</v>
      </c>
      <c r="AF146" s="21" t="s">
        <v>90</v>
      </c>
      <c r="AG146" s="17">
        <v>2020</v>
      </c>
      <c r="AH146" s="17" t="s">
        <v>91</v>
      </c>
      <c r="AJ146" s="24" t="s">
        <v>672</v>
      </c>
      <c r="AL146" s="19" t="s">
        <v>94</v>
      </c>
      <c r="AM146" s="19" t="s">
        <v>89</v>
      </c>
      <c r="AN146" s="23">
        <v>1</v>
      </c>
      <c r="AO146">
        <f t="shared" si="18"/>
        <v>2</v>
      </c>
      <c r="AP146">
        <f t="shared" si="19"/>
        <v>60.79</v>
      </c>
      <c r="AR146">
        <f t="shared" si="20"/>
        <v>131.87096774193546</v>
      </c>
    </row>
    <row r="147" spans="1:44">
      <c r="A147" t="s">
        <v>673</v>
      </c>
      <c r="B147">
        <v>145</v>
      </c>
      <c r="C147" s="16" t="s">
        <v>674</v>
      </c>
      <c r="D147" s="16" t="s">
        <v>674</v>
      </c>
      <c r="E147" s="16" t="s">
        <v>670</v>
      </c>
      <c r="H147" s="16" t="s">
        <v>88</v>
      </c>
      <c r="I147" s="16" t="s">
        <v>675</v>
      </c>
      <c r="J147" s="16" t="s">
        <v>87</v>
      </c>
      <c r="K147" s="16" t="s">
        <v>88</v>
      </c>
      <c r="L147" s="17">
        <v>1100</v>
      </c>
      <c r="M147" s="17" t="s">
        <v>89</v>
      </c>
      <c r="N147" s="27">
        <v>335</v>
      </c>
      <c r="O147" s="16">
        <v>142</v>
      </c>
      <c r="P147" s="16">
        <v>2.6</v>
      </c>
      <c r="Q147" s="16">
        <v>4.2</v>
      </c>
      <c r="R147" s="16">
        <v>3.65</v>
      </c>
      <c r="S147" s="16">
        <v>2.5</v>
      </c>
      <c r="T147" s="16">
        <v>1.3</v>
      </c>
      <c r="U147" s="16">
        <v>5</v>
      </c>
      <c r="V147" s="18">
        <v>0.5</v>
      </c>
      <c r="W147" s="16">
        <v>66</v>
      </c>
      <c r="Y147" s="16">
        <v>2.6</v>
      </c>
      <c r="Z147" s="16">
        <v>2.6</v>
      </c>
      <c r="AA147" s="18">
        <v>1</v>
      </c>
      <c r="AB147" s="19" t="s">
        <v>89</v>
      </c>
      <c r="AC147" s="17">
        <v>42.9</v>
      </c>
      <c r="AD147" s="17">
        <v>50.1</v>
      </c>
      <c r="AE147" s="17">
        <v>14.5</v>
      </c>
      <c r="AF147" s="21" t="s">
        <v>90</v>
      </c>
      <c r="AG147" s="17">
        <v>2018</v>
      </c>
      <c r="AH147" s="17" t="s">
        <v>91</v>
      </c>
      <c r="AJ147" s="24" t="s">
        <v>676</v>
      </c>
      <c r="AL147" s="19" t="s">
        <v>94</v>
      </c>
      <c r="AM147" s="19" t="s">
        <v>89</v>
      </c>
      <c r="AN147" s="23">
        <v>1</v>
      </c>
      <c r="AO147">
        <f t="shared" si="18"/>
        <v>2</v>
      </c>
      <c r="AP147">
        <f t="shared" si="19"/>
        <v>60.79</v>
      </c>
      <c r="AR147">
        <f t="shared" si="20"/>
        <v>143.78787878787878</v>
      </c>
    </row>
    <row r="148" spans="1:44">
      <c r="A148" t="s">
        <v>677</v>
      </c>
      <c r="B148">
        <v>146</v>
      </c>
      <c r="C148" s="16" t="s">
        <v>678</v>
      </c>
      <c r="D148" s="16" t="s">
        <v>678</v>
      </c>
      <c r="E148" s="16" t="s">
        <v>670</v>
      </c>
      <c r="H148" s="16" t="s">
        <v>88</v>
      </c>
      <c r="I148" s="16" t="s">
        <v>679</v>
      </c>
      <c r="J148" s="16" t="s">
        <v>87</v>
      </c>
      <c r="K148" s="16" t="s">
        <v>88</v>
      </c>
      <c r="L148" s="17">
        <v>1000</v>
      </c>
      <c r="M148" s="17" t="s">
        <v>89</v>
      </c>
      <c r="N148" s="16">
        <v>264</v>
      </c>
      <c r="O148" s="16">
        <v>150</v>
      </c>
      <c r="P148" s="16">
        <v>5.6</v>
      </c>
      <c r="Q148" s="16">
        <v>4.2</v>
      </c>
      <c r="R148" s="16">
        <v>3.65</v>
      </c>
      <c r="S148" s="16">
        <v>2.5</v>
      </c>
      <c r="T148" s="16">
        <v>2.8</v>
      </c>
      <c r="U148" s="16">
        <v>11</v>
      </c>
      <c r="V148" s="18">
        <v>0.5</v>
      </c>
      <c r="W148" s="16">
        <v>135</v>
      </c>
      <c r="Y148" s="16">
        <v>5.6</v>
      </c>
      <c r="Z148" s="16">
        <v>5.6</v>
      </c>
      <c r="AA148" s="18">
        <v>0.5</v>
      </c>
      <c r="AB148" s="19" t="s">
        <v>89</v>
      </c>
      <c r="AC148" s="17">
        <v>60.5</v>
      </c>
      <c r="AD148" s="17">
        <v>68.7</v>
      </c>
      <c r="AE148" s="17">
        <v>19.05</v>
      </c>
      <c r="AF148" s="21" t="s">
        <v>90</v>
      </c>
      <c r="AG148" s="17">
        <v>2019</v>
      </c>
      <c r="AH148" s="17" t="s">
        <v>91</v>
      </c>
      <c r="AJ148" s="24" t="s">
        <v>680</v>
      </c>
      <c r="AL148" s="19" t="s">
        <v>94</v>
      </c>
      <c r="AM148" s="19" t="s">
        <v>89</v>
      </c>
      <c r="AN148" s="23">
        <v>1</v>
      </c>
      <c r="AO148">
        <f t="shared" si="18"/>
        <v>2</v>
      </c>
      <c r="AP148">
        <f t="shared" si="19"/>
        <v>60.79</v>
      </c>
      <c r="AR148">
        <f t="shared" si="20"/>
        <v>151.40740740740739</v>
      </c>
    </row>
    <row r="149" spans="1:44">
      <c r="A149" t="s">
        <v>681</v>
      </c>
      <c r="B149">
        <v>147</v>
      </c>
      <c r="C149" s="16" t="s">
        <v>682</v>
      </c>
      <c r="D149" s="16" t="s">
        <v>683</v>
      </c>
      <c r="E149" s="16" t="s">
        <v>684</v>
      </c>
      <c r="F149" s="16" t="s">
        <v>83</v>
      </c>
      <c r="G149" s="16" t="s">
        <v>425</v>
      </c>
      <c r="H149" s="16" t="s">
        <v>266</v>
      </c>
      <c r="I149" s="16" t="s">
        <v>685</v>
      </c>
      <c r="J149" s="16" t="s">
        <v>87</v>
      </c>
      <c r="K149" s="16" t="s">
        <v>268</v>
      </c>
      <c r="L149" s="17">
        <v>1000</v>
      </c>
      <c r="M149" s="17">
        <v>80</v>
      </c>
      <c r="N149" s="27">
        <v>282</v>
      </c>
      <c r="O149" s="16">
        <v>108</v>
      </c>
      <c r="P149" s="16">
        <v>45</v>
      </c>
      <c r="Q149" s="16">
        <v>4.2</v>
      </c>
      <c r="R149" s="16">
        <v>3.6</v>
      </c>
      <c r="S149" s="16">
        <v>3</v>
      </c>
      <c r="T149" s="16">
        <v>90</v>
      </c>
      <c r="U149" s="16">
        <v>450</v>
      </c>
      <c r="V149" s="18">
        <v>0.5</v>
      </c>
      <c r="W149" s="16">
        <v>1500</v>
      </c>
      <c r="Y149" s="16">
        <v>180</v>
      </c>
      <c r="Z149" s="16">
        <v>45</v>
      </c>
      <c r="AA149" s="18">
        <v>0.5</v>
      </c>
      <c r="AB149" s="19" t="s">
        <v>89</v>
      </c>
      <c r="AC149" s="17" t="s">
        <v>90</v>
      </c>
      <c r="AD149" s="17">
        <v>232</v>
      </c>
      <c r="AF149" s="20">
        <v>60</v>
      </c>
      <c r="AG149" s="17">
        <v>2009</v>
      </c>
      <c r="AH149" s="17" t="s">
        <v>91</v>
      </c>
      <c r="AJ149" s="24" t="s">
        <v>686</v>
      </c>
      <c r="AL149" s="19" t="s">
        <v>94</v>
      </c>
      <c r="AM149" s="19" t="s">
        <v>89</v>
      </c>
      <c r="AN149" s="23">
        <v>0.8</v>
      </c>
      <c r="AO149">
        <f t="shared" si="18"/>
        <v>3</v>
      </c>
      <c r="AP149">
        <f t="shared" si="19"/>
        <v>64.69</v>
      </c>
      <c r="AR149">
        <f t="shared" si="20"/>
        <v>108</v>
      </c>
    </row>
    <row r="150" spans="1:44">
      <c r="A150" t="s">
        <v>687</v>
      </c>
      <c r="B150">
        <v>148</v>
      </c>
      <c r="C150" s="16" t="s">
        <v>688</v>
      </c>
      <c r="D150" s="16" t="s">
        <v>688</v>
      </c>
      <c r="E150" s="16" t="s">
        <v>689</v>
      </c>
      <c r="H150" s="16" t="s">
        <v>266</v>
      </c>
      <c r="I150" s="16" t="s">
        <v>690</v>
      </c>
      <c r="J150" s="16" t="s">
        <v>87</v>
      </c>
      <c r="K150" s="16" t="s">
        <v>268</v>
      </c>
      <c r="L150" s="17">
        <v>500</v>
      </c>
      <c r="M150" s="17">
        <v>70</v>
      </c>
      <c r="N150" s="17" t="s">
        <v>89</v>
      </c>
      <c r="O150" s="17" t="s">
        <v>89</v>
      </c>
      <c r="P150" s="16">
        <v>4</v>
      </c>
      <c r="Q150" s="16">
        <v>4.2</v>
      </c>
      <c r="R150" s="16">
        <v>3.7</v>
      </c>
      <c r="S150" s="16">
        <v>2.5</v>
      </c>
      <c r="T150" s="16">
        <v>0.8</v>
      </c>
      <c r="U150" s="16">
        <v>35</v>
      </c>
      <c r="V150" s="18" t="s">
        <v>89</v>
      </c>
      <c r="W150" s="16">
        <v>69</v>
      </c>
      <c r="Y150" s="16">
        <v>4</v>
      </c>
      <c r="Z150" s="16">
        <v>0.05</v>
      </c>
      <c r="AA150" s="18" t="s">
        <v>89</v>
      </c>
      <c r="AB150" s="19" t="s">
        <v>89</v>
      </c>
      <c r="AC150" s="17" t="s">
        <v>90</v>
      </c>
      <c r="AD150" s="17">
        <v>70.3</v>
      </c>
      <c r="AF150" s="20">
        <v>21.5</v>
      </c>
      <c r="AH150" s="17" t="s">
        <v>91</v>
      </c>
      <c r="AJ150" s="24" t="s">
        <v>98</v>
      </c>
      <c r="AL150" s="19" t="s">
        <v>94</v>
      </c>
      <c r="AM150" s="19" t="s">
        <v>89</v>
      </c>
      <c r="AN150" s="19" t="s">
        <v>89</v>
      </c>
      <c r="AO150">
        <f t="shared" si="18"/>
        <v>3</v>
      </c>
      <c r="AP150">
        <f t="shared" si="19"/>
        <v>64.69</v>
      </c>
      <c r="AR150">
        <f t="shared" si="20"/>
        <v>214.49275362318841</v>
      </c>
    </row>
    <row r="151" spans="1:44">
      <c r="A151" t="s">
        <v>691</v>
      </c>
      <c r="B151">
        <v>149</v>
      </c>
      <c r="C151" s="16" t="s">
        <v>692</v>
      </c>
      <c r="D151" s="16" t="s">
        <v>693</v>
      </c>
      <c r="E151" s="16" t="s">
        <v>431</v>
      </c>
      <c r="H151" s="16" t="s">
        <v>266</v>
      </c>
      <c r="I151" s="16" t="s">
        <v>694</v>
      </c>
      <c r="J151" s="16" t="s">
        <v>87</v>
      </c>
      <c r="K151" s="16" t="s">
        <v>268</v>
      </c>
      <c r="L151" s="17">
        <v>500</v>
      </c>
      <c r="M151" s="17">
        <v>80</v>
      </c>
      <c r="N151" s="27">
        <v>677</v>
      </c>
      <c r="O151" s="16">
        <v>248</v>
      </c>
      <c r="P151" s="16">
        <v>3.35</v>
      </c>
      <c r="Q151" s="16">
        <v>4.2</v>
      </c>
      <c r="R151" s="16">
        <v>3.6</v>
      </c>
      <c r="S151" s="16">
        <v>2.5</v>
      </c>
      <c r="T151" s="16">
        <v>3.25</v>
      </c>
      <c r="U151" s="29">
        <v>3.25</v>
      </c>
      <c r="V151" s="18">
        <v>1</v>
      </c>
      <c r="W151" s="16">
        <v>46.5</v>
      </c>
      <c r="Y151" s="16">
        <v>1.625</v>
      </c>
      <c r="Z151" s="16">
        <v>1.625</v>
      </c>
      <c r="AA151" s="18">
        <v>0.5</v>
      </c>
      <c r="AB151" s="19" t="s">
        <v>89</v>
      </c>
      <c r="AC151" s="17" t="s">
        <v>90</v>
      </c>
      <c r="AD151" s="17">
        <v>65.099999999999994</v>
      </c>
      <c r="AF151" s="20">
        <v>18.239999999999998</v>
      </c>
      <c r="AH151" s="17" t="s">
        <v>91</v>
      </c>
      <c r="AJ151" s="24" t="s">
        <v>98</v>
      </c>
      <c r="AL151" s="19" t="s">
        <v>94</v>
      </c>
      <c r="AM151" s="19">
        <v>0.02</v>
      </c>
      <c r="AN151" s="19" t="s">
        <v>89</v>
      </c>
      <c r="AO151">
        <f t="shared" si="18"/>
        <v>3</v>
      </c>
      <c r="AP151">
        <f t="shared" si="19"/>
        <v>64.69</v>
      </c>
      <c r="AR151">
        <f t="shared" si="20"/>
        <v>259.35483870967744</v>
      </c>
    </row>
    <row r="152" spans="1:44">
      <c r="A152" t="s">
        <v>695</v>
      </c>
      <c r="B152">
        <v>150</v>
      </c>
      <c r="C152" s="16" t="s">
        <v>696</v>
      </c>
      <c r="D152" s="16" t="s">
        <v>693</v>
      </c>
      <c r="E152" s="16" t="s">
        <v>431</v>
      </c>
      <c r="H152" s="16" t="s">
        <v>266</v>
      </c>
      <c r="I152" s="16" t="s">
        <v>694</v>
      </c>
      <c r="J152" s="16" t="s">
        <v>87</v>
      </c>
      <c r="K152" s="16" t="s">
        <v>268</v>
      </c>
      <c r="L152" s="17">
        <v>500</v>
      </c>
      <c r="M152" s="17">
        <v>80</v>
      </c>
      <c r="N152" s="27">
        <v>600</v>
      </c>
      <c r="O152" s="16">
        <v>219</v>
      </c>
      <c r="P152" s="16">
        <v>2.9649999999999999</v>
      </c>
      <c r="Q152" s="16">
        <v>4.0999999999999996</v>
      </c>
      <c r="R152" s="16">
        <v>3.6</v>
      </c>
      <c r="S152" s="16">
        <v>2.5</v>
      </c>
      <c r="T152" s="29">
        <v>3.25</v>
      </c>
      <c r="U152" s="29">
        <v>3.25</v>
      </c>
      <c r="V152" s="18">
        <v>1</v>
      </c>
      <c r="W152" s="16">
        <v>46.5</v>
      </c>
      <c r="Y152" s="16">
        <v>1.625</v>
      </c>
      <c r="Z152" s="16">
        <v>1.625</v>
      </c>
      <c r="AA152" s="18">
        <v>0.5</v>
      </c>
      <c r="AB152" s="19" t="s">
        <v>89</v>
      </c>
      <c r="AC152" s="17" t="s">
        <v>90</v>
      </c>
      <c r="AD152" s="17">
        <v>65.099999999999994</v>
      </c>
      <c r="AF152" s="20">
        <v>18.239999999999998</v>
      </c>
      <c r="AH152" s="17" t="s">
        <v>91</v>
      </c>
      <c r="AJ152" s="24" t="s">
        <v>98</v>
      </c>
      <c r="AL152" s="19" t="s">
        <v>94</v>
      </c>
      <c r="AM152" s="19">
        <v>0.02</v>
      </c>
      <c r="AN152" s="19" t="s">
        <v>89</v>
      </c>
      <c r="AO152">
        <f t="shared" si="18"/>
        <v>3</v>
      </c>
      <c r="AP152">
        <f t="shared" si="19"/>
        <v>64.69</v>
      </c>
      <c r="AR152">
        <f t="shared" si="20"/>
        <v>229.54838709677418</v>
      </c>
    </row>
    <row r="153" spans="1:44">
      <c r="A153" t="s">
        <v>697</v>
      </c>
      <c r="B153">
        <v>151</v>
      </c>
      <c r="C153" s="16" t="s">
        <v>698</v>
      </c>
      <c r="D153" s="16" t="s">
        <v>699</v>
      </c>
      <c r="E153" s="16" t="s">
        <v>431</v>
      </c>
      <c r="F153" s="16" t="s">
        <v>83</v>
      </c>
      <c r="G153" s="16" t="s">
        <v>425</v>
      </c>
      <c r="H153" s="16" t="s">
        <v>88</v>
      </c>
      <c r="I153" s="16" t="s">
        <v>700</v>
      </c>
      <c r="J153" s="16" t="s">
        <v>87</v>
      </c>
      <c r="K153" s="16" t="s">
        <v>88</v>
      </c>
      <c r="L153" s="17">
        <v>300</v>
      </c>
      <c r="M153" s="17">
        <v>80</v>
      </c>
      <c r="N153" s="21">
        <v>506</v>
      </c>
      <c r="O153" s="21">
        <v>212</v>
      </c>
      <c r="P153" s="16">
        <v>4.1790000000000003</v>
      </c>
      <c r="Q153" s="16">
        <v>4.2</v>
      </c>
      <c r="R153" s="16">
        <v>3.6</v>
      </c>
      <c r="S153" s="16">
        <v>2.75</v>
      </c>
      <c r="T153" s="29">
        <v>3.94</v>
      </c>
      <c r="U153" s="29">
        <v>3.94</v>
      </c>
      <c r="V153" s="18">
        <v>0.5</v>
      </c>
      <c r="W153" s="16">
        <v>67</v>
      </c>
      <c r="Y153" s="16">
        <v>2.758</v>
      </c>
      <c r="Z153" s="16">
        <v>2.758</v>
      </c>
      <c r="AA153" s="18">
        <v>0.8</v>
      </c>
      <c r="AB153" s="19" t="s">
        <v>89</v>
      </c>
      <c r="AC153" s="17">
        <v>60</v>
      </c>
      <c r="AD153" s="17">
        <v>80</v>
      </c>
      <c r="AE153" s="17">
        <v>5.85</v>
      </c>
      <c r="AF153" s="21" t="s">
        <v>90</v>
      </c>
      <c r="AH153" s="17" t="s">
        <v>91</v>
      </c>
      <c r="AJ153" s="24" t="s">
        <v>98</v>
      </c>
      <c r="AL153" s="19" t="s">
        <v>94</v>
      </c>
      <c r="AM153" s="19" t="s">
        <v>89</v>
      </c>
      <c r="AN153" s="19" t="s">
        <v>89</v>
      </c>
      <c r="AO153">
        <f t="shared" si="18"/>
        <v>2</v>
      </c>
      <c r="AP153">
        <f t="shared" si="19"/>
        <v>60.79</v>
      </c>
      <c r="AR153">
        <f t="shared" si="20"/>
        <v>224.54328358208957</v>
      </c>
    </row>
    <row r="154" spans="1:44">
      <c r="A154" t="s">
        <v>701</v>
      </c>
      <c r="B154">
        <v>152</v>
      </c>
      <c r="C154" s="16" t="s">
        <v>702</v>
      </c>
      <c r="D154" s="16" t="s">
        <v>699</v>
      </c>
      <c r="E154" s="16" t="s">
        <v>431</v>
      </c>
      <c r="F154" s="16" t="s">
        <v>83</v>
      </c>
      <c r="G154" s="16" t="s">
        <v>425</v>
      </c>
      <c r="H154" s="16" t="s">
        <v>88</v>
      </c>
      <c r="I154" s="16" t="s">
        <v>700</v>
      </c>
      <c r="J154" s="16" t="s">
        <v>87</v>
      </c>
      <c r="K154" s="16" t="s">
        <v>88</v>
      </c>
      <c r="L154" s="17">
        <v>300</v>
      </c>
      <c r="M154" s="17">
        <v>80</v>
      </c>
      <c r="N154" s="21">
        <v>506</v>
      </c>
      <c r="O154" s="21">
        <v>212</v>
      </c>
      <c r="P154" s="16">
        <v>3.95</v>
      </c>
      <c r="Q154" s="16">
        <v>4.2</v>
      </c>
      <c r="R154" s="16">
        <v>3.6</v>
      </c>
      <c r="S154" s="16">
        <v>2.75</v>
      </c>
      <c r="T154" s="16">
        <v>3.94</v>
      </c>
      <c r="U154" s="16">
        <v>3.94</v>
      </c>
      <c r="V154" s="18">
        <v>0.5</v>
      </c>
      <c r="W154" s="16">
        <v>67</v>
      </c>
      <c r="Y154" s="16">
        <v>2.758</v>
      </c>
      <c r="Z154" s="16">
        <v>2.758</v>
      </c>
      <c r="AA154" s="18">
        <v>0.8</v>
      </c>
      <c r="AB154" s="19" t="s">
        <v>89</v>
      </c>
      <c r="AC154" s="17">
        <v>60</v>
      </c>
      <c r="AD154" s="17">
        <v>80</v>
      </c>
      <c r="AE154" s="17">
        <v>5.85</v>
      </c>
      <c r="AF154" s="21" t="s">
        <v>90</v>
      </c>
      <c r="AH154" s="17" t="s">
        <v>91</v>
      </c>
      <c r="AJ154" s="24" t="s">
        <v>98</v>
      </c>
      <c r="AL154" s="19" t="s">
        <v>94</v>
      </c>
      <c r="AM154" s="19" t="s">
        <v>89</v>
      </c>
      <c r="AN154" s="19" t="s">
        <v>89</v>
      </c>
      <c r="AO154">
        <f t="shared" si="18"/>
        <v>2</v>
      </c>
      <c r="AP154">
        <f t="shared" si="19"/>
        <v>60.79</v>
      </c>
      <c r="AR154">
        <f t="shared" si="20"/>
        <v>212.23880597014926</v>
      </c>
    </row>
    <row r="155" spans="1:44">
      <c r="A155" t="s">
        <v>703</v>
      </c>
      <c r="B155">
        <v>153</v>
      </c>
      <c r="C155" s="16" t="s">
        <v>704</v>
      </c>
      <c r="D155" s="16" t="s">
        <v>704</v>
      </c>
      <c r="E155" s="16" t="s">
        <v>442</v>
      </c>
      <c r="F155" s="16" t="s">
        <v>83</v>
      </c>
      <c r="G155" s="16" t="s">
        <v>84</v>
      </c>
      <c r="H155" s="16" t="s">
        <v>266</v>
      </c>
      <c r="I155" s="16" t="s">
        <v>705</v>
      </c>
      <c r="J155" s="16" t="s">
        <v>87</v>
      </c>
      <c r="K155" s="16" t="s">
        <v>268</v>
      </c>
      <c r="L155" s="17">
        <v>250</v>
      </c>
      <c r="M155" s="17">
        <v>60</v>
      </c>
      <c r="N155" s="17" t="s">
        <v>89</v>
      </c>
      <c r="O155" s="17" t="s">
        <v>89</v>
      </c>
      <c r="P155" s="16">
        <v>3</v>
      </c>
      <c r="Q155" s="16">
        <v>4.2</v>
      </c>
      <c r="R155" s="16">
        <v>3.6</v>
      </c>
      <c r="S155" s="16">
        <v>2.5</v>
      </c>
      <c r="T155" s="16">
        <v>0.6</v>
      </c>
      <c r="U155" s="16">
        <v>35</v>
      </c>
      <c r="V155" s="18">
        <v>12</v>
      </c>
      <c r="W155" s="16">
        <v>69</v>
      </c>
      <c r="Y155" s="16">
        <v>4</v>
      </c>
      <c r="Z155" s="16">
        <v>1.5</v>
      </c>
      <c r="AA155" s="18">
        <v>1.5</v>
      </c>
      <c r="AB155" s="19" t="s">
        <v>89</v>
      </c>
      <c r="AC155" s="17" t="s">
        <v>90</v>
      </c>
      <c r="AD155" s="17">
        <v>70.3</v>
      </c>
      <c r="AF155" s="20">
        <v>21.22</v>
      </c>
      <c r="AH155" s="17" t="s">
        <v>91</v>
      </c>
      <c r="AJ155" s="24" t="s">
        <v>706</v>
      </c>
      <c r="AL155" s="19" t="s">
        <v>94</v>
      </c>
      <c r="AM155" s="19" t="s">
        <v>89</v>
      </c>
      <c r="AN155" s="19" t="s">
        <v>89</v>
      </c>
      <c r="AO155">
        <f t="shared" si="18"/>
        <v>3</v>
      </c>
      <c r="AP155">
        <f t="shared" si="19"/>
        <v>64.69</v>
      </c>
      <c r="AR155">
        <f t="shared" si="20"/>
        <v>156.52173913043478</v>
      </c>
    </row>
    <row r="156" spans="1:44">
      <c r="A156" t="s">
        <v>707</v>
      </c>
      <c r="B156">
        <v>154</v>
      </c>
      <c r="C156" s="16" t="s">
        <v>708</v>
      </c>
      <c r="D156" s="16" t="s">
        <v>708</v>
      </c>
      <c r="E156" s="16" t="s">
        <v>709</v>
      </c>
      <c r="H156" s="16" t="s">
        <v>266</v>
      </c>
      <c r="I156" s="16" t="s">
        <v>710</v>
      </c>
      <c r="J156" s="16" t="s">
        <v>87</v>
      </c>
      <c r="K156" s="16" t="s">
        <v>268</v>
      </c>
      <c r="L156" s="17">
        <v>300</v>
      </c>
      <c r="M156" s="17">
        <v>70</v>
      </c>
      <c r="N156" s="17" t="s">
        <v>89</v>
      </c>
      <c r="O156" s="17" t="s">
        <v>89</v>
      </c>
      <c r="P156" s="16">
        <v>4.25</v>
      </c>
      <c r="Q156" s="16">
        <v>4.25</v>
      </c>
      <c r="R156" s="16">
        <v>3.6</v>
      </c>
      <c r="S156" s="16">
        <v>2.5</v>
      </c>
      <c r="T156" s="16">
        <v>0.85</v>
      </c>
      <c r="U156" s="16">
        <v>3.4</v>
      </c>
      <c r="V156" s="18" t="s">
        <v>89</v>
      </c>
      <c r="W156" s="16">
        <v>70</v>
      </c>
      <c r="Y156" s="16">
        <v>4.05</v>
      </c>
      <c r="Z156" s="16">
        <v>2.125</v>
      </c>
      <c r="AA156" s="18" t="s">
        <v>89</v>
      </c>
      <c r="AB156" s="19" t="s">
        <v>89</v>
      </c>
      <c r="AC156" s="17" t="s">
        <v>90</v>
      </c>
      <c r="AD156" s="17">
        <v>74</v>
      </c>
      <c r="AF156" s="20">
        <v>20.5</v>
      </c>
      <c r="AG156" s="17">
        <v>2018</v>
      </c>
      <c r="AH156" s="17" t="s">
        <v>91</v>
      </c>
      <c r="AJ156" s="24" t="s">
        <v>711</v>
      </c>
      <c r="AL156" s="19" t="s">
        <v>94</v>
      </c>
      <c r="AM156" s="19">
        <v>0.02</v>
      </c>
      <c r="AN156" s="19" t="s">
        <v>89</v>
      </c>
      <c r="AO156">
        <f t="shared" si="18"/>
        <v>3</v>
      </c>
      <c r="AP156">
        <f t="shared" si="19"/>
        <v>64.69</v>
      </c>
      <c r="AR156">
        <f t="shared" si="20"/>
        <v>218.57142857142856</v>
      </c>
    </row>
    <row r="157" spans="1:44">
      <c r="A157" t="s">
        <v>712</v>
      </c>
      <c r="B157">
        <v>155</v>
      </c>
      <c r="C157" s="16" t="s">
        <v>713</v>
      </c>
      <c r="D157" s="16" t="s">
        <v>713</v>
      </c>
      <c r="E157" s="16" t="s">
        <v>431</v>
      </c>
      <c r="H157" s="16" t="s">
        <v>85</v>
      </c>
      <c r="I157" s="16" t="s">
        <v>714</v>
      </c>
      <c r="J157" s="16" t="s">
        <v>87</v>
      </c>
      <c r="K157" s="16" t="s">
        <v>88</v>
      </c>
      <c r="L157" s="17">
        <v>500</v>
      </c>
      <c r="M157" s="17">
        <v>80</v>
      </c>
      <c r="N157" s="27">
        <v>449</v>
      </c>
      <c r="O157" s="16">
        <v>202</v>
      </c>
      <c r="P157" s="16">
        <v>2.9</v>
      </c>
      <c r="Q157" s="16">
        <v>4.2</v>
      </c>
      <c r="R157" s="16">
        <v>3.7</v>
      </c>
      <c r="S157" s="16">
        <v>2.75</v>
      </c>
      <c r="T157" s="16">
        <v>2.9</v>
      </c>
      <c r="U157" s="16">
        <v>2.9</v>
      </c>
      <c r="V157" s="18">
        <v>1</v>
      </c>
      <c r="W157" s="16">
        <v>51</v>
      </c>
      <c r="Y157" s="16">
        <v>2.9</v>
      </c>
      <c r="Z157" s="16">
        <v>2.9</v>
      </c>
      <c r="AA157" s="18">
        <v>1</v>
      </c>
      <c r="AB157" s="19" t="s">
        <v>89</v>
      </c>
      <c r="AC157" s="17">
        <v>37.299999999999997</v>
      </c>
      <c r="AD157" s="17">
        <v>91.7</v>
      </c>
      <c r="AE157" s="17">
        <v>6.7</v>
      </c>
      <c r="AF157" s="21" t="s">
        <v>90</v>
      </c>
      <c r="AH157" s="17" t="s">
        <v>91</v>
      </c>
      <c r="AJ157" s="24" t="s">
        <v>98</v>
      </c>
      <c r="AL157" s="19" t="s">
        <v>94</v>
      </c>
      <c r="AM157" s="19">
        <v>0.02</v>
      </c>
      <c r="AN157" s="19" t="s">
        <v>89</v>
      </c>
      <c r="AO157">
        <f t="shared" si="18"/>
        <v>1</v>
      </c>
      <c r="AP157">
        <f t="shared" si="19"/>
        <v>60.25</v>
      </c>
      <c r="AR157">
        <f t="shared" si="20"/>
        <v>210.39215686274511</v>
      </c>
    </row>
    <row r="158" spans="1:44">
      <c r="A158" t="s">
        <v>715</v>
      </c>
      <c r="B158">
        <v>156</v>
      </c>
      <c r="C158" s="16" t="s">
        <v>716</v>
      </c>
      <c r="D158" s="16" t="s">
        <v>716</v>
      </c>
      <c r="E158" s="16" t="s">
        <v>82</v>
      </c>
      <c r="H158" s="16" t="s">
        <v>85</v>
      </c>
      <c r="I158" s="16" t="s">
        <v>717</v>
      </c>
      <c r="J158" s="16" t="s">
        <v>87</v>
      </c>
      <c r="K158" s="16" t="s">
        <v>88</v>
      </c>
      <c r="L158" s="17">
        <v>800</v>
      </c>
      <c r="M158" s="17">
        <v>80</v>
      </c>
      <c r="N158" s="17" t="s">
        <v>89</v>
      </c>
      <c r="O158" s="17" t="s">
        <v>89</v>
      </c>
      <c r="P158" s="16">
        <v>30</v>
      </c>
      <c r="Q158" s="16">
        <v>4.2</v>
      </c>
      <c r="R158" s="16">
        <v>3.7</v>
      </c>
      <c r="S158" s="16">
        <v>2.7</v>
      </c>
      <c r="T158" s="16">
        <v>30</v>
      </c>
      <c r="U158" s="16">
        <v>150</v>
      </c>
      <c r="V158" s="18">
        <v>0.5</v>
      </c>
      <c r="W158" s="16">
        <v>700</v>
      </c>
      <c r="Y158" s="16">
        <v>30</v>
      </c>
      <c r="Z158" s="16">
        <v>30</v>
      </c>
      <c r="AA158" s="18">
        <v>0.5</v>
      </c>
      <c r="AB158" s="19" t="s">
        <v>89</v>
      </c>
      <c r="AC158" s="17">
        <v>220</v>
      </c>
      <c r="AD158" s="17">
        <v>215</v>
      </c>
      <c r="AE158" s="17">
        <v>6.8</v>
      </c>
      <c r="AF158" s="21" t="s">
        <v>90</v>
      </c>
      <c r="AH158" s="17" t="s">
        <v>91</v>
      </c>
      <c r="AJ158" s="24" t="s">
        <v>98</v>
      </c>
      <c r="AL158" s="19" t="s">
        <v>94</v>
      </c>
      <c r="AM158" s="19" t="s">
        <v>89</v>
      </c>
      <c r="AN158" s="23">
        <v>0.8</v>
      </c>
      <c r="AO158">
        <f t="shared" si="18"/>
        <v>1</v>
      </c>
      <c r="AP158">
        <f t="shared" si="19"/>
        <v>60.25</v>
      </c>
      <c r="AR158">
        <f t="shared" si="20"/>
        <v>158.57142857142858</v>
      </c>
    </row>
    <row r="159" spans="1:44">
      <c r="A159" t="s">
        <v>718</v>
      </c>
      <c r="B159">
        <v>157</v>
      </c>
      <c r="C159" s="16" t="s">
        <v>719</v>
      </c>
      <c r="D159" s="16" t="s">
        <v>719</v>
      </c>
      <c r="E159" s="16" t="s">
        <v>82</v>
      </c>
      <c r="H159" s="16" t="s">
        <v>85</v>
      </c>
      <c r="I159" s="16" t="s">
        <v>720</v>
      </c>
      <c r="J159" s="16" t="s">
        <v>87</v>
      </c>
      <c r="K159" s="16" t="s">
        <v>88</v>
      </c>
      <c r="L159" s="17">
        <v>800</v>
      </c>
      <c r="M159" s="17">
        <v>80</v>
      </c>
      <c r="N159" s="17" t="s">
        <v>89</v>
      </c>
      <c r="O159" s="17" t="s">
        <v>89</v>
      </c>
      <c r="P159" s="16">
        <v>40</v>
      </c>
      <c r="Q159" s="16">
        <v>4.2</v>
      </c>
      <c r="R159" s="16">
        <v>3.7</v>
      </c>
      <c r="S159" s="16">
        <v>2.7</v>
      </c>
      <c r="T159" s="16">
        <v>40</v>
      </c>
      <c r="U159" s="16">
        <v>200</v>
      </c>
      <c r="V159" s="18">
        <v>0.5</v>
      </c>
      <c r="W159" s="16">
        <v>935</v>
      </c>
      <c r="Y159" s="16">
        <v>40</v>
      </c>
      <c r="Z159" s="16">
        <v>40</v>
      </c>
      <c r="AA159" s="18">
        <v>0.5</v>
      </c>
      <c r="AB159" s="19" t="s">
        <v>89</v>
      </c>
      <c r="AC159" s="17">
        <v>220</v>
      </c>
      <c r="AD159" s="17">
        <v>215</v>
      </c>
      <c r="AE159" s="17">
        <v>9</v>
      </c>
      <c r="AF159" s="21" t="s">
        <v>90</v>
      </c>
      <c r="AH159" s="17" t="s">
        <v>91</v>
      </c>
      <c r="AJ159" s="24" t="s">
        <v>98</v>
      </c>
      <c r="AL159" s="19" t="s">
        <v>94</v>
      </c>
      <c r="AM159" s="19" t="s">
        <v>89</v>
      </c>
      <c r="AN159" s="23">
        <v>0.8</v>
      </c>
      <c r="AO159">
        <f t="shared" si="18"/>
        <v>1</v>
      </c>
      <c r="AP159">
        <f t="shared" si="19"/>
        <v>60.25</v>
      </c>
      <c r="AR159">
        <f t="shared" si="20"/>
        <v>158.28877005347593</v>
      </c>
    </row>
    <row r="160" spans="1:44">
      <c r="A160" t="s">
        <v>721</v>
      </c>
      <c r="B160">
        <v>158</v>
      </c>
      <c r="C160" s="16" t="s">
        <v>722</v>
      </c>
      <c r="D160" s="16" t="s">
        <v>722</v>
      </c>
      <c r="E160" s="16" t="s">
        <v>82</v>
      </c>
      <c r="H160" s="16" t="s">
        <v>85</v>
      </c>
      <c r="I160" s="16" t="s">
        <v>723</v>
      </c>
      <c r="J160" s="16" t="s">
        <v>87</v>
      </c>
      <c r="K160" s="16" t="s">
        <v>88</v>
      </c>
      <c r="L160" s="17">
        <v>800</v>
      </c>
      <c r="M160" s="17">
        <v>80</v>
      </c>
      <c r="N160" s="17" t="s">
        <v>89</v>
      </c>
      <c r="O160" s="17" t="s">
        <v>89</v>
      </c>
      <c r="P160" s="16">
        <v>70</v>
      </c>
      <c r="Q160" s="16">
        <v>4.2</v>
      </c>
      <c r="R160" s="16">
        <v>3.7</v>
      </c>
      <c r="S160" s="16">
        <v>2.7</v>
      </c>
      <c r="T160" s="16">
        <v>70</v>
      </c>
      <c r="U160" s="16">
        <v>350</v>
      </c>
      <c r="V160" s="18">
        <v>0.5</v>
      </c>
      <c r="W160" s="16">
        <v>1700</v>
      </c>
      <c r="Y160" s="16">
        <v>70</v>
      </c>
      <c r="Z160" s="16">
        <v>70</v>
      </c>
      <c r="AA160" s="18">
        <v>0.5</v>
      </c>
      <c r="AB160" s="19" t="s">
        <v>89</v>
      </c>
      <c r="AC160" s="17">
        <v>325</v>
      </c>
      <c r="AD160" s="17">
        <v>455</v>
      </c>
      <c r="AE160" s="17">
        <v>5.3</v>
      </c>
      <c r="AF160" s="21" t="s">
        <v>90</v>
      </c>
      <c r="AH160" s="17" t="s">
        <v>91</v>
      </c>
      <c r="AJ160" s="24" t="s">
        <v>98</v>
      </c>
      <c r="AL160" s="19" t="s">
        <v>94</v>
      </c>
      <c r="AM160" s="19" t="s">
        <v>89</v>
      </c>
      <c r="AN160" s="23">
        <v>0.8</v>
      </c>
      <c r="AO160">
        <f t="shared" si="18"/>
        <v>1</v>
      </c>
      <c r="AP160">
        <f t="shared" si="19"/>
        <v>60.25</v>
      </c>
      <c r="AR160">
        <f t="shared" si="20"/>
        <v>152.35294117647058</v>
      </c>
    </row>
    <row r="161" spans="1:44">
      <c r="A161" t="s">
        <v>724</v>
      </c>
      <c r="B161">
        <v>159</v>
      </c>
      <c r="C161" s="16" t="s">
        <v>725</v>
      </c>
      <c r="D161" s="16" t="s">
        <v>725</v>
      </c>
      <c r="E161" s="16" t="s">
        <v>82</v>
      </c>
      <c r="H161" s="16" t="s">
        <v>85</v>
      </c>
      <c r="I161" s="16" t="s">
        <v>726</v>
      </c>
      <c r="J161" s="16" t="s">
        <v>87</v>
      </c>
      <c r="K161" s="16" t="s">
        <v>88</v>
      </c>
      <c r="L161" s="17">
        <v>800</v>
      </c>
      <c r="M161" s="17">
        <v>80</v>
      </c>
      <c r="N161" s="17" t="s">
        <v>89</v>
      </c>
      <c r="O161" s="17" t="s">
        <v>89</v>
      </c>
      <c r="P161" s="16">
        <v>5</v>
      </c>
      <c r="Q161" s="16">
        <v>4.2</v>
      </c>
      <c r="R161" s="16">
        <v>3.7</v>
      </c>
      <c r="S161" s="16">
        <v>2.7</v>
      </c>
      <c r="T161" s="16">
        <v>25</v>
      </c>
      <c r="U161" s="16">
        <v>50</v>
      </c>
      <c r="V161" s="18">
        <v>0.5</v>
      </c>
      <c r="W161" s="16">
        <v>164</v>
      </c>
      <c r="Y161" s="16">
        <v>10</v>
      </c>
      <c r="Z161" s="16">
        <v>10</v>
      </c>
      <c r="AA161" s="18">
        <v>0.5</v>
      </c>
      <c r="AB161" s="19" t="s">
        <v>89</v>
      </c>
      <c r="AC161" s="17">
        <v>130</v>
      </c>
      <c r="AD161" s="17">
        <v>206</v>
      </c>
      <c r="AE161" s="17">
        <v>3.1</v>
      </c>
      <c r="AF161" s="21" t="s">
        <v>90</v>
      </c>
      <c r="AH161" s="17" t="s">
        <v>91</v>
      </c>
      <c r="AJ161" s="24" t="s">
        <v>98</v>
      </c>
      <c r="AL161" s="19" t="s">
        <v>94</v>
      </c>
      <c r="AM161" s="19" t="s">
        <v>89</v>
      </c>
      <c r="AN161" s="23">
        <v>0.8</v>
      </c>
      <c r="AO161">
        <f t="shared" si="18"/>
        <v>1</v>
      </c>
      <c r="AP161">
        <f t="shared" si="19"/>
        <v>60.25</v>
      </c>
      <c r="AR161">
        <f t="shared" si="20"/>
        <v>112.80487804878048</v>
      </c>
    </row>
    <row r="162" spans="1:44">
      <c r="A162" t="s">
        <v>727</v>
      </c>
      <c r="B162">
        <v>160</v>
      </c>
      <c r="C162" s="16" t="s">
        <v>728</v>
      </c>
      <c r="D162" s="16" t="s">
        <v>728</v>
      </c>
      <c r="E162" s="16" t="s">
        <v>82</v>
      </c>
      <c r="H162" s="16" t="s">
        <v>85</v>
      </c>
      <c r="I162" s="16" t="s">
        <v>729</v>
      </c>
      <c r="J162" s="16" t="s">
        <v>87</v>
      </c>
      <c r="K162" s="16" t="s">
        <v>88</v>
      </c>
      <c r="L162" s="17">
        <v>800</v>
      </c>
      <c r="M162" s="17">
        <v>80</v>
      </c>
      <c r="N162" s="17" t="s">
        <v>89</v>
      </c>
      <c r="O162" s="17" t="s">
        <v>89</v>
      </c>
      <c r="P162" s="16">
        <v>7.5</v>
      </c>
      <c r="Q162" s="16">
        <v>4.2</v>
      </c>
      <c r="R162" s="16">
        <v>3.7</v>
      </c>
      <c r="S162" s="16">
        <v>2.7</v>
      </c>
      <c r="T162" s="16">
        <v>37.5</v>
      </c>
      <c r="U162" s="16">
        <v>75</v>
      </c>
      <c r="V162" s="18">
        <v>0.5</v>
      </c>
      <c r="W162" s="16">
        <v>226</v>
      </c>
      <c r="Y162" s="16">
        <v>15</v>
      </c>
      <c r="Z162" s="16">
        <v>15</v>
      </c>
      <c r="AA162" s="18">
        <v>0.5</v>
      </c>
      <c r="AB162" s="19" t="s">
        <v>89</v>
      </c>
      <c r="AC162" s="17">
        <v>130</v>
      </c>
      <c r="AD162" s="17">
        <v>206</v>
      </c>
      <c r="AE162" s="17">
        <v>4.2</v>
      </c>
      <c r="AF162" s="21" t="s">
        <v>90</v>
      </c>
      <c r="AH162" s="17" t="s">
        <v>91</v>
      </c>
      <c r="AJ162" s="24" t="s">
        <v>98</v>
      </c>
      <c r="AL162" s="19" t="s">
        <v>94</v>
      </c>
      <c r="AM162" s="19" t="s">
        <v>89</v>
      </c>
      <c r="AN162" s="23">
        <v>0.8</v>
      </c>
      <c r="AO162">
        <f t="shared" si="18"/>
        <v>1</v>
      </c>
      <c r="AP162">
        <f t="shared" si="19"/>
        <v>60.25</v>
      </c>
      <c r="AR162">
        <f t="shared" si="20"/>
        <v>122.78761061946902</v>
      </c>
    </row>
    <row r="163" spans="1:44">
      <c r="A163" t="s">
        <v>730</v>
      </c>
      <c r="B163">
        <v>161</v>
      </c>
      <c r="C163" s="16" t="s">
        <v>731</v>
      </c>
      <c r="D163" s="16" t="s">
        <v>731</v>
      </c>
      <c r="E163" s="16" t="s">
        <v>82</v>
      </c>
      <c r="H163" s="16" t="s">
        <v>85</v>
      </c>
      <c r="I163" s="16" t="s">
        <v>732</v>
      </c>
      <c r="J163" s="16" t="s">
        <v>87</v>
      </c>
      <c r="K163" s="16" t="s">
        <v>88</v>
      </c>
      <c r="L163" s="17">
        <v>500</v>
      </c>
      <c r="M163" s="17">
        <v>80</v>
      </c>
      <c r="N163" s="17" t="s">
        <v>89</v>
      </c>
      <c r="O163" s="17" t="s">
        <v>89</v>
      </c>
      <c r="P163" s="16">
        <v>4.8</v>
      </c>
      <c r="Q163" s="16">
        <v>4.2</v>
      </c>
      <c r="R163" s="16">
        <v>3.7</v>
      </c>
      <c r="S163" s="16">
        <v>2.7</v>
      </c>
      <c r="T163" s="16">
        <v>96</v>
      </c>
      <c r="U163" s="16">
        <v>192</v>
      </c>
      <c r="V163" s="18">
        <v>0.5</v>
      </c>
      <c r="W163" s="16">
        <v>115</v>
      </c>
      <c r="Y163" s="16">
        <v>14.4</v>
      </c>
      <c r="Z163" s="16">
        <v>14.4</v>
      </c>
      <c r="AA163" s="18">
        <v>0.5</v>
      </c>
      <c r="AB163" s="19" t="s">
        <v>89</v>
      </c>
      <c r="AC163" s="17">
        <v>140</v>
      </c>
      <c r="AD163" s="17">
        <v>42.5</v>
      </c>
      <c r="AE163" s="17">
        <v>11</v>
      </c>
      <c r="AF163" s="21" t="s">
        <v>90</v>
      </c>
      <c r="AH163" s="17" t="s">
        <v>91</v>
      </c>
      <c r="AJ163" s="24" t="s">
        <v>98</v>
      </c>
      <c r="AL163" s="19" t="s">
        <v>94</v>
      </c>
      <c r="AM163" s="19" t="s">
        <v>89</v>
      </c>
      <c r="AN163" s="23">
        <v>0.8</v>
      </c>
      <c r="AO163">
        <f t="shared" si="18"/>
        <v>1</v>
      </c>
      <c r="AP163">
        <f t="shared" si="19"/>
        <v>60.25</v>
      </c>
      <c r="AR163">
        <f t="shared" si="20"/>
        <v>154.43478260869566</v>
      </c>
    </row>
    <row r="164" spans="1:44">
      <c r="A164" t="s">
        <v>733</v>
      </c>
      <c r="B164">
        <v>162</v>
      </c>
      <c r="C164" s="16" t="s">
        <v>734</v>
      </c>
      <c r="D164" s="16" t="s">
        <v>734</v>
      </c>
      <c r="E164" s="16" t="s">
        <v>82</v>
      </c>
      <c r="H164" s="16" t="s">
        <v>85</v>
      </c>
      <c r="I164" s="16" t="s">
        <v>735</v>
      </c>
      <c r="J164" s="16" t="s">
        <v>87</v>
      </c>
      <c r="K164" s="16" t="s">
        <v>88</v>
      </c>
      <c r="L164" s="17">
        <v>800</v>
      </c>
      <c r="M164" s="17">
        <v>80</v>
      </c>
      <c r="N164" s="17" t="s">
        <v>89</v>
      </c>
      <c r="O164" s="17" t="s">
        <v>89</v>
      </c>
      <c r="P164" s="16">
        <v>7.2</v>
      </c>
      <c r="Q164" s="16">
        <v>4.2</v>
      </c>
      <c r="R164" s="16">
        <v>3.7</v>
      </c>
      <c r="S164" s="16">
        <v>2.7</v>
      </c>
      <c r="T164" s="16">
        <v>14.4</v>
      </c>
      <c r="U164" s="16">
        <v>144</v>
      </c>
      <c r="V164" s="18">
        <v>0.5</v>
      </c>
      <c r="W164" s="16">
        <v>226</v>
      </c>
      <c r="Y164" s="16">
        <v>21.6</v>
      </c>
      <c r="Z164" s="16">
        <v>21.6</v>
      </c>
      <c r="AA164" s="18">
        <v>0.5</v>
      </c>
      <c r="AB164" s="19" t="s">
        <v>89</v>
      </c>
      <c r="AC164" s="17">
        <v>130</v>
      </c>
      <c r="AD164" s="17">
        <v>206</v>
      </c>
      <c r="AE164" s="17">
        <v>4.5</v>
      </c>
      <c r="AF164" s="21" t="s">
        <v>90</v>
      </c>
      <c r="AH164" s="17" t="s">
        <v>91</v>
      </c>
      <c r="AJ164" s="24" t="s">
        <v>98</v>
      </c>
      <c r="AL164" s="19" t="s">
        <v>94</v>
      </c>
      <c r="AM164" s="19" t="s">
        <v>89</v>
      </c>
      <c r="AN164" s="23">
        <v>0.8</v>
      </c>
      <c r="AO164">
        <f t="shared" si="18"/>
        <v>1</v>
      </c>
      <c r="AP164">
        <f t="shared" si="19"/>
        <v>60.25</v>
      </c>
      <c r="AR164">
        <f t="shared" si="20"/>
        <v>117.87610619469027</v>
      </c>
    </row>
    <row r="165" spans="1:44">
      <c r="A165" t="s">
        <v>736</v>
      </c>
      <c r="B165">
        <v>163</v>
      </c>
      <c r="C165" s="16" t="s">
        <v>737</v>
      </c>
      <c r="D165" s="16" t="s">
        <v>737</v>
      </c>
      <c r="E165" s="16" t="s">
        <v>304</v>
      </c>
      <c r="F165" s="16" t="s">
        <v>83</v>
      </c>
      <c r="G165" s="16" t="s">
        <v>305</v>
      </c>
      <c r="H165" s="16" t="s">
        <v>85</v>
      </c>
      <c r="I165" s="16" t="s">
        <v>738</v>
      </c>
      <c r="J165" s="16" t="s">
        <v>87</v>
      </c>
      <c r="K165" s="16" t="s">
        <v>88</v>
      </c>
      <c r="L165" s="17">
        <v>2000</v>
      </c>
      <c r="M165" s="17">
        <v>80</v>
      </c>
      <c r="N165" s="27">
        <v>366</v>
      </c>
      <c r="O165" s="16">
        <v>185</v>
      </c>
      <c r="P165" s="16">
        <v>25</v>
      </c>
      <c r="Q165" s="16">
        <v>4.2</v>
      </c>
      <c r="R165" s="16">
        <v>3.7</v>
      </c>
      <c r="S165" s="16">
        <v>2.7</v>
      </c>
      <c r="T165" s="16">
        <f>1/2*P165</f>
        <v>12.5</v>
      </c>
      <c r="U165" s="16">
        <v>75</v>
      </c>
      <c r="V165" s="18">
        <v>1</v>
      </c>
      <c r="W165" s="16">
        <v>500</v>
      </c>
      <c r="Y165" s="16">
        <v>125</v>
      </c>
      <c r="Z165" s="16">
        <f>1/2*P165</f>
        <v>12.5</v>
      </c>
      <c r="AA165" s="18">
        <v>1</v>
      </c>
      <c r="AB165" s="19" t="s">
        <v>89</v>
      </c>
      <c r="AC165" s="17">
        <v>253</v>
      </c>
      <c r="AD165" s="20">
        <v>5.8</v>
      </c>
      <c r="AE165" s="20">
        <v>172</v>
      </c>
      <c r="AF165" s="21" t="s">
        <v>90</v>
      </c>
      <c r="AG165" s="17">
        <v>2020</v>
      </c>
      <c r="AH165" s="17" t="s">
        <v>91</v>
      </c>
      <c r="AJ165" s="24" t="s">
        <v>98</v>
      </c>
      <c r="AL165" s="19" t="s">
        <v>94</v>
      </c>
      <c r="AM165" s="19" t="s">
        <v>89</v>
      </c>
      <c r="AN165" s="19" t="s">
        <v>89</v>
      </c>
      <c r="AO165">
        <f t="shared" si="18"/>
        <v>1</v>
      </c>
      <c r="AP165">
        <f t="shared" si="19"/>
        <v>60.25</v>
      </c>
      <c r="AR165">
        <f t="shared" si="20"/>
        <v>185</v>
      </c>
    </row>
    <row r="166" spans="1:44">
      <c r="A166" t="s">
        <v>739</v>
      </c>
      <c r="B166">
        <v>164</v>
      </c>
      <c r="C166" s="16" t="s">
        <v>740</v>
      </c>
      <c r="D166" s="16" t="s">
        <v>740</v>
      </c>
      <c r="E166" s="16" t="s">
        <v>472</v>
      </c>
      <c r="F166" s="16" t="s">
        <v>83</v>
      </c>
      <c r="G166" s="16" t="s">
        <v>84</v>
      </c>
      <c r="H166" s="28" t="s">
        <v>88</v>
      </c>
      <c r="I166" s="16" t="s">
        <v>741</v>
      </c>
      <c r="J166" s="16" t="s">
        <v>87</v>
      </c>
      <c r="K166" s="16" t="s">
        <v>88</v>
      </c>
      <c r="L166" s="17">
        <v>3000</v>
      </c>
      <c r="M166" s="17">
        <v>80</v>
      </c>
      <c r="N166" s="16">
        <v>398</v>
      </c>
      <c r="O166" s="16">
        <v>199</v>
      </c>
      <c r="P166" s="16">
        <v>50</v>
      </c>
      <c r="Q166" s="16">
        <v>4.2</v>
      </c>
      <c r="R166" s="16">
        <v>3.7</v>
      </c>
      <c r="S166" s="16">
        <v>2.8</v>
      </c>
      <c r="T166" s="16">
        <v>9</v>
      </c>
      <c r="U166" s="16">
        <v>180</v>
      </c>
      <c r="V166" s="18">
        <v>1</v>
      </c>
      <c r="W166" s="16">
        <v>930</v>
      </c>
      <c r="Y166" s="16">
        <v>180</v>
      </c>
      <c r="Z166" s="16">
        <v>9</v>
      </c>
      <c r="AA166" s="18">
        <v>3</v>
      </c>
      <c r="AB166" s="19" t="s">
        <v>89</v>
      </c>
      <c r="AC166" s="17">
        <v>251</v>
      </c>
      <c r="AD166" s="17">
        <v>12.5</v>
      </c>
      <c r="AE166" s="17">
        <v>157</v>
      </c>
      <c r="AF166" s="21" t="s">
        <v>90</v>
      </c>
      <c r="AG166" s="17">
        <v>2020</v>
      </c>
      <c r="AH166" s="17" t="s">
        <v>91</v>
      </c>
      <c r="AJ166" s="24" t="s">
        <v>484</v>
      </c>
      <c r="AL166" s="19" t="s">
        <v>94</v>
      </c>
      <c r="AM166" s="19">
        <v>0.05</v>
      </c>
      <c r="AN166" s="19" t="s">
        <v>89</v>
      </c>
      <c r="AO166">
        <f t="shared" si="18"/>
        <v>2</v>
      </c>
      <c r="AP166">
        <f t="shared" si="19"/>
        <v>60.79</v>
      </c>
      <c r="AR166">
        <f t="shared" si="20"/>
        <v>198.92473118279568</v>
      </c>
    </row>
    <row r="167" spans="1:44">
      <c r="A167" t="s">
        <v>742</v>
      </c>
      <c r="B167">
        <v>165</v>
      </c>
      <c r="C167" s="16" t="s">
        <v>743</v>
      </c>
      <c r="D167" s="16" t="s">
        <v>743</v>
      </c>
      <c r="E167" s="16" t="s">
        <v>566</v>
      </c>
      <c r="F167" s="16" t="s">
        <v>83</v>
      </c>
      <c r="H167" s="16" t="s">
        <v>266</v>
      </c>
      <c r="I167" s="16" t="s">
        <v>744</v>
      </c>
      <c r="J167" s="16" t="s">
        <v>87</v>
      </c>
      <c r="K167" s="16" t="s">
        <v>268</v>
      </c>
      <c r="L167" s="17">
        <v>800</v>
      </c>
      <c r="M167" s="17">
        <v>80</v>
      </c>
      <c r="N167" s="17" t="s">
        <v>89</v>
      </c>
      <c r="O167" s="17" t="s">
        <v>89</v>
      </c>
      <c r="P167" s="16">
        <v>5.7</v>
      </c>
      <c r="Q167" s="16">
        <v>4.2</v>
      </c>
      <c r="R167" s="16">
        <v>3.6</v>
      </c>
      <c r="S167" s="16">
        <v>2.75</v>
      </c>
      <c r="T167" s="16">
        <f t="shared" ref="T167:T188" si="21">0.2*P167</f>
        <v>1.1400000000000001</v>
      </c>
      <c r="U167" s="16">
        <v>15</v>
      </c>
      <c r="V167" s="18">
        <v>1</v>
      </c>
      <c r="W167" s="16">
        <v>75</v>
      </c>
      <c r="Y167" s="16">
        <f>1*P167</f>
        <v>5.7</v>
      </c>
      <c r="Z167" s="16">
        <f t="shared" ref="Z167:Z175" si="22">0.2*P167</f>
        <v>1.1400000000000001</v>
      </c>
      <c r="AA167" s="18">
        <v>0.5</v>
      </c>
      <c r="AB167" s="19" t="s">
        <v>89</v>
      </c>
      <c r="AC167" s="17" t="s">
        <v>90</v>
      </c>
      <c r="AD167" s="17">
        <v>70.900000000000006</v>
      </c>
      <c r="AE167" s="20"/>
      <c r="AF167" s="17">
        <v>21.7</v>
      </c>
      <c r="AG167" s="17">
        <v>2022</v>
      </c>
      <c r="AH167" s="17" t="s">
        <v>91</v>
      </c>
      <c r="AI167" s="17" t="s">
        <v>91</v>
      </c>
      <c r="AJ167" s="24" t="s">
        <v>745</v>
      </c>
      <c r="AL167" s="19" t="s">
        <v>94</v>
      </c>
      <c r="AM167" s="19">
        <v>0.02</v>
      </c>
      <c r="AN167" s="19" t="s">
        <v>89</v>
      </c>
      <c r="AO167">
        <f t="shared" si="18"/>
        <v>3</v>
      </c>
      <c r="AP167">
        <f t="shared" si="19"/>
        <v>64.69</v>
      </c>
      <c r="AR167">
        <f t="shared" si="20"/>
        <v>273.60000000000002</v>
      </c>
    </row>
    <row r="168" spans="1:44">
      <c r="A168" t="s">
        <v>746</v>
      </c>
      <c r="B168">
        <v>166</v>
      </c>
      <c r="C168" s="16" t="s">
        <v>747</v>
      </c>
      <c r="D168" s="16" t="s">
        <v>747</v>
      </c>
      <c r="E168" s="16" t="s">
        <v>748</v>
      </c>
      <c r="F168" s="16" t="s">
        <v>389</v>
      </c>
      <c r="G168" s="16" t="s">
        <v>390</v>
      </c>
      <c r="H168" s="16" t="s">
        <v>266</v>
      </c>
      <c r="I168" s="16" t="s">
        <v>749</v>
      </c>
      <c r="J168" s="16" t="s">
        <v>87</v>
      </c>
      <c r="K168" s="16" t="s">
        <v>268</v>
      </c>
      <c r="L168" s="17">
        <v>16000</v>
      </c>
      <c r="M168" s="17">
        <v>80</v>
      </c>
      <c r="N168" s="16">
        <v>170</v>
      </c>
      <c r="O168" s="16">
        <v>76</v>
      </c>
      <c r="P168" s="16">
        <v>9</v>
      </c>
      <c r="Q168" s="16">
        <v>2.7</v>
      </c>
      <c r="R168" s="16">
        <v>2.2999999999999998</v>
      </c>
      <c r="S168" s="16">
        <v>1.5</v>
      </c>
      <c r="T168" s="16">
        <f t="shared" si="21"/>
        <v>1.8</v>
      </c>
      <c r="U168" s="16">
        <f>10*P168</f>
        <v>90</v>
      </c>
      <c r="V168" s="18">
        <v>1</v>
      </c>
      <c r="W168" s="16">
        <v>270</v>
      </c>
      <c r="Y168" s="16">
        <f>10*P168</f>
        <v>90</v>
      </c>
      <c r="Z168" s="16">
        <f t="shared" si="22"/>
        <v>1.8</v>
      </c>
      <c r="AA168" s="18">
        <v>1</v>
      </c>
      <c r="AB168" s="19" t="s">
        <v>89</v>
      </c>
      <c r="AC168" s="17" t="s">
        <v>90</v>
      </c>
      <c r="AD168" s="17">
        <v>140</v>
      </c>
      <c r="AE168" s="20"/>
      <c r="AF168" s="17">
        <v>33.200000000000003</v>
      </c>
      <c r="AG168" s="17">
        <v>2022</v>
      </c>
      <c r="AH168" s="17" t="s">
        <v>91</v>
      </c>
      <c r="AL168" s="19" t="s">
        <v>94</v>
      </c>
      <c r="AM168" s="19" t="s">
        <v>89</v>
      </c>
      <c r="AN168" s="19" t="s">
        <v>89</v>
      </c>
      <c r="AO168">
        <f t="shared" si="18"/>
        <v>3</v>
      </c>
      <c r="AP168">
        <f t="shared" si="19"/>
        <v>64.69</v>
      </c>
      <c r="AR168">
        <f t="shared" si="20"/>
        <v>76.666666666666657</v>
      </c>
    </row>
    <row r="169" spans="1:44">
      <c r="A169" t="s">
        <v>750</v>
      </c>
      <c r="B169">
        <v>167</v>
      </c>
      <c r="C169" s="16" t="s">
        <v>751</v>
      </c>
      <c r="D169" s="16" t="s">
        <v>751</v>
      </c>
      <c r="E169" s="16" t="s">
        <v>748</v>
      </c>
      <c r="F169" s="16" t="s">
        <v>389</v>
      </c>
      <c r="G169" s="16" t="s">
        <v>390</v>
      </c>
      <c r="H169" s="16" t="s">
        <v>266</v>
      </c>
      <c r="I169" s="16" t="s">
        <v>752</v>
      </c>
      <c r="J169" s="16" t="s">
        <v>87</v>
      </c>
      <c r="K169" s="16" t="s">
        <v>268</v>
      </c>
      <c r="L169" s="17">
        <v>25000</v>
      </c>
      <c r="M169" s="17">
        <v>80</v>
      </c>
      <c r="N169" s="16">
        <v>128</v>
      </c>
      <c r="O169" s="16">
        <v>76</v>
      </c>
      <c r="P169" s="16">
        <v>40</v>
      </c>
      <c r="Q169" s="16">
        <v>2.7</v>
      </c>
      <c r="R169" s="16">
        <v>2.2999999999999998</v>
      </c>
      <c r="S169" s="16">
        <v>1.5</v>
      </c>
      <c r="T169" s="16">
        <f t="shared" si="21"/>
        <v>8</v>
      </c>
      <c r="U169" s="16">
        <f>6*P169</f>
        <v>240</v>
      </c>
      <c r="V169" s="18">
        <v>1</v>
      </c>
      <c r="W169" s="16">
        <v>1210</v>
      </c>
      <c r="Y169" s="16">
        <f>6*P169</f>
        <v>240</v>
      </c>
      <c r="Z169" s="16">
        <f t="shared" si="22"/>
        <v>8</v>
      </c>
      <c r="AA169" s="18">
        <v>1</v>
      </c>
      <c r="AB169" s="19" t="s">
        <v>89</v>
      </c>
      <c r="AC169" s="17" t="s">
        <v>90</v>
      </c>
      <c r="AD169" s="17">
        <v>161</v>
      </c>
      <c r="AF169" s="17">
        <v>66</v>
      </c>
      <c r="AG169" s="17">
        <v>2022</v>
      </c>
      <c r="AH169" s="17" t="s">
        <v>91</v>
      </c>
      <c r="AL169" s="19" t="s">
        <v>94</v>
      </c>
      <c r="AM169" s="19" t="s">
        <v>89</v>
      </c>
      <c r="AN169" s="19" t="s">
        <v>89</v>
      </c>
      <c r="AO169">
        <f t="shared" si="18"/>
        <v>3</v>
      </c>
      <c r="AP169">
        <f t="shared" si="19"/>
        <v>64.69</v>
      </c>
      <c r="AR169">
        <f t="shared" si="20"/>
        <v>76.033057851239676</v>
      </c>
    </row>
    <row r="170" spans="1:44">
      <c r="A170" t="s">
        <v>753</v>
      </c>
      <c r="B170">
        <v>168</v>
      </c>
      <c r="C170" s="16" t="s">
        <v>754</v>
      </c>
      <c r="D170" s="16" t="s">
        <v>754</v>
      </c>
      <c r="E170" s="16" t="s">
        <v>748</v>
      </c>
      <c r="F170" s="16" t="s">
        <v>389</v>
      </c>
      <c r="G170" s="16" t="s">
        <v>390</v>
      </c>
      <c r="H170" s="16" t="s">
        <v>266</v>
      </c>
      <c r="I170" s="16" t="s">
        <v>755</v>
      </c>
      <c r="J170" s="16" t="s">
        <v>87</v>
      </c>
      <c r="K170" s="16" t="s">
        <v>268</v>
      </c>
      <c r="L170" s="17">
        <v>25000</v>
      </c>
      <c r="M170" s="17">
        <v>80</v>
      </c>
      <c r="N170" s="16">
        <v>144</v>
      </c>
      <c r="O170" s="16">
        <v>80</v>
      </c>
      <c r="P170" s="16">
        <v>45</v>
      </c>
      <c r="Q170" s="16">
        <v>2.7</v>
      </c>
      <c r="R170" s="16">
        <v>2.2999999999999998</v>
      </c>
      <c r="S170" s="16">
        <v>1.5</v>
      </c>
      <c r="T170" s="16">
        <f t="shared" si="21"/>
        <v>9</v>
      </c>
      <c r="U170" s="16">
        <f>P170*5</f>
        <v>225</v>
      </c>
      <c r="V170" s="18">
        <v>1</v>
      </c>
      <c r="W170" s="16">
        <v>1270</v>
      </c>
      <c r="Y170" s="16">
        <f>5*P170</f>
        <v>225</v>
      </c>
      <c r="Z170" s="16">
        <f t="shared" si="22"/>
        <v>9</v>
      </c>
      <c r="AA170" s="18">
        <v>1</v>
      </c>
      <c r="AB170" s="19" t="s">
        <v>89</v>
      </c>
      <c r="AC170" s="17" t="s">
        <v>90</v>
      </c>
      <c r="AD170" s="17">
        <v>161</v>
      </c>
      <c r="AF170" s="17">
        <v>66</v>
      </c>
      <c r="AG170" s="17">
        <v>2022</v>
      </c>
      <c r="AH170" s="17" t="s">
        <v>91</v>
      </c>
      <c r="AL170" s="19" t="s">
        <v>94</v>
      </c>
      <c r="AM170" s="19" t="s">
        <v>89</v>
      </c>
      <c r="AN170" s="19" t="s">
        <v>89</v>
      </c>
      <c r="AO170">
        <f t="shared" si="18"/>
        <v>3</v>
      </c>
      <c r="AP170">
        <f t="shared" si="19"/>
        <v>64.69</v>
      </c>
      <c r="AR170">
        <f t="shared" si="20"/>
        <v>81.496062992125971</v>
      </c>
    </row>
    <row r="171" spans="1:44">
      <c r="A171" t="s">
        <v>756</v>
      </c>
      <c r="B171">
        <v>169</v>
      </c>
      <c r="C171" s="16" t="s">
        <v>757</v>
      </c>
      <c r="D171" s="16" t="s">
        <v>757</v>
      </c>
      <c r="E171" s="16" t="s">
        <v>748</v>
      </c>
      <c r="F171" s="16" t="s">
        <v>389</v>
      </c>
      <c r="G171" s="16" t="s">
        <v>390</v>
      </c>
      <c r="H171" s="16" t="s">
        <v>88</v>
      </c>
      <c r="I171" s="16" t="s">
        <v>758</v>
      </c>
      <c r="J171" s="16" t="s">
        <v>87</v>
      </c>
      <c r="K171" s="16" t="s">
        <v>88</v>
      </c>
      <c r="L171" s="17">
        <v>16000</v>
      </c>
      <c r="M171" s="17">
        <v>80</v>
      </c>
      <c r="N171" s="16">
        <v>152</v>
      </c>
      <c r="O171" s="16">
        <v>67</v>
      </c>
      <c r="P171" s="16">
        <v>30</v>
      </c>
      <c r="Q171" s="16">
        <v>2.7</v>
      </c>
      <c r="R171" s="16">
        <v>2.2999999999999998</v>
      </c>
      <c r="S171" s="16">
        <v>1.5</v>
      </c>
      <c r="T171" s="16">
        <f t="shared" si="21"/>
        <v>6</v>
      </c>
      <c r="U171" s="16">
        <f>6*P171</f>
        <v>180</v>
      </c>
      <c r="V171" s="18">
        <v>1</v>
      </c>
      <c r="W171" s="16">
        <v>1030</v>
      </c>
      <c r="Y171" s="16">
        <f>6*P171</f>
        <v>180</v>
      </c>
      <c r="Z171" s="16">
        <f t="shared" si="22"/>
        <v>6</v>
      </c>
      <c r="AA171" s="18">
        <v>1</v>
      </c>
      <c r="AB171" s="19" t="s">
        <v>89</v>
      </c>
      <c r="AC171" s="17" t="s">
        <v>90</v>
      </c>
      <c r="AD171" s="17">
        <v>173</v>
      </c>
      <c r="AE171" s="17">
        <v>28.5</v>
      </c>
      <c r="AF171" s="17">
        <v>97</v>
      </c>
      <c r="AG171" s="17">
        <v>2022</v>
      </c>
      <c r="AH171" s="17" t="s">
        <v>91</v>
      </c>
      <c r="AL171" s="19" t="s">
        <v>94</v>
      </c>
      <c r="AM171" s="19" t="s">
        <v>89</v>
      </c>
      <c r="AN171" s="19" t="s">
        <v>89</v>
      </c>
      <c r="AO171">
        <f t="shared" si="18"/>
        <v>2</v>
      </c>
      <c r="AP171">
        <f t="shared" si="19"/>
        <v>60.79</v>
      </c>
      <c r="AR171">
        <f t="shared" si="20"/>
        <v>66.990291262135926</v>
      </c>
    </row>
    <row r="172" spans="1:44">
      <c r="A172" t="s">
        <v>759</v>
      </c>
      <c r="B172">
        <v>170</v>
      </c>
      <c r="C172" s="16" t="s">
        <v>760</v>
      </c>
      <c r="D172" s="16" t="s">
        <v>760</v>
      </c>
      <c r="E172" s="16" t="s">
        <v>748</v>
      </c>
      <c r="F172" s="16" t="s">
        <v>389</v>
      </c>
      <c r="G172" s="16" t="s">
        <v>390</v>
      </c>
      <c r="H172" s="16" t="s">
        <v>88</v>
      </c>
      <c r="I172" s="16" t="s">
        <v>761</v>
      </c>
      <c r="J172" s="16" t="s">
        <v>87</v>
      </c>
      <c r="K172" s="16" t="s">
        <v>88</v>
      </c>
      <c r="L172" s="17">
        <v>16000</v>
      </c>
      <c r="M172" s="17">
        <v>80</v>
      </c>
      <c r="N172" s="16">
        <v>142</v>
      </c>
      <c r="O172" s="16">
        <v>61</v>
      </c>
      <c r="P172" s="16">
        <v>33</v>
      </c>
      <c r="Q172" s="16">
        <v>2.7</v>
      </c>
      <c r="R172" s="16">
        <v>2.2999999999999998</v>
      </c>
      <c r="S172" s="16">
        <v>1.5</v>
      </c>
      <c r="T172" s="16">
        <f t="shared" si="21"/>
        <v>6.6000000000000005</v>
      </c>
      <c r="U172" s="16">
        <f>6*P172</f>
        <v>198</v>
      </c>
      <c r="V172" s="18">
        <v>1</v>
      </c>
      <c r="W172" s="16">
        <v>1245</v>
      </c>
      <c r="Y172" s="16">
        <f>6*P172</f>
        <v>198</v>
      </c>
      <c r="Z172" s="16">
        <f t="shared" si="22"/>
        <v>6.6000000000000005</v>
      </c>
      <c r="AA172" s="18">
        <v>1</v>
      </c>
      <c r="AB172" s="19" t="s">
        <v>89</v>
      </c>
      <c r="AC172" s="17" t="s">
        <v>90</v>
      </c>
      <c r="AD172" s="17">
        <v>205</v>
      </c>
      <c r="AE172" s="17">
        <v>21</v>
      </c>
      <c r="AF172" s="17">
        <v>130</v>
      </c>
      <c r="AG172" s="17">
        <v>2022</v>
      </c>
      <c r="AH172" s="17" t="s">
        <v>91</v>
      </c>
      <c r="AL172" s="19" t="s">
        <v>94</v>
      </c>
      <c r="AM172" s="19" t="s">
        <v>89</v>
      </c>
      <c r="AN172" s="19" t="s">
        <v>89</v>
      </c>
      <c r="AO172">
        <f t="shared" si="18"/>
        <v>2</v>
      </c>
      <c r="AP172">
        <f t="shared" si="19"/>
        <v>60.79</v>
      </c>
      <c r="AR172">
        <f t="shared" si="20"/>
        <v>60.963855421686738</v>
      </c>
    </row>
    <row r="173" spans="1:44">
      <c r="A173" t="s">
        <v>762</v>
      </c>
      <c r="B173">
        <v>171</v>
      </c>
      <c r="C173" s="16" t="s">
        <v>763</v>
      </c>
      <c r="D173" s="16" t="s">
        <v>763</v>
      </c>
      <c r="E173" s="16" t="s">
        <v>748</v>
      </c>
      <c r="F173" s="16" t="s">
        <v>389</v>
      </c>
      <c r="G173" s="16" t="s">
        <v>390</v>
      </c>
      <c r="H173" s="16" t="s">
        <v>85</v>
      </c>
      <c r="I173" s="16" t="s">
        <v>764</v>
      </c>
      <c r="J173" s="16" t="s">
        <v>87</v>
      </c>
      <c r="K173" s="16" t="s">
        <v>88</v>
      </c>
      <c r="L173" s="17">
        <v>25000</v>
      </c>
      <c r="M173" s="17">
        <v>80</v>
      </c>
      <c r="N173" s="16">
        <v>182</v>
      </c>
      <c r="O173" s="16">
        <v>81</v>
      </c>
      <c r="P173" s="16">
        <v>68</v>
      </c>
      <c r="Q173" s="16">
        <v>2.7</v>
      </c>
      <c r="R173" s="16">
        <v>2.2999999999999998</v>
      </c>
      <c r="S173" s="16">
        <v>1.5</v>
      </c>
      <c r="T173" s="16">
        <f t="shared" si="21"/>
        <v>13.600000000000001</v>
      </c>
      <c r="U173" s="16">
        <f>7*P173</f>
        <v>476</v>
      </c>
      <c r="V173" s="18">
        <v>1</v>
      </c>
      <c r="W173" s="16">
        <v>1880</v>
      </c>
      <c r="Y173" s="16">
        <f>7*P173</f>
        <v>476</v>
      </c>
      <c r="Z173" s="16">
        <f t="shared" si="22"/>
        <v>13.600000000000001</v>
      </c>
      <c r="AA173" s="18">
        <v>1</v>
      </c>
      <c r="AB173" s="19" t="s">
        <v>89</v>
      </c>
      <c r="AC173" s="17" t="s">
        <v>90</v>
      </c>
      <c r="AD173" s="17">
        <v>263</v>
      </c>
      <c r="AE173" s="17">
        <v>12.6</v>
      </c>
      <c r="AF173" s="17">
        <v>256</v>
      </c>
      <c r="AG173" s="17">
        <v>2022</v>
      </c>
      <c r="AH173" s="17" t="s">
        <v>91</v>
      </c>
      <c r="AL173" s="19" t="s">
        <v>94</v>
      </c>
      <c r="AM173" s="19" t="s">
        <v>89</v>
      </c>
      <c r="AN173" s="19" t="s">
        <v>89</v>
      </c>
      <c r="AO173">
        <f t="shared" si="18"/>
        <v>1</v>
      </c>
      <c r="AP173">
        <f t="shared" si="19"/>
        <v>60.25</v>
      </c>
      <c r="AR173">
        <f t="shared" si="20"/>
        <v>83.191489361702125</v>
      </c>
    </row>
    <row r="174" spans="1:44">
      <c r="A174" t="s">
        <v>765</v>
      </c>
      <c r="B174">
        <v>172</v>
      </c>
      <c r="C174" s="16" t="s">
        <v>766</v>
      </c>
      <c r="D174" s="16" t="s">
        <v>766</v>
      </c>
      <c r="E174" s="16" t="s">
        <v>767</v>
      </c>
      <c r="F174" s="16" t="s">
        <v>389</v>
      </c>
      <c r="G174" s="16" t="s">
        <v>390</v>
      </c>
      <c r="H174" s="16" t="s">
        <v>88</v>
      </c>
      <c r="I174" s="16" t="s">
        <v>768</v>
      </c>
      <c r="J174" s="16" t="s">
        <v>87</v>
      </c>
      <c r="K174" s="16" t="s">
        <v>88</v>
      </c>
      <c r="L174" s="17">
        <v>16000</v>
      </c>
      <c r="M174" s="17">
        <v>80</v>
      </c>
      <c r="N174" s="16">
        <v>147</v>
      </c>
      <c r="O174" s="16">
        <v>68</v>
      </c>
      <c r="P174" s="16">
        <v>30</v>
      </c>
      <c r="Q174" s="16">
        <v>2.7</v>
      </c>
      <c r="R174" s="16">
        <v>2.2999999999999998</v>
      </c>
      <c r="S174" s="16">
        <v>1.5</v>
      </c>
      <c r="T174" s="16">
        <f t="shared" si="21"/>
        <v>6</v>
      </c>
      <c r="U174" s="16">
        <f>6*P174</f>
        <v>180</v>
      </c>
      <c r="V174" s="18">
        <v>1</v>
      </c>
      <c r="W174" s="16">
        <v>1030</v>
      </c>
      <c r="Y174" s="16">
        <f>6*P174</f>
        <v>180</v>
      </c>
      <c r="Z174" s="16">
        <f t="shared" si="22"/>
        <v>6</v>
      </c>
      <c r="AA174" s="18">
        <v>1</v>
      </c>
      <c r="AB174" s="19" t="s">
        <v>89</v>
      </c>
      <c r="AC174" s="17" t="s">
        <v>90</v>
      </c>
      <c r="AD174" s="17">
        <v>173</v>
      </c>
      <c r="AE174" s="17">
        <v>28</v>
      </c>
      <c r="AF174" s="17">
        <v>97</v>
      </c>
      <c r="AG174" s="17">
        <v>2022</v>
      </c>
      <c r="AH174" s="17" t="s">
        <v>91</v>
      </c>
      <c r="AL174" s="19" t="s">
        <v>94</v>
      </c>
      <c r="AM174" s="19" t="s">
        <v>89</v>
      </c>
      <c r="AN174" s="19" t="s">
        <v>89</v>
      </c>
      <c r="AO174">
        <f t="shared" si="18"/>
        <v>2</v>
      </c>
      <c r="AP174">
        <f t="shared" si="19"/>
        <v>60.79</v>
      </c>
      <c r="AR174">
        <f t="shared" si="20"/>
        <v>66.990291262135926</v>
      </c>
    </row>
    <row r="175" spans="1:44">
      <c r="A175" t="s">
        <v>769</v>
      </c>
      <c r="B175">
        <v>173</v>
      </c>
      <c r="C175" s="16" t="s">
        <v>770</v>
      </c>
      <c r="D175" s="16" t="s">
        <v>770</v>
      </c>
      <c r="E175" s="16" t="s">
        <v>98</v>
      </c>
      <c r="F175" s="16" t="s">
        <v>389</v>
      </c>
      <c r="G175" s="16" t="s">
        <v>390</v>
      </c>
      <c r="H175" s="16" t="s">
        <v>85</v>
      </c>
      <c r="I175" s="16" t="s">
        <v>771</v>
      </c>
      <c r="J175" s="16" t="s">
        <v>87</v>
      </c>
      <c r="K175" s="16" t="s">
        <v>88</v>
      </c>
      <c r="L175" s="17">
        <v>25000</v>
      </c>
      <c r="M175" s="17">
        <v>80</v>
      </c>
      <c r="N175" s="17" t="s">
        <v>89</v>
      </c>
      <c r="O175" s="17" t="s">
        <v>89</v>
      </c>
      <c r="P175" s="16">
        <v>21</v>
      </c>
      <c r="Q175" s="16">
        <v>2.7</v>
      </c>
      <c r="R175" s="16">
        <v>2.2999999999999998</v>
      </c>
      <c r="S175" s="16">
        <v>1.5</v>
      </c>
      <c r="T175" s="16">
        <f t="shared" si="21"/>
        <v>4.2</v>
      </c>
      <c r="U175" s="16">
        <f>6*P175</f>
        <v>126</v>
      </c>
      <c r="V175" s="18">
        <v>1</v>
      </c>
      <c r="W175" s="16">
        <v>668</v>
      </c>
      <c r="Y175" s="16">
        <f>6*P175</f>
        <v>126</v>
      </c>
      <c r="Z175" s="16">
        <f t="shared" si="22"/>
        <v>4.2</v>
      </c>
      <c r="AA175" s="18">
        <v>1</v>
      </c>
      <c r="AB175" s="19" t="s">
        <v>89</v>
      </c>
      <c r="AC175" s="17" t="s">
        <v>90</v>
      </c>
      <c r="AD175" s="17">
        <v>295</v>
      </c>
      <c r="AE175" s="17">
        <v>10.5</v>
      </c>
      <c r="AF175" s="17">
        <v>120</v>
      </c>
      <c r="AG175" s="17">
        <v>2022</v>
      </c>
      <c r="AI175" s="17" t="s">
        <v>91</v>
      </c>
      <c r="AL175" s="19" t="s">
        <v>94</v>
      </c>
      <c r="AM175" s="19" t="s">
        <v>89</v>
      </c>
      <c r="AN175" s="19" t="s">
        <v>89</v>
      </c>
      <c r="AO175">
        <f t="shared" si="18"/>
        <v>1</v>
      </c>
      <c r="AP175">
        <f t="shared" si="19"/>
        <v>60.25</v>
      </c>
      <c r="AR175">
        <f t="shared" si="20"/>
        <v>72.305389221556879</v>
      </c>
    </row>
    <row r="176" spans="1:44">
      <c r="A176" t="s">
        <v>772</v>
      </c>
      <c r="B176">
        <v>174</v>
      </c>
      <c r="C176" s="16" t="s">
        <v>773</v>
      </c>
      <c r="D176" s="16" t="s">
        <v>773</v>
      </c>
      <c r="E176" s="16" t="s">
        <v>98</v>
      </c>
      <c r="F176" s="16" t="s">
        <v>83</v>
      </c>
      <c r="H176" s="16" t="s">
        <v>85</v>
      </c>
      <c r="I176" s="16" t="s">
        <v>640</v>
      </c>
      <c r="J176" s="16" t="s">
        <v>87</v>
      </c>
      <c r="K176" s="16" t="s">
        <v>88</v>
      </c>
      <c r="L176" s="17">
        <v>2000</v>
      </c>
      <c r="M176" s="17">
        <v>80</v>
      </c>
      <c r="N176" s="17" t="s">
        <v>89</v>
      </c>
      <c r="O176" s="17" t="s">
        <v>89</v>
      </c>
      <c r="P176" s="16">
        <v>78</v>
      </c>
      <c r="Q176" s="16">
        <v>4.2</v>
      </c>
      <c r="R176" s="16">
        <v>3.6</v>
      </c>
      <c r="S176" s="16">
        <v>2.5</v>
      </c>
      <c r="T176" s="16">
        <f t="shared" si="21"/>
        <v>15.600000000000001</v>
      </c>
      <c r="U176" s="16">
        <f>3*P176</f>
        <v>234</v>
      </c>
      <c r="V176" s="18">
        <v>0.33</v>
      </c>
      <c r="W176" s="16">
        <v>1110</v>
      </c>
      <c r="Y176" s="16">
        <f t="shared" ref="Y176:Y188" si="23">1*P176</f>
        <v>78</v>
      </c>
      <c r="Z176" s="16">
        <f>0.5*P176</f>
        <v>39</v>
      </c>
      <c r="AA176" s="18">
        <v>0.33</v>
      </c>
      <c r="AB176" s="19" t="s">
        <v>89</v>
      </c>
      <c r="AC176" s="17">
        <v>510</v>
      </c>
      <c r="AD176" s="20">
        <v>8</v>
      </c>
      <c r="AE176" s="20">
        <v>98</v>
      </c>
      <c r="AF176" s="21" t="s">
        <v>90</v>
      </c>
      <c r="AG176" s="17">
        <v>2022</v>
      </c>
      <c r="AI176" s="17" t="s">
        <v>91</v>
      </c>
      <c r="AJ176" s="24" t="s">
        <v>641</v>
      </c>
      <c r="AK176" s="25" t="s">
        <v>628</v>
      </c>
      <c r="AL176" s="19" t="s">
        <v>94</v>
      </c>
      <c r="AM176" s="19" t="s">
        <v>89</v>
      </c>
      <c r="AN176" s="19" t="s">
        <v>89</v>
      </c>
      <c r="AO176">
        <f t="shared" si="18"/>
        <v>1</v>
      </c>
      <c r="AP176">
        <f t="shared" si="19"/>
        <v>60.25</v>
      </c>
      <c r="AR176">
        <f t="shared" si="20"/>
        <v>252.97297297297297</v>
      </c>
    </row>
    <row r="177" spans="1:44">
      <c r="A177" t="s">
        <v>774</v>
      </c>
      <c r="B177">
        <v>175</v>
      </c>
      <c r="C177" s="16" t="s">
        <v>775</v>
      </c>
      <c r="D177" s="16" t="s">
        <v>775</v>
      </c>
      <c r="E177" s="16" t="s">
        <v>161</v>
      </c>
      <c r="F177" s="16" t="s">
        <v>83</v>
      </c>
      <c r="G177" s="16" t="s">
        <v>84</v>
      </c>
      <c r="H177" s="16" t="s">
        <v>85</v>
      </c>
      <c r="I177" s="16" t="s">
        <v>776</v>
      </c>
      <c r="J177" s="16" t="s">
        <v>87</v>
      </c>
      <c r="K177" s="16" t="s">
        <v>88</v>
      </c>
      <c r="L177" s="17">
        <v>3000</v>
      </c>
      <c r="M177" s="17">
        <v>80</v>
      </c>
      <c r="N177" s="17" t="s">
        <v>89</v>
      </c>
      <c r="O177" s="16">
        <v>210</v>
      </c>
      <c r="P177" s="16">
        <v>43</v>
      </c>
      <c r="Q177" s="16">
        <v>4.2</v>
      </c>
      <c r="R177" s="16">
        <v>3.63</v>
      </c>
      <c r="S177" s="16">
        <v>2.7</v>
      </c>
      <c r="T177" s="16">
        <f t="shared" si="21"/>
        <v>8.6</v>
      </c>
      <c r="U177" s="16">
        <f>3.2*P177</f>
        <v>137.6</v>
      </c>
      <c r="V177" s="18" t="s">
        <v>89</v>
      </c>
      <c r="W177" s="16">
        <v>743</v>
      </c>
      <c r="Y177" s="16">
        <f t="shared" si="23"/>
        <v>43</v>
      </c>
      <c r="Z177" s="16">
        <f t="shared" ref="Z177:Z188" si="24">0.2*P177</f>
        <v>8.6</v>
      </c>
      <c r="AA177" s="18" t="s">
        <v>89</v>
      </c>
      <c r="AB177" s="19" t="s">
        <v>89</v>
      </c>
      <c r="AC177" s="17">
        <v>188</v>
      </c>
      <c r="AD177" s="17">
        <v>10.8</v>
      </c>
      <c r="AE177" s="17">
        <v>174</v>
      </c>
      <c r="AF177" s="21" t="s">
        <v>90</v>
      </c>
      <c r="AG177" s="17">
        <v>2022</v>
      </c>
      <c r="AI177" s="17" t="s">
        <v>91</v>
      </c>
      <c r="AL177" s="19" t="s">
        <v>94</v>
      </c>
      <c r="AM177" s="19" t="s">
        <v>89</v>
      </c>
      <c r="AN177" s="19" t="s">
        <v>89</v>
      </c>
      <c r="AO177">
        <f t="shared" si="18"/>
        <v>1</v>
      </c>
      <c r="AP177">
        <f t="shared" si="19"/>
        <v>60.25</v>
      </c>
      <c r="AR177">
        <f t="shared" si="20"/>
        <v>210.08075370121131</v>
      </c>
    </row>
    <row r="178" spans="1:44">
      <c r="A178" t="s">
        <v>777</v>
      </c>
      <c r="B178">
        <v>176</v>
      </c>
      <c r="C178" s="16" t="s">
        <v>778</v>
      </c>
      <c r="D178" s="16" t="s">
        <v>778</v>
      </c>
      <c r="E178" s="16" t="s">
        <v>161</v>
      </c>
      <c r="F178" s="16" t="s">
        <v>83</v>
      </c>
      <c r="G178" s="16" t="s">
        <v>84</v>
      </c>
      <c r="H178" s="16" t="s">
        <v>85</v>
      </c>
      <c r="I178" s="16" t="s">
        <v>779</v>
      </c>
      <c r="J178" s="16" t="s">
        <v>87</v>
      </c>
      <c r="K178" s="16" t="s">
        <v>88</v>
      </c>
      <c r="L178" s="17">
        <v>3000</v>
      </c>
      <c r="M178" s="17">
        <v>80</v>
      </c>
      <c r="N178" s="17" t="s">
        <v>89</v>
      </c>
      <c r="O178" s="16">
        <v>200</v>
      </c>
      <c r="P178" s="16">
        <v>30</v>
      </c>
      <c r="Q178" s="16">
        <v>4.2</v>
      </c>
      <c r="R178" s="16">
        <v>3.68</v>
      </c>
      <c r="S178" s="16">
        <v>2.7</v>
      </c>
      <c r="T178" s="16">
        <f t="shared" si="21"/>
        <v>6</v>
      </c>
      <c r="U178" s="16">
        <f>3*P178</f>
        <v>90</v>
      </c>
      <c r="V178" s="18" t="s">
        <v>89</v>
      </c>
      <c r="W178" s="16">
        <v>552</v>
      </c>
      <c r="Y178" s="16">
        <f t="shared" si="23"/>
        <v>30</v>
      </c>
      <c r="Z178" s="16">
        <f t="shared" si="24"/>
        <v>6</v>
      </c>
      <c r="AA178" s="18" t="s">
        <v>89</v>
      </c>
      <c r="AB178" s="19" t="s">
        <v>89</v>
      </c>
      <c r="AC178" s="17">
        <v>227</v>
      </c>
      <c r="AD178" s="17">
        <v>7.2</v>
      </c>
      <c r="AE178" s="17">
        <v>165</v>
      </c>
      <c r="AF178" s="21" t="s">
        <v>90</v>
      </c>
      <c r="AG178" s="17">
        <v>2022</v>
      </c>
      <c r="AI178" s="17" t="s">
        <v>91</v>
      </c>
      <c r="AL178" s="19" t="s">
        <v>94</v>
      </c>
      <c r="AM178" s="19" t="s">
        <v>89</v>
      </c>
      <c r="AN178" s="19" t="s">
        <v>89</v>
      </c>
      <c r="AO178">
        <f t="shared" si="18"/>
        <v>1</v>
      </c>
      <c r="AP178">
        <f t="shared" si="19"/>
        <v>60.25</v>
      </c>
      <c r="AR178">
        <f t="shared" si="20"/>
        <v>200</v>
      </c>
    </row>
    <row r="179" spans="1:44">
      <c r="A179" t="s">
        <v>780</v>
      </c>
      <c r="B179">
        <v>177</v>
      </c>
      <c r="C179" s="16" t="s">
        <v>781</v>
      </c>
      <c r="D179" s="16" t="s">
        <v>781</v>
      </c>
      <c r="E179" s="16" t="s">
        <v>161</v>
      </c>
      <c r="F179" s="16" t="s">
        <v>83</v>
      </c>
      <c r="G179" s="16" t="s">
        <v>84</v>
      </c>
      <c r="H179" s="16" t="s">
        <v>85</v>
      </c>
      <c r="I179" s="16" t="s">
        <v>782</v>
      </c>
      <c r="J179" s="16" t="s">
        <v>87</v>
      </c>
      <c r="K179" s="16" t="s">
        <v>88</v>
      </c>
      <c r="L179" s="17">
        <v>3000</v>
      </c>
      <c r="M179" s="17">
        <v>80</v>
      </c>
      <c r="N179" s="17" t="s">
        <v>89</v>
      </c>
      <c r="O179" s="16">
        <v>235</v>
      </c>
      <c r="P179" s="16">
        <v>51</v>
      </c>
      <c r="Q179" s="16">
        <v>4.2</v>
      </c>
      <c r="R179" s="16">
        <v>3.7</v>
      </c>
      <c r="S179" s="16">
        <v>2.7</v>
      </c>
      <c r="T179" s="16">
        <f t="shared" si="21"/>
        <v>10.200000000000001</v>
      </c>
      <c r="U179" s="16">
        <f t="shared" ref="U179:U185" si="25">2*P179</f>
        <v>102</v>
      </c>
      <c r="V179" s="18" t="s">
        <v>89</v>
      </c>
      <c r="W179" s="16">
        <v>800</v>
      </c>
      <c r="Y179" s="16">
        <f t="shared" si="23"/>
        <v>51</v>
      </c>
      <c r="Z179" s="16">
        <f t="shared" si="24"/>
        <v>10.200000000000001</v>
      </c>
      <c r="AA179" s="18" t="s">
        <v>89</v>
      </c>
      <c r="AB179" s="19" t="s">
        <v>89</v>
      </c>
      <c r="AC179" s="17">
        <v>227</v>
      </c>
      <c r="AD179" s="17">
        <v>10.5</v>
      </c>
      <c r="AE179" s="17">
        <v>165</v>
      </c>
      <c r="AF179" s="21" t="s">
        <v>90</v>
      </c>
      <c r="AG179" s="17">
        <v>2022</v>
      </c>
      <c r="AI179" s="17" t="s">
        <v>91</v>
      </c>
      <c r="AL179" s="19" t="s">
        <v>94</v>
      </c>
      <c r="AM179" s="19" t="s">
        <v>89</v>
      </c>
      <c r="AN179" s="19" t="s">
        <v>89</v>
      </c>
      <c r="AO179">
        <f t="shared" si="18"/>
        <v>1</v>
      </c>
      <c r="AP179">
        <f t="shared" si="19"/>
        <v>60.25</v>
      </c>
      <c r="AR179">
        <f t="shared" si="20"/>
        <v>235.875</v>
      </c>
    </row>
    <row r="180" spans="1:44">
      <c r="A180" t="s">
        <v>783</v>
      </c>
      <c r="B180">
        <v>178</v>
      </c>
      <c r="C180" s="16" t="s">
        <v>784</v>
      </c>
      <c r="D180" s="16" t="s">
        <v>784</v>
      </c>
      <c r="E180" s="16" t="s">
        <v>161</v>
      </c>
      <c r="F180" s="16" t="s">
        <v>83</v>
      </c>
      <c r="G180" s="16" t="s">
        <v>84</v>
      </c>
      <c r="H180" s="16" t="s">
        <v>85</v>
      </c>
      <c r="I180" s="16" t="s">
        <v>785</v>
      </c>
      <c r="J180" s="16" t="s">
        <v>87</v>
      </c>
      <c r="K180" s="16" t="s">
        <v>88</v>
      </c>
      <c r="L180" s="17">
        <v>3000</v>
      </c>
      <c r="M180" s="17">
        <v>80</v>
      </c>
      <c r="N180" s="17" t="s">
        <v>89</v>
      </c>
      <c r="O180" s="16">
        <v>260</v>
      </c>
      <c r="P180" s="16">
        <v>52</v>
      </c>
      <c r="Q180" s="16">
        <v>4.2</v>
      </c>
      <c r="R180" s="16">
        <v>3.7</v>
      </c>
      <c r="S180" s="16">
        <v>2.7</v>
      </c>
      <c r="T180" s="16">
        <f t="shared" si="21"/>
        <v>10.4</v>
      </c>
      <c r="U180" s="16">
        <f t="shared" si="25"/>
        <v>104</v>
      </c>
      <c r="V180" s="18" t="s">
        <v>89</v>
      </c>
      <c r="W180" s="16">
        <v>740</v>
      </c>
      <c r="Y180" s="16">
        <f t="shared" si="23"/>
        <v>52</v>
      </c>
      <c r="Z180" s="16">
        <f t="shared" si="24"/>
        <v>10.4</v>
      </c>
      <c r="AA180" s="18" t="s">
        <v>89</v>
      </c>
      <c r="AB180" s="19" t="s">
        <v>89</v>
      </c>
      <c r="AC180" s="17">
        <v>305</v>
      </c>
      <c r="AD180" s="17">
        <v>11.5</v>
      </c>
      <c r="AE180" s="17">
        <v>102</v>
      </c>
      <c r="AF180" s="21" t="s">
        <v>90</v>
      </c>
      <c r="AG180" s="17">
        <v>2022</v>
      </c>
      <c r="AI180" s="17" t="s">
        <v>91</v>
      </c>
      <c r="AL180" s="19" t="s">
        <v>94</v>
      </c>
      <c r="AM180" s="19" t="s">
        <v>89</v>
      </c>
      <c r="AN180" s="19" t="s">
        <v>89</v>
      </c>
      <c r="AO180">
        <f t="shared" si="18"/>
        <v>1</v>
      </c>
      <c r="AP180">
        <f t="shared" si="19"/>
        <v>60.25</v>
      </c>
      <c r="AR180">
        <f t="shared" si="20"/>
        <v>260</v>
      </c>
    </row>
    <row r="181" spans="1:44">
      <c r="A181" t="s">
        <v>786</v>
      </c>
      <c r="B181">
        <v>179</v>
      </c>
      <c r="C181" s="16" t="s">
        <v>787</v>
      </c>
      <c r="D181" s="16" t="s">
        <v>787</v>
      </c>
      <c r="E181" s="16" t="s">
        <v>161</v>
      </c>
      <c r="F181" s="16" t="s">
        <v>83</v>
      </c>
      <c r="G181" s="16" t="s">
        <v>84</v>
      </c>
      <c r="H181" s="16" t="s">
        <v>88</v>
      </c>
      <c r="I181" s="16" t="s">
        <v>788</v>
      </c>
      <c r="J181" s="16" t="s">
        <v>87</v>
      </c>
      <c r="K181" s="16" t="s">
        <v>88</v>
      </c>
      <c r="L181" s="17">
        <v>2000</v>
      </c>
      <c r="M181" s="17">
        <v>80</v>
      </c>
      <c r="N181" s="17" t="s">
        <v>89</v>
      </c>
      <c r="O181" s="17" t="s">
        <v>89</v>
      </c>
      <c r="P181" s="16">
        <v>42</v>
      </c>
      <c r="Q181" s="16">
        <v>4.2</v>
      </c>
      <c r="R181" s="16">
        <v>3.65</v>
      </c>
      <c r="S181" s="16">
        <v>2.7</v>
      </c>
      <c r="T181" s="16">
        <f t="shared" si="21"/>
        <v>8.4</v>
      </c>
      <c r="U181" s="16">
        <f t="shared" si="25"/>
        <v>84</v>
      </c>
      <c r="V181" s="18">
        <v>1</v>
      </c>
      <c r="W181" s="16">
        <v>740</v>
      </c>
      <c r="Y181" s="16">
        <f t="shared" si="23"/>
        <v>42</v>
      </c>
      <c r="Z181" s="16">
        <f t="shared" si="24"/>
        <v>8.4</v>
      </c>
      <c r="AA181" s="18">
        <v>1</v>
      </c>
      <c r="AB181" s="19" t="s">
        <v>89</v>
      </c>
      <c r="AC181" s="17">
        <v>148</v>
      </c>
      <c r="AD181" s="17">
        <v>27</v>
      </c>
      <c r="AE181" s="17">
        <v>97</v>
      </c>
      <c r="AF181" s="21" t="s">
        <v>90</v>
      </c>
      <c r="AG181" s="17">
        <v>2022</v>
      </c>
      <c r="AI181" s="17" t="s">
        <v>91</v>
      </c>
      <c r="AL181" s="19" t="s">
        <v>94</v>
      </c>
      <c r="AM181" s="19" t="s">
        <v>89</v>
      </c>
      <c r="AN181" s="19" t="s">
        <v>89</v>
      </c>
      <c r="AO181">
        <f t="shared" si="18"/>
        <v>2</v>
      </c>
      <c r="AP181">
        <f t="shared" si="19"/>
        <v>60.79</v>
      </c>
      <c r="AR181">
        <f t="shared" si="20"/>
        <v>207.16216216216213</v>
      </c>
    </row>
    <row r="182" spans="1:44">
      <c r="A182" t="s">
        <v>789</v>
      </c>
      <c r="B182">
        <v>180</v>
      </c>
      <c r="C182" s="16" t="s">
        <v>790</v>
      </c>
      <c r="D182" s="16" t="s">
        <v>790</v>
      </c>
      <c r="E182" s="16" t="s">
        <v>161</v>
      </c>
      <c r="F182" s="16" t="s">
        <v>83</v>
      </c>
      <c r="G182" s="16" t="s">
        <v>84</v>
      </c>
      <c r="H182" s="16" t="s">
        <v>88</v>
      </c>
      <c r="I182" s="16" t="s">
        <v>791</v>
      </c>
      <c r="J182" s="16" t="s">
        <v>87</v>
      </c>
      <c r="K182" s="16" t="s">
        <v>88</v>
      </c>
      <c r="L182" s="17">
        <v>2000</v>
      </c>
      <c r="M182" s="17">
        <v>80</v>
      </c>
      <c r="N182" s="17" t="s">
        <v>89</v>
      </c>
      <c r="O182" s="17" t="s">
        <v>89</v>
      </c>
      <c r="P182" s="16">
        <v>50</v>
      </c>
      <c r="Q182" s="16">
        <v>4.2</v>
      </c>
      <c r="R182" s="16">
        <v>3.65</v>
      </c>
      <c r="S182" s="16">
        <v>2.7</v>
      </c>
      <c r="T182" s="16">
        <f t="shared" si="21"/>
        <v>10</v>
      </c>
      <c r="U182" s="16">
        <f t="shared" si="25"/>
        <v>100</v>
      </c>
      <c r="V182" s="18">
        <v>1</v>
      </c>
      <c r="W182" s="16">
        <v>880</v>
      </c>
      <c r="Y182" s="16">
        <f t="shared" si="23"/>
        <v>50</v>
      </c>
      <c r="Z182" s="16">
        <f t="shared" si="24"/>
        <v>10</v>
      </c>
      <c r="AA182" s="18">
        <v>1</v>
      </c>
      <c r="AB182" s="19" t="s">
        <v>89</v>
      </c>
      <c r="AC182" s="17">
        <v>148</v>
      </c>
      <c r="AD182" s="17">
        <v>27</v>
      </c>
      <c r="AE182" s="17">
        <v>97</v>
      </c>
      <c r="AF182" s="21" t="s">
        <v>90</v>
      </c>
      <c r="AG182" s="17">
        <v>2022</v>
      </c>
      <c r="AI182" s="17" t="s">
        <v>91</v>
      </c>
      <c r="AL182" s="19" t="s">
        <v>94</v>
      </c>
      <c r="AM182" s="19" t="s">
        <v>89</v>
      </c>
      <c r="AN182" s="19" t="s">
        <v>89</v>
      </c>
      <c r="AO182">
        <f t="shared" si="18"/>
        <v>2</v>
      </c>
      <c r="AP182">
        <f t="shared" si="19"/>
        <v>60.79</v>
      </c>
      <c r="AR182">
        <f t="shared" si="20"/>
        <v>207.38636363636363</v>
      </c>
    </row>
    <row r="183" spans="1:44">
      <c r="A183" t="s">
        <v>792</v>
      </c>
      <c r="B183">
        <v>181</v>
      </c>
      <c r="C183" s="16" t="s">
        <v>793</v>
      </c>
      <c r="D183" s="16" t="s">
        <v>793</v>
      </c>
      <c r="E183" s="16" t="s">
        <v>161</v>
      </c>
      <c r="F183" s="16" t="s">
        <v>83</v>
      </c>
      <c r="G183" s="16" t="s">
        <v>84</v>
      </c>
      <c r="H183" s="16" t="s">
        <v>88</v>
      </c>
      <c r="I183" s="16" t="s">
        <v>794</v>
      </c>
      <c r="J183" s="16" t="s">
        <v>87</v>
      </c>
      <c r="K183" s="16" t="s">
        <v>88</v>
      </c>
      <c r="L183" s="17">
        <v>2000</v>
      </c>
      <c r="M183" s="17">
        <v>80</v>
      </c>
      <c r="N183" s="17" t="s">
        <v>89</v>
      </c>
      <c r="O183" s="17" t="s">
        <v>89</v>
      </c>
      <c r="P183" s="16">
        <v>60</v>
      </c>
      <c r="Q183" s="16">
        <v>4.2</v>
      </c>
      <c r="R183" s="16">
        <v>3.65</v>
      </c>
      <c r="S183" s="16">
        <v>2.7</v>
      </c>
      <c r="T183" s="16">
        <f t="shared" si="21"/>
        <v>12</v>
      </c>
      <c r="U183" s="16">
        <f t="shared" si="25"/>
        <v>120</v>
      </c>
      <c r="V183" s="18">
        <v>1</v>
      </c>
      <c r="W183" s="16">
        <v>870</v>
      </c>
      <c r="Y183" s="16">
        <f t="shared" si="23"/>
        <v>60</v>
      </c>
      <c r="Z183" s="16">
        <f t="shared" si="24"/>
        <v>12</v>
      </c>
      <c r="AA183" s="18">
        <v>1</v>
      </c>
      <c r="AB183" s="19" t="s">
        <v>89</v>
      </c>
      <c r="AC183" s="17">
        <v>148</v>
      </c>
      <c r="AD183" s="17">
        <v>27</v>
      </c>
      <c r="AE183" s="17">
        <v>97</v>
      </c>
      <c r="AF183" s="21" t="s">
        <v>90</v>
      </c>
      <c r="AG183" s="17">
        <v>2022</v>
      </c>
      <c r="AI183" s="17" t="s">
        <v>91</v>
      </c>
      <c r="AL183" s="19" t="s">
        <v>94</v>
      </c>
      <c r="AM183" s="19" t="s">
        <v>89</v>
      </c>
      <c r="AN183" s="19" t="s">
        <v>89</v>
      </c>
      <c r="AO183">
        <f t="shared" si="18"/>
        <v>2</v>
      </c>
      <c r="AP183">
        <f t="shared" si="19"/>
        <v>60.79</v>
      </c>
      <c r="AR183">
        <f t="shared" si="20"/>
        <v>251.72413793103448</v>
      </c>
    </row>
    <row r="184" spans="1:44">
      <c r="A184" t="s">
        <v>795</v>
      </c>
      <c r="B184">
        <v>182</v>
      </c>
      <c r="C184" s="16" t="s">
        <v>796</v>
      </c>
      <c r="D184" s="16" t="s">
        <v>796</v>
      </c>
      <c r="E184" s="16" t="s">
        <v>161</v>
      </c>
      <c r="F184" s="16" t="s">
        <v>83</v>
      </c>
      <c r="G184" s="16" t="s">
        <v>84</v>
      </c>
      <c r="H184" s="16" t="s">
        <v>88</v>
      </c>
      <c r="I184" s="16" t="s">
        <v>797</v>
      </c>
      <c r="J184" s="16" t="s">
        <v>87</v>
      </c>
      <c r="K184" s="16" t="s">
        <v>88</v>
      </c>
      <c r="L184" s="17">
        <v>2000</v>
      </c>
      <c r="M184" s="17">
        <v>80</v>
      </c>
      <c r="N184" s="17" t="s">
        <v>89</v>
      </c>
      <c r="O184" s="17" t="s">
        <v>89</v>
      </c>
      <c r="P184" s="16">
        <v>72</v>
      </c>
      <c r="Q184" s="16">
        <v>4.2</v>
      </c>
      <c r="R184" s="16">
        <v>3.65</v>
      </c>
      <c r="S184" s="16">
        <v>2.7</v>
      </c>
      <c r="T184" s="16">
        <f t="shared" si="21"/>
        <v>14.4</v>
      </c>
      <c r="U184" s="16">
        <f t="shared" si="25"/>
        <v>144</v>
      </c>
      <c r="V184" s="18">
        <v>1</v>
      </c>
      <c r="W184" s="16">
        <v>1300</v>
      </c>
      <c r="Y184" s="16">
        <f t="shared" si="23"/>
        <v>72</v>
      </c>
      <c r="Z184" s="16">
        <f t="shared" si="24"/>
        <v>14.4</v>
      </c>
      <c r="AA184" s="18">
        <v>1</v>
      </c>
      <c r="AB184" s="19" t="s">
        <v>89</v>
      </c>
      <c r="AC184" s="17">
        <v>148</v>
      </c>
      <c r="AD184" s="17">
        <v>39</v>
      </c>
      <c r="AE184" s="17">
        <v>97</v>
      </c>
      <c r="AF184" s="21" t="s">
        <v>90</v>
      </c>
      <c r="AG184" s="17">
        <v>2022</v>
      </c>
      <c r="AI184" s="17" t="s">
        <v>91</v>
      </c>
      <c r="AL184" s="19" t="s">
        <v>94</v>
      </c>
      <c r="AM184" s="19" t="s">
        <v>89</v>
      </c>
      <c r="AN184" s="19" t="s">
        <v>89</v>
      </c>
      <c r="AO184">
        <f t="shared" si="18"/>
        <v>2</v>
      </c>
      <c r="AP184">
        <f t="shared" si="19"/>
        <v>60.79</v>
      </c>
      <c r="AR184">
        <f t="shared" si="20"/>
        <v>202.15384615384616</v>
      </c>
    </row>
    <row r="185" spans="1:44">
      <c r="A185" t="s">
        <v>798</v>
      </c>
      <c r="B185">
        <v>183</v>
      </c>
      <c r="C185" s="16" t="s">
        <v>799</v>
      </c>
      <c r="D185" s="16" t="s">
        <v>799</v>
      </c>
      <c r="E185" s="16" t="s">
        <v>161</v>
      </c>
      <c r="F185" s="16" t="s">
        <v>83</v>
      </c>
      <c r="G185" s="16" t="s">
        <v>84</v>
      </c>
      <c r="H185" s="16" t="s">
        <v>88</v>
      </c>
      <c r="I185" s="16" t="s">
        <v>800</v>
      </c>
      <c r="J185" s="16" t="s">
        <v>87</v>
      </c>
      <c r="K185" s="16" t="s">
        <v>88</v>
      </c>
      <c r="L185" s="17">
        <v>2000</v>
      </c>
      <c r="M185" s="17">
        <v>80</v>
      </c>
      <c r="N185" s="17" t="s">
        <v>89</v>
      </c>
      <c r="O185" s="17" t="s">
        <v>89</v>
      </c>
      <c r="P185" s="16">
        <v>80</v>
      </c>
      <c r="Q185" s="16">
        <v>4.2</v>
      </c>
      <c r="R185" s="16">
        <v>3.65</v>
      </c>
      <c r="S185" s="16">
        <v>2.7</v>
      </c>
      <c r="T185" s="16">
        <f t="shared" si="21"/>
        <v>16</v>
      </c>
      <c r="U185" s="16">
        <f t="shared" si="25"/>
        <v>160</v>
      </c>
      <c r="V185" s="18">
        <v>1</v>
      </c>
      <c r="W185" s="16">
        <v>1320</v>
      </c>
      <c r="Y185" s="16">
        <f t="shared" si="23"/>
        <v>80</v>
      </c>
      <c r="Z185" s="16">
        <f t="shared" si="24"/>
        <v>16</v>
      </c>
      <c r="AA185" s="18">
        <v>1</v>
      </c>
      <c r="AB185" s="19" t="s">
        <v>89</v>
      </c>
      <c r="AC185" s="17">
        <v>148</v>
      </c>
      <c r="AD185" s="17">
        <v>39</v>
      </c>
      <c r="AE185" s="17">
        <v>97</v>
      </c>
      <c r="AF185" s="21" t="s">
        <v>90</v>
      </c>
      <c r="AG185" s="17">
        <v>2022</v>
      </c>
      <c r="AI185" s="17" t="s">
        <v>91</v>
      </c>
      <c r="AL185" s="19" t="s">
        <v>94</v>
      </c>
      <c r="AM185" s="19" t="s">
        <v>89</v>
      </c>
      <c r="AN185" s="19" t="s">
        <v>89</v>
      </c>
      <c r="AO185">
        <f t="shared" si="18"/>
        <v>2</v>
      </c>
      <c r="AP185">
        <f t="shared" si="19"/>
        <v>60.79</v>
      </c>
      <c r="AR185">
        <f t="shared" si="20"/>
        <v>221.21212121212119</v>
      </c>
    </row>
    <row r="186" spans="1:44">
      <c r="A186" t="s">
        <v>801</v>
      </c>
      <c r="B186">
        <v>184</v>
      </c>
      <c r="C186" s="16" t="s">
        <v>802</v>
      </c>
      <c r="D186" s="16" t="s">
        <v>802</v>
      </c>
      <c r="E186" s="16" t="s">
        <v>161</v>
      </c>
      <c r="F186" s="16" t="s">
        <v>129</v>
      </c>
      <c r="G186" s="16" t="s">
        <v>130</v>
      </c>
      <c r="H186" s="16" t="s">
        <v>88</v>
      </c>
      <c r="I186" s="16" t="s">
        <v>803</v>
      </c>
      <c r="J186" s="16" t="s">
        <v>87</v>
      </c>
      <c r="K186" s="16" t="s">
        <v>88</v>
      </c>
      <c r="L186" s="17">
        <v>3500</v>
      </c>
      <c r="M186" s="17">
        <v>80</v>
      </c>
      <c r="N186" s="17" t="s">
        <v>89</v>
      </c>
      <c r="O186" s="17" t="s">
        <v>89</v>
      </c>
      <c r="P186" s="16">
        <v>50</v>
      </c>
      <c r="Q186" s="16">
        <v>3.65</v>
      </c>
      <c r="R186" s="16">
        <v>3.2</v>
      </c>
      <c r="S186" s="16">
        <v>2</v>
      </c>
      <c r="T186" s="16">
        <f t="shared" si="21"/>
        <v>10</v>
      </c>
      <c r="U186" s="16">
        <f>1*P186</f>
        <v>50</v>
      </c>
      <c r="V186" s="18">
        <v>1</v>
      </c>
      <c r="W186" s="16">
        <v>1380</v>
      </c>
      <c r="Y186" s="16">
        <f t="shared" si="23"/>
        <v>50</v>
      </c>
      <c r="Z186" s="16">
        <f t="shared" si="24"/>
        <v>10</v>
      </c>
      <c r="AA186" s="18">
        <v>1</v>
      </c>
      <c r="AB186" s="19" t="s">
        <v>89</v>
      </c>
      <c r="AC186" s="17">
        <v>185</v>
      </c>
      <c r="AD186" s="17">
        <v>30</v>
      </c>
      <c r="AE186" s="17">
        <v>135</v>
      </c>
      <c r="AF186" s="21" t="s">
        <v>90</v>
      </c>
      <c r="AG186" s="17">
        <v>2022</v>
      </c>
      <c r="AI186" s="17" t="s">
        <v>91</v>
      </c>
      <c r="AL186" s="19" t="s">
        <v>94</v>
      </c>
      <c r="AM186" s="19" t="s">
        <v>89</v>
      </c>
      <c r="AN186" s="19" t="s">
        <v>89</v>
      </c>
      <c r="AO186">
        <f t="shared" si="18"/>
        <v>2</v>
      </c>
      <c r="AP186">
        <f t="shared" si="19"/>
        <v>60.79</v>
      </c>
      <c r="AR186">
        <f t="shared" si="20"/>
        <v>115.94202898550725</v>
      </c>
    </row>
    <row r="187" spans="1:44">
      <c r="A187" t="s">
        <v>804</v>
      </c>
      <c r="B187">
        <v>185</v>
      </c>
      <c r="C187" s="16" t="s">
        <v>805</v>
      </c>
      <c r="D187" s="16" t="s">
        <v>805</v>
      </c>
      <c r="E187" s="16" t="s">
        <v>161</v>
      </c>
      <c r="F187" s="16" t="s">
        <v>129</v>
      </c>
      <c r="G187" s="16" t="s">
        <v>130</v>
      </c>
      <c r="H187" s="16" t="s">
        <v>88</v>
      </c>
      <c r="I187" s="16" t="s">
        <v>806</v>
      </c>
      <c r="J187" s="16" t="s">
        <v>87</v>
      </c>
      <c r="K187" s="16" t="s">
        <v>88</v>
      </c>
      <c r="L187" s="17">
        <v>3500</v>
      </c>
      <c r="M187" s="17">
        <v>80</v>
      </c>
      <c r="N187" s="17" t="s">
        <v>89</v>
      </c>
      <c r="O187" s="17" t="s">
        <v>89</v>
      </c>
      <c r="P187" s="16">
        <v>56</v>
      </c>
      <c r="Q187" s="16">
        <v>3.65</v>
      </c>
      <c r="R187" s="16">
        <v>3.2</v>
      </c>
      <c r="S187" s="16">
        <v>2</v>
      </c>
      <c r="T187" s="16">
        <f t="shared" si="21"/>
        <v>11.200000000000001</v>
      </c>
      <c r="U187" s="16">
        <f>1*P187</f>
        <v>56</v>
      </c>
      <c r="V187" s="18">
        <v>1</v>
      </c>
      <c r="W187" s="16">
        <v>1450</v>
      </c>
      <c r="Y187" s="16">
        <f t="shared" si="23"/>
        <v>56</v>
      </c>
      <c r="Z187" s="16">
        <f t="shared" si="24"/>
        <v>11.200000000000001</v>
      </c>
      <c r="AA187" s="18">
        <v>1</v>
      </c>
      <c r="AB187" s="19" t="s">
        <v>89</v>
      </c>
      <c r="AC187" s="17">
        <v>185</v>
      </c>
      <c r="AD187" s="17">
        <v>30</v>
      </c>
      <c r="AE187" s="17">
        <v>135</v>
      </c>
      <c r="AF187" s="21" t="s">
        <v>90</v>
      </c>
      <c r="AG187" s="17">
        <v>2022</v>
      </c>
      <c r="AI187" s="17" t="s">
        <v>91</v>
      </c>
      <c r="AL187" s="19" t="s">
        <v>94</v>
      </c>
      <c r="AM187" s="19" t="s">
        <v>89</v>
      </c>
      <c r="AN187" s="19" t="s">
        <v>89</v>
      </c>
      <c r="AO187">
        <f t="shared" si="18"/>
        <v>2</v>
      </c>
      <c r="AP187">
        <f t="shared" si="19"/>
        <v>60.79</v>
      </c>
      <c r="AR187">
        <f t="shared" si="20"/>
        <v>123.58620689655174</v>
      </c>
    </row>
    <row r="188" spans="1:44">
      <c r="A188" t="s">
        <v>807</v>
      </c>
      <c r="B188">
        <v>186</v>
      </c>
      <c r="C188" s="16" t="s">
        <v>808</v>
      </c>
      <c r="D188" s="16" t="s">
        <v>808</v>
      </c>
      <c r="E188" s="16" t="s">
        <v>161</v>
      </c>
      <c r="F188" s="16" t="s">
        <v>129</v>
      </c>
      <c r="G188" s="16" t="s">
        <v>130</v>
      </c>
      <c r="H188" s="16" t="s">
        <v>88</v>
      </c>
      <c r="I188" s="16" t="s">
        <v>809</v>
      </c>
      <c r="J188" s="16" t="s">
        <v>87</v>
      </c>
      <c r="K188" s="16" t="s">
        <v>88</v>
      </c>
      <c r="L188" s="17">
        <v>3500</v>
      </c>
      <c r="M188" s="17">
        <v>80</v>
      </c>
      <c r="N188" s="17" t="s">
        <v>89</v>
      </c>
      <c r="O188" s="17" t="s">
        <v>89</v>
      </c>
      <c r="P188" s="16">
        <v>75</v>
      </c>
      <c r="Q188" s="16">
        <v>3.65</v>
      </c>
      <c r="R188" s="16">
        <v>3.2</v>
      </c>
      <c r="S188" s="16">
        <v>2</v>
      </c>
      <c r="T188" s="16">
        <f t="shared" si="21"/>
        <v>15</v>
      </c>
      <c r="U188" s="16">
        <f>1*P188</f>
        <v>75</v>
      </c>
      <c r="V188" s="18">
        <v>1</v>
      </c>
      <c r="W188" s="16">
        <v>1880</v>
      </c>
      <c r="Y188" s="16">
        <f t="shared" si="23"/>
        <v>75</v>
      </c>
      <c r="Z188" s="16">
        <f t="shared" si="24"/>
        <v>15</v>
      </c>
      <c r="AA188" s="18">
        <v>1</v>
      </c>
      <c r="AB188" s="19" t="s">
        <v>89</v>
      </c>
      <c r="AC188" s="17">
        <v>200</v>
      </c>
      <c r="AD188" s="17">
        <v>36</v>
      </c>
      <c r="AE188" s="17">
        <v>130</v>
      </c>
      <c r="AF188" s="21" t="s">
        <v>90</v>
      </c>
      <c r="AG188" s="17">
        <v>2022</v>
      </c>
      <c r="AI188" s="17" t="s">
        <v>91</v>
      </c>
      <c r="AL188" s="19" t="s">
        <v>94</v>
      </c>
      <c r="AM188" s="19" t="s">
        <v>89</v>
      </c>
      <c r="AN188" s="19" t="s">
        <v>89</v>
      </c>
      <c r="AO188">
        <f t="shared" si="18"/>
        <v>2</v>
      </c>
      <c r="AP188">
        <f t="shared" si="19"/>
        <v>60.79</v>
      </c>
      <c r="AR188">
        <f t="shared" si="20"/>
        <v>127.65957446808511</v>
      </c>
    </row>
    <row r="189" spans="1:44">
      <c r="A189" t="s">
        <v>810</v>
      </c>
      <c r="B189">
        <v>187</v>
      </c>
      <c r="C189" s="16" t="s">
        <v>811</v>
      </c>
      <c r="D189" s="16" t="s">
        <v>811</v>
      </c>
      <c r="E189" s="16" t="s">
        <v>670</v>
      </c>
      <c r="F189" s="16" t="s">
        <v>83</v>
      </c>
      <c r="G189" s="16" t="s">
        <v>305</v>
      </c>
      <c r="H189" s="16" t="s">
        <v>266</v>
      </c>
      <c r="I189" s="16" t="s">
        <v>812</v>
      </c>
      <c r="J189" s="16" t="s">
        <v>87</v>
      </c>
      <c r="K189" s="16" t="s">
        <v>268</v>
      </c>
      <c r="L189" s="17">
        <v>500</v>
      </c>
      <c r="M189" s="17">
        <v>70</v>
      </c>
      <c r="N189" s="16">
        <v>380</v>
      </c>
      <c r="O189" s="16">
        <v>160</v>
      </c>
      <c r="P189" s="16">
        <v>5.4</v>
      </c>
      <c r="Q189" s="16">
        <v>4.2</v>
      </c>
      <c r="R189" s="16">
        <v>3.7</v>
      </c>
      <c r="S189" s="16">
        <v>2.5</v>
      </c>
      <c r="T189" s="16">
        <v>1.1000000000000001</v>
      </c>
      <c r="U189" s="16">
        <v>11</v>
      </c>
      <c r="V189" s="18" t="s">
        <v>89</v>
      </c>
      <c r="W189" s="16">
        <v>125</v>
      </c>
      <c r="X189" s="16">
        <v>52.819699999999997</v>
      </c>
      <c r="Y189" s="16">
        <v>5.4</v>
      </c>
      <c r="Z189" s="16">
        <v>1.1000000000000001</v>
      </c>
      <c r="AA189" s="18" t="s">
        <v>89</v>
      </c>
      <c r="AB189" s="19" t="s">
        <v>89</v>
      </c>
      <c r="AC189" s="17" t="s">
        <v>90</v>
      </c>
      <c r="AD189" s="17">
        <v>59.43</v>
      </c>
      <c r="AF189" s="17">
        <v>34.200000000000003</v>
      </c>
      <c r="AG189" s="17">
        <v>2007</v>
      </c>
      <c r="AH189" s="17" t="s">
        <v>91</v>
      </c>
      <c r="AJ189" s="24" t="s">
        <v>813</v>
      </c>
      <c r="AL189" s="19" t="s">
        <v>94</v>
      </c>
      <c r="AM189" s="19" t="s">
        <v>89</v>
      </c>
      <c r="AN189" s="23">
        <v>1</v>
      </c>
      <c r="AO189">
        <f t="shared" si="18"/>
        <v>3</v>
      </c>
      <c r="AP189">
        <f t="shared" si="19"/>
        <v>64.69</v>
      </c>
      <c r="AR189">
        <f t="shared" si="20"/>
        <v>159.84000000000003</v>
      </c>
    </row>
    <row r="190" spans="1:44">
      <c r="A190" t="s">
        <v>814</v>
      </c>
      <c r="B190">
        <v>188</v>
      </c>
      <c r="C190" s="16" t="s">
        <v>815</v>
      </c>
      <c r="D190" s="16" t="s">
        <v>815</v>
      </c>
      <c r="E190" s="16" t="s">
        <v>82</v>
      </c>
      <c r="F190" s="16" t="s">
        <v>83</v>
      </c>
      <c r="G190" s="16" t="s">
        <v>84</v>
      </c>
      <c r="H190" s="16" t="s">
        <v>85</v>
      </c>
      <c r="I190" s="16" t="s">
        <v>816</v>
      </c>
      <c r="J190" s="16" t="s">
        <v>87</v>
      </c>
      <c r="K190" s="16" t="s">
        <v>88</v>
      </c>
      <c r="L190" s="17">
        <v>800</v>
      </c>
      <c r="M190" s="17">
        <v>80</v>
      </c>
      <c r="N190" s="17" t="s">
        <v>89</v>
      </c>
      <c r="O190" s="17" t="s">
        <v>89</v>
      </c>
      <c r="P190" s="16">
        <v>5</v>
      </c>
      <c r="Q190" s="16">
        <v>4.2</v>
      </c>
      <c r="R190" s="16">
        <v>3.7</v>
      </c>
      <c r="S190" s="16">
        <v>2.7</v>
      </c>
      <c r="T190" s="16">
        <v>2.5</v>
      </c>
      <c r="U190" s="16">
        <v>10</v>
      </c>
      <c r="V190" s="18">
        <v>1</v>
      </c>
      <c r="W190" s="16">
        <v>115</v>
      </c>
      <c r="X190" s="16">
        <v>53</v>
      </c>
      <c r="Y190" s="16">
        <v>5</v>
      </c>
      <c r="Z190" s="16">
        <v>1</v>
      </c>
      <c r="AA190" s="18">
        <v>1</v>
      </c>
      <c r="AB190" s="19" t="s">
        <v>89</v>
      </c>
      <c r="AC190" s="17">
        <v>106</v>
      </c>
      <c r="AD190" s="17">
        <v>5</v>
      </c>
      <c r="AE190" s="17">
        <v>100</v>
      </c>
      <c r="AF190" s="21" t="s">
        <v>90</v>
      </c>
      <c r="AH190" s="17" t="s">
        <v>91</v>
      </c>
      <c r="AJ190" s="24" t="s">
        <v>98</v>
      </c>
      <c r="AL190" s="19" t="s">
        <v>94</v>
      </c>
      <c r="AM190" s="19" t="s">
        <v>89</v>
      </c>
      <c r="AN190" s="23">
        <v>0.8</v>
      </c>
      <c r="AO190">
        <f t="shared" si="18"/>
        <v>1</v>
      </c>
      <c r="AP190">
        <f t="shared" si="19"/>
        <v>60.25</v>
      </c>
      <c r="AR190">
        <f t="shared" si="20"/>
        <v>160.86956521739128</v>
      </c>
    </row>
    <row r="191" spans="1:44">
      <c r="A191" t="s">
        <v>817</v>
      </c>
      <c r="B191">
        <v>189</v>
      </c>
      <c r="C191" s="16" t="s">
        <v>818</v>
      </c>
      <c r="D191" s="16" t="s">
        <v>818</v>
      </c>
      <c r="E191" s="16" t="s">
        <v>82</v>
      </c>
      <c r="F191" s="16" t="s">
        <v>83</v>
      </c>
      <c r="G191" s="16" t="s">
        <v>84</v>
      </c>
      <c r="H191" s="16" t="s">
        <v>85</v>
      </c>
      <c r="I191" s="16" t="s">
        <v>819</v>
      </c>
      <c r="J191" s="16" t="s">
        <v>87</v>
      </c>
      <c r="K191" s="16" t="s">
        <v>88</v>
      </c>
      <c r="L191" s="17">
        <v>800</v>
      </c>
      <c r="M191" s="17">
        <v>80</v>
      </c>
      <c r="N191" s="17" t="s">
        <v>89</v>
      </c>
      <c r="O191" s="16">
        <v>173</v>
      </c>
      <c r="P191" s="16">
        <v>7.5</v>
      </c>
      <c r="Q191" s="16">
        <v>4.2</v>
      </c>
      <c r="R191" s="16">
        <v>3.7</v>
      </c>
      <c r="S191" s="16">
        <v>2.7</v>
      </c>
      <c r="T191" s="16">
        <v>3.75</v>
      </c>
      <c r="U191" s="16">
        <v>15</v>
      </c>
      <c r="V191" s="18">
        <v>1</v>
      </c>
      <c r="W191" s="16">
        <v>155</v>
      </c>
      <c r="X191" s="16">
        <v>79.5</v>
      </c>
      <c r="Y191" s="16">
        <v>7.5</v>
      </c>
      <c r="Z191" s="16">
        <v>1.5</v>
      </c>
      <c r="AA191" s="18">
        <v>1</v>
      </c>
      <c r="AB191" s="19" t="s">
        <v>89</v>
      </c>
      <c r="AC191" s="17">
        <v>106</v>
      </c>
      <c r="AD191" s="17">
        <v>7.5</v>
      </c>
      <c r="AE191" s="17">
        <v>100</v>
      </c>
      <c r="AF191" s="21" t="s">
        <v>90</v>
      </c>
      <c r="AH191" s="17" t="s">
        <v>91</v>
      </c>
      <c r="AJ191" s="24" t="s">
        <v>98</v>
      </c>
      <c r="AL191" s="19" t="s">
        <v>94</v>
      </c>
      <c r="AM191" s="19" t="s">
        <v>89</v>
      </c>
      <c r="AN191" s="23">
        <v>0.8</v>
      </c>
      <c r="AO191">
        <f t="shared" si="18"/>
        <v>1</v>
      </c>
      <c r="AP191">
        <f t="shared" si="19"/>
        <v>60.25</v>
      </c>
      <c r="AR191">
        <f t="shared" si="20"/>
        <v>179.03225806451613</v>
      </c>
    </row>
    <row r="192" spans="1:44">
      <c r="A192" t="s">
        <v>820</v>
      </c>
      <c r="B192">
        <v>190</v>
      </c>
      <c r="C192" s="16" t="s">
        <v>821</v>
      </c>
      <c r="D192" s="16" t="s">
        <v>821</v>
      </c>
      <c r="E192" s="16" t="s">
        <v>82</v>
      </c>
      <c r="F192" s="16" t="s">
        <v>83</v>
      </c>
      <c r="G192" s="16" t="s">
        <v>84</v>
      </c>
      <c r="H192" s="16" t="s">
        <v>85</v>
      </c>
      <c r="I192" s="16" t="s">
        <v>822</v>
      </c>
      <c r="J192" s="16" t="s">
        <v>87</v>
      </c>
      <c r="K192" s="16" t="s">
        <v>88</v>
      </c>
      <c r="L192" s="17">
        <v>800</v>
      </c>
      <c r="M192" s="17">
        <v>80</v>
      </c>
      <c r="N192" s="17" t="s">
        <v>89</v>
      </c>
      <c r="O192" s="16">
        <v>174</v>
      </c>
      <c r="P192" s="16">
        <v>16</v>
      </c>
      <c r="Q192" s="16">
        <v>4.2</v>
      </c>
      <c r="R192" s="16">
        <v>3.7</v>
      </c>
      <c r="S192" s="16">
        <v>2.7</v>
      </c>
      <c r="T192" s="16">
        <v>8</v>
      </c>
      <c r="U192" s="16">
        <v>16</v>
      </c>
      <c r="V192" s="18">
        <v>1</v>
      </c>
      <c r="W192" s="16">
        <v>330</v>
      </c>
      <c r="X192" s="16">
        <v>162.97499999999999</v>
      </c>
      <c r="Y192" s="16">
        <v>16</v>
      </c>
      <c r="Z192" s="16">
        <v>3.2</v>
      </c>
      <c r="AA192" s="18">
        <v>1</v>
      </c>
      <c r="AB192" s="19" t="s">
        <v>89</v>
      </c>
      <c r="AC192" s="17">
        <v>205</v>
      </c>
      <c r="AD192" s="17">
        <v>7.5</v>
      </c>
      <c r="AE192" s="17">
        <v>106</v>
      </c>
      <c r="AF192" s="21" t="s">
        <v>90</v>
      </c>
      <c r="AH192" s="17" t="s">
        <v>91</v>
      </c>
      <c r="AJ192" s="24" t="s">
        <v>98</v>
      </c>
      <c r="AL192" s="19" t="s">
        <v>94</v>
      </c>
      <c r="AM192" s="19" t="s">
        <v>89</v>
      </c>
      <c r="AN192" s="23">
        <v>0.8</v>
      </c>
      <c r="AO192">
        <f t="shared" si="18"/>
        <v>1</v>
      </c>
      <c r="AP192">
        <f t="shared" si="19"/>
        <v>60.25</v>
      </c>
      <c r="AR192">
        <f t="shared" si="20"/>
        <v>179.39393939393941</v>
      </c>
    </row>
    <row r="193" spans="1:44">
      <c r="A193" t="s">
        <v>823</v>
      </c>
      <c r="B193">
        <v>191</v>
      </c>
      <c r="C193" s="16" t="s">
        <v>824</v>
      </c>
      <c r="D193" s="16" t="s">
        <v>824</v>
      </c>
      <c r="E193" s="16" t="s">
        <v>82</v>
      </c>
      <c r="F193" s="16" t="s">
        <v>83</v>
      </c>
      <c r="G193" s="16" t="s">
        <v>84</v>
      </c>
      <c r="H193" s="16" t="s">
        <v>85</v>
      </c>
      <c r="I193" s="16" t="s">
        <v>825</v>
      </c>
      <c r="J193" s="16" t="s">
        <v>87</v>
      </c>
      <c r="K193" s="16" t="s">
        <v>88</v>
      </c>
      <c r="L193" s="17">
        <v>800</v>
      </c>
      <c r="M193" s="17">
        <v>80</v>
      </c>
      <c r="N193" s="17" t="s">
        <v>89</v>
      </c>
      <c r="O193" s="16">
        <v>154</v>
      </c>
      <c r="P193" s="16">
        <v>25</v>
      </c>
      <c r="Q193" s="16">
        <v>4.2</v>
      </c>
      <c r="R193" s="16">
        <v>3.7</v>
      </c>
      <c r="S193" s="16">
        <v>2.7</v>
      </c>
      <c r="T193" s="16">
        <v>12.5</v>
      </c>
      <c r="U193" s="16">
        <v>25</v>
      </c>
      <c r="V193" s="18">
        <v>0.5</v>
      </c>
      <c r="W193" s="16">
        <v>620</v>
      </c>
      <c r="X193" s="16">
        <v>307.45</v>
      </c>
      <c r="Y193" s="16">
        <v>25</v>
      </c>
      <c r="Z193" s="16">
        <v>5</v>
      </c>
      <c r="AA193" s="18">
        <v>0.5</v>
      </c>
      <c r="AB193" s="19" t="s">
        <v>89</v>
      </c>
      <c r="AC193" s="17">
        <v>220</v>
      </c>
      <c r="AD193" s="17">
        <v>6.5</v>
      </c>
      <c r="AE193" s="17">
        <v>215</v>
      </c>
      <c r="AF193" s="21" t="s">
        <v>90</v>
      </c>
      <c r="AH193" s="17" t="s">
        <v>91</v>
      </c>
      <c r="AJ193" s="24" t="s">
        <v>98</v>
      </c>
      <c r="AL193" s="19" t="s">
        <v>94</v>
      </c>
      <c r="AM193" s="19" t="s">
        <v>89</v>
      </c>
      <c r="AN193" s="23">
        <v>0.8</v>
      </c>
      <c r="AO193">
        <f t="shared" si="18"/>
        <v>1</v>
      </c>
      <c r="AP193">
        <f t="shared" si="19"/>
        <v>60.25</v>
      </c>
      <c r="AR193">
        <f t="shared" si="20"/>
        <v>149.19354838709677</v>
      </c>
    </row>
    <row r="194" spans="1:44">
      <c r="A194" t="s">
        <v>826</v>
      </c>
      <c r="B194">
        <v>192</v>
      </c>
      <c r="C194" s="16" t="s">
        <v>827</v>
      </c>
      <c r="D194" s="16" t="s">
        <v>827</v>
      </c>
      <c r="E194" s="16" t="s">
        <v>82</v>
      </c>
      <c r="F194" s="16" t="s">
        <v>83</v>
      </c>
      <c r="G194" s="16" t="s">
        <v>84</v>
      </c>
      <c r="H194" s="16" t="s">
        <v>85</v>
      </c>
      <c r="I194" s="16" t="s">
        <v>828</v>
      </c>
      <c r="J194" s="16" t="s">
        <v>87</v>
      </c>
      <c r="K194" s="16" t="s">
        <v>88</v>
      </c>
      <c r="L194" s="17">
        <v>800</v>
      </c>
      <c r="M194" s="17">
        <v>80</v>
      </c>
      <c r="N194" s="17" t="s">
        <v>89</v>
      </c>
      <c r="O194" s="16">
        <v>179</v>
      </c>
      <c r="P194" s="16">
        <v>100</v>
      </c>
      <c r="Q194" s="16">
        <v>4.2</v>
      </c>
      <c r="R194" s="16">
        <v>3.7</v>
      </c>
      <c r="S194" s="16">
        <v>2.7</v>
      </c>
      <c r="T194" s="16">
        <v>50</v>
      </c>
      <c r="U194" s="16">
        <v>100</v>
      </c>
      <c r="V194" s="18">
        <v>0.5</v>
      </c>
      <c r="W194" s="16">
        <v>2320</v>
      </c>
      <c r="X194" s="16">
        <v>1064.7</v>
      </c>
      <c r="Y194" s="16">
        <v>100</v>
      </c>
      <c r="Z194" s="16">
        <v>20</v>
      </c>
      <c r="AA194" s="18">
        <v>0.5</v>
      </c>
      <c r="AB194" s="19" t="s">
        <v>89</v>
      </c>
      <c r="AC194" s="17">
        <v>455</v>
      </c>
      <c r="AD194" s="17">
        <v>7.2</v>
      </c>
      <c r="AE194" s="17">
        <v>325</v>
      </c>
      <c r="AF194" s="21" t="s">
        <v>90</v>
      </c>
      <c r="AH194" s="17" t="s">
        <v>91</v>
      </c>
      <c r="AJ194" s="24" t="s">
        <v>98</v>
      </c>
      <c r="AL194" s="19" t="s">
        <v>94</v>
      </c>
      <c r="AM194" s="19" t="s">
        <v>89</v>
      </c>
      <c r="AN194" s="23">
        <v>0.8</v>
      </c>
      <c r="AO194">
        <f t="shared" si="18"/>
        <v>1</v>
      </c>
      <c r="AP194">
        <f t="shared" si="19"/>
        <v>60.25</v>
      </c>
      <c r="AR194">
        <f t="shared" si="20"/>
        <v>159.48275862068968</v>
      </c>
    </row>
    <row r="195" spans="1:44">
      <c r="A195" t="s">
        <v>829</v>
      </c>
      <c r="B195">
        <v>193</v>
      </c>
      <c r="C195" s="16" t="s">
        <v>830</v>
      </c>
      <c r="D195" s="16" t="s">
        <v>830</v>
      </c>
      <c r="E195" s="16" t="s">
        <v>82</v>
      </c>
      <c r="F195" s="16" t="s">
        <v>83</v>
      </c>
      <c r="G195" s="16" t="s">
        <v>84</v>
      </c>
      <c r="H195" s="16" t="s">
        <v>85</v>
      </c>
      <c r="I195" s="16" t="s">
        <v>831</v>
      </c>
      <c r="J195" s="16" t="s">
        <v>87</v>
      </c>
      <c r="K195" s="16" t="s">
        <v>88</v>
      </c>
      <c r="L195" s="17">
        <v>800</v>
      </c>
      <c r="M195" s="17">
        <v>80</v>
      </c>
      <c r="N195" s="17" t="s">
        <v>89</v>
      </c>
      <c r="O195" s="16">
        <v>145</v>
      </c>
      <c r="P195" s="16">
        <v>11</v>
      </c>
      <c r="Q195" s="16">
        <v>4.2</v>
      </c>
      <c r="R195" s="16">
        <v>3.7</v>
      </c>
      <c r="S195" s="16">
        <v>2.7</v>
      </c>
      <c r="T195" s="16">
        <v>5.5</v>
      </c>
      <c r="U195" s="16">
        <v>55</v>
      </c>
      <c r="V195" s="18">
        <v>0.5</v>
      </c>
      <c r="W195" s="16">
        <v>292</v>
      </c>
      <c r="X195" s="16">
        <v>149.96799999999999</v>
      </c>
      <c r="Y195" s="16">
        <v>22</v>
      </c>
      <c r="Z195" s="16">
        <v>2.2000000000000002</v>
      </c>
      <c r="AA195" s="18">
        <v>0.5</v>
      </c>
      <c r="AB195" s="19" t="s">
        <v>89</v>
      </c>
      <c r="AC195" s="17">
        <v>206</v>
      </c>
      <c r="AD195" s="17">
        <v>5.6</v>
      </c>
      <c r="AE195" s="17">
        <v>130</v>
      </c>
      <c r="AF195" s="21" t="s">
        <v>90</v>
      </c>
      <c r="AH195" s="17" t="s">
        <v>91</v>
      </c>
      <c r="AJ195" s="24" t="s">
        <v>98</v>
      </c>
      <c r="AL195" s="19" t="s">
        <v>94</v>
      </c>
      <c r="AM195" s="19" t="s">
        <v>89</v>
      </c>
      <c r="AN195" s="23">
        <v>0.8</v>
      </c>
      <c r="AO195">
        <f t="shared" si="18"/>
        <v>1</v>
      </c>
      <c r="AP195">
        <f t="shared" si="19"/>
        <v>60.25</v>
      </c>
      <c r="AR195">
        <f t="shared" si="20"/>
        <v>139.38356164383563</v>
      </c>
    </row>
    <row r="196" spans="1:44">
      <c r="A196" t="s">
        <v>832</v>
      </c>
      <c r="B196">
        <v>194</v>
      </c>
      <c r="C196" s="16" t="s">
        <v>833</v>
      </c>
      <c r="D196" s="16" t="s">
        <v>833</v>
      </c>
      <c r="E196" s="16" t="s">
        <v>82</v>
      </c>
      <c r="F196" s="16" t="s">
        <v>83</v>
      </c>
      <c r="G196" s="16" t="s">
        <v>84</v>
      </c>
      <c r="H196" s="16" t="s">
        <v>85</v>
      </c>
      <c r="I196" s="16" t="s">
        <v>834</v>
      </c>
      <c r="J196" s="16" t="s">
        <v>87</v>
      </c>
      <c r="K196" s="16" t="s">
        <v>88</v>
      </c>
      <c r="L196" s="17">
        <v>800</v>
      </c>
      <c r="M196" s="17">
        <v>80</v>
      </c>
      <c r="N196" s="17" t="s">
        <v>89</v>
      </c>
      <c r="O196" s="16">
        <v>158</v>
      </c>
      <c r="P196" s="16">
        <v>31</v>
      </c>
      <c r="Q196" s="16">
        <v>4.2</v>
      </c>
      <c r="R196" s="16">
        <v>3.7</v>
      </c>
      <c r="S196" s="16">
        <v>2.7</v>
      </c>
      <c r="T196" s="16">
        <v>15.5</v>
      </c>
      <c r="U196" s="16">
        <v>155</v>
      </c>
      <c r="V196" s="18">
        <v>0.5</v>
      </c>
      <c r="W196" s="16">
        <v>860</v>
      </c>
      <c r="X196" s="16">
        <v>397.32</v>
      </c>
      <c r="Y196" s="16">
        <v>62</v>
      </c>
      <c r="Z196" s="16">
        <v>6.2</v>
      </c>
      <c r="AA196" s="18">
        <v>0.5</v>
      </c>
      <c r="AB196" s="19" t="s">
        <v>89</v>
      </c>
      <c r="AC196" s="17">
        <v>220</v>
      </c>
      <c r="AD196" s="17">
        <v>8.4</v>
      </c>
      <c r="AE196" s="17">
        <v>215</v>
      </c>
      <c r="AF196" s="21" t="s">
        <v>90</v>
      </c>
      <c r="AH196" s="17" t="s">
        <v>91</v>
      </c>
      <c r="AJ196" s="24" t="s">
        <v>98</v>
      </c>
      <c r="AL196" s="19" t="s">
        <v>94</v>
      </c>
      <c r="AM196" s="19" t="s">
        <v>89</v>
      </c>
      <c r="AN196" s="23">
        <v>0.8</v>
      </c>
      <c r="AO196">
        <f t="shared" ref="AO196:AO259" si="26">IF(H196="Pouch",1,IF(H196="Prismatic",2,IF(H196="Cylindrical",3,"")))</f>
        <v>1</v>
      </c>
      <c r="AP196">
        <f t="shared" ref="AP196:AP259" si="27">IF(AO196=1, 60.25, IF(AO196=2, 60.79, IF(AO196=3, 64.69, 0)))</f>
        <v>60.25</v>
      </c>
      <c r="AR196">
        <f t="shared" ref="AR196:AR259" si="28">P196*R196/(W196/1000)</f>
        <v>133.37209302325581</v>
      </c>
    </row>
    <row r="197" spans="1:44">
      <c r="A197" t="s">
        <v>835</v>
      </c>
      <c r="B197">
        <v>195</v>
      </c>
      <c r="C197" s="16" t="s">
        <v>836</v>
      </c>
      <c r="D197" s="16" t="s">
        <v>836</v>
      </c>
      <c r="E197" s="16" t="s">
        <v>82</v>
      </c>
      <c r="F197" s="16" t="s">
        <v>83</v>
      </c>
      <c r="G197" s="16" t="s">
        <v>84</v>
      </c>
      <c r="H197" s="16" t="s">
        <v>85</v>
      </c>
      <c r="I197" s="16" t="s">
        <v>837</v>
      </c>
      <c r="J197" s="16" t="s">
        <v>87</v>
      </c>
      <c r="K197" s="16" t="s">
        <v>88</v>
      </c>
      <c r="L197" s="17">
        <v>800</v>
      </c>
      <c r="M197" s="17">
        <v>80</v>
      </c>
      <c r="N197" s="17" t="s">
        <v>89</v>
      </c>
      <c r="O197" s="16">
        <v>149</v>
      </c>
      <c r="P197" s="16">
        <v>70</v>
      </c>
      <c r="Q197" s="16">
        <v>4.2</v>
      </c>
      <c r="R197" s="16">
        <v>3.7</v>
      </c>
      <c r="S197" s="16">
        <v>2.7</v>
      </c>
      <c r="T197" s="16">
        <v>35</v>
      </c>
      <c r="U197" s="16">
        <v>350</v>
      </c>
      <c r="V197" s="18">
        <v>0.5</v>
      </c>
      <c r="W197" s="16">
        <v>1950</v>
      </c>
      <c r="X197" s="16">
        <v>857.67499999999995</v>
      </c>
      <c r="Y197" s="16">
        <v>140</v>
      </c>
      <c r="Z197" s="16">
        <v>14</v>
      </c>
      <c r="AA197" s="18">
        <v>0.5</v>
      </c>
      <c r="AB197" s="19" t="s">
        <v>89</v>
      </c>
      <c r="AC197" s="17">
        <v>455</v>
      </c>
      <c r="AD197" s="17">
        <v>5.8</v>
      </c>
      <c r="AE197" s="17">
        <v>325</v>
      </c>
      <c r="AF197" s="21" t="s">
        <v>90</v>
      </c>
      <c r="AH197" s="17" t="s">
        <v>91</v>
      </c>
      <c r="AJ197" s="24" t="s">
        <v>98</v>
      </c>
      <c r="AL197" s="19" t="s">
        <v>94</v>
      </c>
      <c r="AM197" s="19" t="s">
        <v>89</v>
      </c>
      <c r="AN197" s="23">
        <v>0.8</v>
      </c>
      <c r="AO197">
        <f t="shared" si="26"/>
        <v>1</v>
      </c>
      <c r="AP197">
        <f t="shared" si="27"/>
        <v>60.25</v>
      </c>
      <c r="AR197">
        <f t="shared" si="28"/>
        <v>132.82051282051282</v>
      </c>
    </row>
    <row r="198" spans="1:44">
      <c r="A198" t="s">
        <v>838</v>
      </c>
      <c r="B198">
        <v>196</v>
      </c>
      <c r="C198" s="16" t="s">
        <v>839</v>
      </c>
      <c r="D198" s="16" t="s">
        <v>839</v>
      </c>
      <c r="E198" s="16" t="s">
        <v>82</v>
      </c>
      <c r="F198" s="16" t="s">
        <v>83</v>
      </c>
      <c r="G198" s="16" t="s">
        <v>84</v>
      </c>
      <c r="H198" s="16" t="s">
        <v>85</v>
      </c>
      <c r="I198" s="16" t="s">
        <v>840</v>
      </c>
      <c r="J198" s="16" t="s">
        <v>87</v>
      </c>
      <c r="K198" s="16" t="s">
        <v>88</v>
      </c>
      <c r="L198" s="17">
        <v>800</v>
      </c>
      <c r="M198" s="17">
        <v>80</v>
      </c>
      <c r="N198" s="17" t="s">
        <v>89</v>
      </c>
      <c r="O198" s="16">
        <v>155</v>
      </c>
      <c r="P198" s="16">
        <v>100</v>
      </c>
      <c r="Q198" s="16">
        <v>4.2</v>
      </c>
      <c r="R198" s="16">
        <v>3.7</v>
      </c>
      <c r="S198" s="16">
        <v>2.7</v>
      </c>
      <c r="T198" s="16">
        <v>50</v>
      </c>
      <c r="U198" s="16">
        <v>500</v>
      </c>
      <c r="V198" s="18">
        <v>0.5</v>
      </c>
      <c r="W198" s="16">
        <v>2700</v>
      </c>
      <c r="X198" s="16">
        <v>1197.7874999999999</v>
      </c>
      <c r="Y198" s="16">
        <v>200</v>
      </c>
      <c r="Z198" s="16">
        <v>20</v>
      </c>
      <c r="AA198" s="18">
        <v>0.5</v>
      </c>
      <c r="AB198" s="19" t="s">
        <v>89</v>
      </c>
      <c r="AC198" s="17">
        <v>455</v>
      </c>
      <c r="AD198" s="17">
        <v>8.1</v>
      </c>
      <c r="AE198" s="17">
        <v>325</v>
      </c>
      <c r="AF198" s="21" t="s">
        <v>90</v>
      </c>
      <c r="AH198" s="17" t="s">
        <v>91</v>
      </c>
      <c r="AJ198" s="24" t="s">
        <v>98</v>
      </c>
      <c r="AL198" s="19" t="s">
        <v>94</v>
      </c>
      <c r="AM198" s="19" t="s">
        <v>89</v>
      </c>
      <c r="AN198" s="23">
        <v>0.8</v>
      </c>
      <c r="AO198">
        <f t="shared" si="26"/>
        <v>1</v>
      </c>
      <c r="AP198">
        <f t="shared" si="27"/>
        <v>60.25</v>
      </c>
      <c r="AR198">
        <f t="shared" si="28"/>
        <v>137.03703703703704</v>
      </c>
    </row>
    <row r="199" spans="1:44">
      <c r="A199" t="s">
        <v>841</v>
      </c>
      <c r="B199">
        <v>197</v>
      </c>
      <c r="C199" s="16" t="s">
        <v>842</v>
      </c>
      <c r="D199" s="16" t="s">
        <v>842</v>
      </c>
      <c r="E199" s="16" t="s">
        <v>82</v>
      </c>
      <c r="F199" s="16" t="s">
        <v>83</v>
      </c>
      <c r="G199" s="16" t="s">
        <v>84</v>
      </c>
      <c r="H199" s="16" t="s">
        <v>85</v>
      </c>
      <c r="I199" s="16" t="s">
        <v>843</v>
      </c>
      <c r="J199" s="16" t="s">
        <v>87</v>
      </c>
      <c r="K199" s="16" t="s">
        <v>88</v>
      </c>
      <c r="L199" s="17">
        <v>800</v>
      </c>
      <c r="M199" s="17">
        <v>80</v>
      </c>
      <c r="N199" s="17" t="s">
        <v>89</v>
      </c>
      <c r="O199" s="16">
        <v>162</v>
      </c>
      <c r="P199" s="16">
        <v>200</v>
      </c>
      <c r="Q199" s="16">
        <v>4.2</v>
      </c>
      <c r="R199" s="16">
        <v>3.7</v>
      </c>
      <c r="S199" s="16">
        <v>2.7</v>
      </c>
      <c r="T199" s="16">
        <v>100</v>
      </c>
      <c r="U199" s="16">
        <v>400</v>
      </c>
      <c r="V199" s="18">
        <v>0.5</v>
      </c>
      <c r="W199" s="16">
        <v>5260</v>
      </c>
      <c r="X199" s="16">
        <v>2513.875</v>
      </c>
      <c r="Y199" s="16">
        <v>200</v>
      </c>
      <c r="Z199" s="16">
        <v>40</v>
      </c>
      <c r="AA199" s="18">
        <v>0.5</v>
      </c>
      <c r="AB199" s="19" t="s">
        <v>89</v>
      </c>
      <c r="AC199" s="17">
        <v>455</v>
      </c>
      <c r="AD199" s="17">
        <v>17</v>
      </c>
      <c r="AE199" s="17">
        <v>325</v>
      </c>
      <c r="AF199" s="21" t="s">
        <v>90</v>
      </c>
      <c r="AH199" s="17" t="s">
        <v>91</v>
      </c>
      <c r="AJ199" s="24" t="s">
        <v>98</v>
      </c>
      <c r="AL199" s="19" t="s">
        <v>94</v>
      </c>
      <c r="AM199" s="19" t="s">
        <v>89</v>
      </c>
      <c r="AN199" s="23">
        <v>0.8</v>
      </c>
      <c r="AO199">
        <f t="shared" si="26"/>
        <v>1</v>
      </c>
      <c r="AP199">
        <f t="shared" si="27"/>
        <v>60.25</v>
      </c>
      <c r="AR199">
        <f t="shared" si="28"/>
        <v>140.68441064638785</v>
      </c>
    </row>
    <row r="200" spans="1:44">
      <c r="A200" t="s">
        <v>844</v>
      </c>
      <c r="B200">
        <v>198</v>
      </c>
      <c r="C200" s="16" t="s">
        <v>845</v>
      </c>
      <c r="D200" s="16" t="s">
        <v>845</v>
      </c>
      <c r="E200" s="16" t="s">
        <v>846</v>
      </c>
      <c r="H200" s="16" t="s">
        <v>88</v>
      </c>
      <c r="I200" s="16" t="s">
        <v>847</v>
      </c>
      <c r="J200" s="16" t="s">
        <v>87</v>
      </c>
      <c r="K200" s="16" t="s">
        <v>88</v>
      </c>
      <c r="L200" s="17">
        <v>400</v>
      </c>
      <c r="M200" s="17">
        <v>80</v>
      </c>
      <c r="N200" s="17" t="s">
        <v>89</v>
      </c>
      <c r="O200" s="17" t="s">
        <v>89</v>
      </c>
      <c r="P200" s="16">
        <v>9</v>
      </c>
      <c r="Q200" s="16">
        <v>4.2</v>
      </c>
      <c r="R200" s="16">
        <v>3.7</v>
      </c>
      <c r="S200" s="16">
        <v>3</v>
      </c>
      <c r="T200" s="16">
        <v>3</v>
      </c>
      <c r="U200" s="16">
        <v>27</v>
      </c>
      <c r="V200" s="18">
        <v>0.33</v>
      </c>
      <c r="W200" s="16">
        <v>310</v>
      </c>
      <c r="X200" s="16">
        <v>144.9</v>
      </c>
      <c r="Y200" s="16">
        <v>4.5</v>
      </c>
      <c r="Z200" s="16">
        <v>1.8</v>
      </c>
      <c r="AA200" s="18">
        <v>0.33</v>
      </c>
      <c r="AB200" s="19" t="s">
        <v>89</v>
      </c>
      <c r="AC200" s="17">
        <v>103</v>
      </c>
      <c r="AD200" s="17">
        <v>20</v>
      </c>
      <c r="AE200" s="17">
        <v>69</v>
      </c>
      <c r="AF200" s="21" t="s">
        <v>90</v>
      </c>
      <c r="AH200" s="17" t="s">
        <v>91</v>
      </c>
      <c r="AJ200" s="30" t="s">
        <v>848</v>
      </c>
      <c r="AL200" s="19" t="s">
        <v>94</v>
      </c>
      <c r="AM200" s="19">
        <v>0.02</v>
      </c>
      <c r="AN200" s="23">
        <v>0.8</v>
      </c>
      <c r="AO200">
        <f t="shared" si="26"/>
        <v>2</v>
      </c>
      <c r="AP200">
        <f t="shared" si="27"/>
        <v>60.79</v>
      </c>
      <c r="AR200">
        <f t="shared" si="28"/>
        <v>107.41935483870969</v>
      </c>
    </row>
    <row r="201" spans="1:44">
      <c r="A201" t="s">
        <v>849</v>
      </c>
      <c r="B201">
        <v>199</v>
      </c>
      <c r="C201" s="16" t="s">
        <v>850</v>
      </c>
      <c r="D201" s="16" t="s">
        <v>850</v>
      </c>
      <c r="E201" s="16" t="s">
        <v>846</v>
      </c>
      <c r="H201" s="16" t="s">
        <v>88</v>
      </c>
      <c r="I201" s="16" t="s">
        <v>851</v>
      </c>
      <c r="J201" s="16" t="s">
        <v>87</v>
      </c>
      <c r="K201" s="16" t="s">
        <v>88</v>
      </c>
      <c r="L201" s="17">
        <v>400</v>
      </c>
      <c r="M201" s="17">
        <v>80</v>
      </c>
      <c r="N201" s="17" t="s">
        <v>89</v>
      </c>
      <c r="O201" s="17" t="s">
        <v>89</v>
      </c>
      <c r="P201" s="16">
        <v>60</v>
      </c>
      <c r="Q201" s="16">
        <v>4.2</v>
      </c>
      <c r="R201" s="16">
        <v>3.6</v>
      </c>
      <c r="S201" s="16">
        <v>3</v>
      </c>
      <c r="T201" s="16">
        <v>12</v>
      </c>
      <c r="U201" s="16">
        <v>30</v>
      </c>
      <c r="V201" s="18">
        <v>0.33</v>
      </c>
      <c r="W201" s="16">
        <v>1850</v>
      </c>
      <c r="X201" s="16">
        <v>852.5</v>
      </c>
      <c r="Y201" s="16">
        <v>30</v>
      </c>
      <c r="Z201" s="16">
        <v>12</v>
      </c>
      <c r="AA201" s="18">
        <v>0.33</v>
      </c>
      <c r="AB201" s="19" t="s">
        <v>89</v>
      </c>
      <c r="AC201" s="17">
        <v>155</v>
      </c>
      <c r="AD201" s="17">
        <v>50.5</v>
      </c>
      <c r="AE201" s="17">
        <v>110</v>
      </c>
      <c r="AF201" s="21" t="s">
        <v>90</v>
      </c>
      <c r="AH201" s="17" t="s">
        <v>91</v>
      </c>
      <c r="AJ201" s="24" t="s">
        <v>98</v>
      </c>
      <c r="AL201" s="19" t="s">
        <v>94</v>
      </c>
      <c r="AM201" s="19">
        <v>0.01</v>
      </c>
      <c r="AN201" s="23">
        <v>0.8</v>
      </c>
      <c r="AO201">
        <f t="shared" si="26"/>
        <v>2</v>
      </c>
      <c r="AP201">
        <f t="shared" si="27"/>
        <v>60.79</v>
      </c>
      <c r="AR201">
        <f t="shared" si="28"/>
        <v>116.75675675675676</v>
      </c>
    </row>
    <row r="202" spans="1:44">
      <c r="A202" t="s">
        <v>852</v>
      </c>
      <c r="B202">
        <v>200</v>
      </c>
      <c r="C202" s="16" t="s">
        <v>853</v>
      </c>
      <c r="D202" s="16" t="s">
        <v>853</v>
      </c>
      <c r="E202" s="16" t="s">
        <v>854</v>
      </c>
      <c r="H202" s="16" t="s">
        <v>85</v>
      </c>
      <c r="I202" s="16" t="s">
        <v>855</v>
      </c>
      <c r="J202" s="16" t="s">
        <v>87</v>
      </c>
      <c r="K202" s="16" t="s">
        <v>88</v>
      </c>
      <c r="L202" s="17">
        <v>300</v>
      </c>
      <c r="M202" s="17">
        <v>80</v>
      </c>
      <c r="N202" s="17" t="s">
        <v>89</v>
      </c>
      <c r="O202" s="17" t="s">
        <v>89</v>
      </c>
      <c r="P202" s="16">
        <v>10.5</v>
      </c>
      <c r="Q202" s="16">
        <v>4.2</v>
      </c>
      <c r="R202" s="16">
        <v>3.7</v>
      </c>
      <c r="S202" s="16">
        <v>2.75</v>
      </c>
      <c r="T202" s="16">
        <v>1.94</v>
      </c>
      <c r="U202" s="16">
        <v>19.399999999999999</v>
      </c>
      <c r="V202" s="18">
        <v>0.5</v>
      </c>
      <c r="W202" s="16">
        <v>258</v>
      </c>
      <c r="X202" s="16">
        <v>129.71199999999999</v>
      </c>
      <c r="Y202" s="16">
        <v>9.6999999999999993</v>
      </c>
      <c r="Z202" s="16">
        <v>4.8499999999999996</v>
      </c>
      <c r="AA202" s="18">
        <v>0.5</v>
      </c>
      <c r="AB202" s="19" t="s">
        <v>89</v>
      </c>
      <c r="AC202" s="17">
        <v>220</v>
      </c>
      <c r="AD202" s="17">
        <v>8.8000000000000007</v>
      </c>
      <c r="AE202" s="17">
        <v>67</v>
      </c>
      <c r="AF202" s="21" t="s">
        <v>90</v>
      </c>
      <c r="AG202" s="17">
        <v>2006</v>
      </c>
      <c r="AH202" s="17" t="s">
        <v>91</v>
      </c>
      <c r="AL202" s="19" t="s">
        <v>94</v>
      </c>
      <c r="AM202" s="19">
        <v>0.02</v>
      </c>
      <c r="AN202" s="23">
        <v>0.9</v>
      </c>
      <c r="AO202">
        <f t="shared" si="26"/>
        <v>1</v>
      </c>
      <c r="AP202">
        <f t="shared" si="27"/>
        <v>60.25</v>
      </c>
      <c r="AR202">
        <f t="shared" si="28"/>
        <v>150.58139534883722</v>
      </c>
    </row>
    <row r="203" spans="1:44">
      <c r="A203" t="s">
        <v>856</v>
      </c>
      <c r="B203">
        <v>201</v>
      </c>
      <c r="C203" s="16" t="s">
        <v>857</v>
      </c>
      <c r="D203" s="16" t="s">
        <v>857</v>
      </c>
      <c r="E203" s="16" t="s">
        <v>556</v>
      </c>
      <c r="H203" s="16" t="s">
        <v>85</v>
      </c>
      <c r="I203" s="16" t="s">
        <v>858</v>
      </c>
      <c r="J203" s="16" t="s">
        <v>87</v>
      </c>
      <c r="K203" s="16" t="s">
        <v>88</v>
      </c>
      <c r="L203" s="17">
        <v>300</v>
      </c>
      <c r="M203" s="17">
        <v>75</v>
      </c>
      <c r="N203" s="17" t="s">
        <v>89</v>
      </c>
      <c r="O203" s="17" t="s">
        <v>89</v>
      </c>
      <c r="P203" s="16">
        <v>3.6</v>
      </c>
      <c r="Q203" s="16">
        <v>4.2</v>
      </c>
      <c r="R203" s="16">
        <v>3.7</v>
      </c>
      <c r="S203" s="16">
        <v>2.75</v>
      </c>
      <c r="T203" s="16">
        <v>0.72</v>
      </c>
      <c r="U203" s="16">
        <v>3.6</v>
      </c>
      <c r="V203" s="18">
        <v>0.2</v>
      </c>
      <c r="W203" s="16">
        <v>74</v>
      </c>
      <c r="X203" s="16">
        <v>37.44</v>
      </c>
      <c r="Y203" s="16">
        <v>1.8</v>
      </c>
      <c r="Z203" s="16">
        <v>0.72</v>
      </c>
      <c r="AA203" s="18">
        <v>0.2</v>
      </c>
      <c r="AB203" s="19" t="s">
        <v>89</v>
      </c>
      <c r="AC203" s="17">
        <v>96</v>
      </c>
      <c r="AD203" s="17">
        <v>6.5</v>
      </c>
      <c r="AE203" s="17">
        <v>60</v>
      </c>
      <c r="AF203" s="21" t="s">
        <v>90</v>
      </c>
      <c r="AG203" s="17">
        <v>2011</v>
      </c>
      <c r="AH203" s="17" t="s">
        <v>91</v>
      </c>
      <c r="AJ203" s="24" t="s">
        <v>859</v>
      </c>
      <c r="AL203" s="19" t="s">
        <v>94</v>
      </c>
      <c r="AM203" s="19">
        <v>0.05</v>
      </c>
      <c r="AN203" s="23">
        <v>0.9</v>
      </c>
      <c r="AO203">
        <f t="shared" si="26"/>
        <v>1</v>
      </c>
      <c r="AP203">
        <f t="shared" si="27"/>
        <v>60.25</v>
      </c>
      <c r="AR203">
        <f t="shared" si="28"/>
        <v>180</v>
      </c>
    </row>
    <row r="204" spans="1:44">
      <c r="A204" t="s">
        <v>860</v>
      </c>
      <c r="B204">
        <v>202</v>
      </c>
      <c r="C204" s="16" t="s">
        <v>861</v>
      </c>
      <c r="D204" s="16" t="s">
        <v>861</v>
      </c>
      <c r="E204" s="16" t="s">
        <v>556</v>
      </c>
      <c r="H204" s="16" t="s">
        <v>85</v>
      </c>
      <c r="I204" s="16" t="s">
        <v>862</v>
      </c>
      <c r="J204" s="16" t="s">
        <v>87</v>
      </c>
      <c r="K204" s="16" t="s">
        <v>88</v>
      </c>
      <c r="L204" s="17">
        <v>300</v>
      </c>
      <c r="M204" s="17">
        <v>75</v>
      </c>
      <c r="N204" s="17" t="s">
        <v>89</v>
      </c>
      <c r="O204" s="17" t="s">
        <v>89</v>
      </c>
      <c r="P204" s="16">
        <v>4</v>
      </c>
      <c r="Q204" s="16">
        <v>4.2</v>
      </c>
      <c r="R204" s="16">
        <v>3.7</v>
      </c>
      <c r="S204" s="16">
        <v>2.75</v>
      </c>
      <c r="T204" s="16">
        <v>0.75</v>
      </c>
      <c r="U204" s="16">
        <v>4</v>
      </c>
      <c r="V204" s="18">
        <v>0.2</v>
      </c>
      <c r="W204" s="16">
        <v>82</v>
      </c>
      <c r="X204" s="16">
        <v>43.55</v>
      </c>
      <c r="Y204" s="16">
        <v>4</v>
      </c>
      <c r="Z204" s="16">
        <v>0.75</v>
      </c>
      <c r="AA204" s="18">
        <v>0.2</v>
      </c>
      <c r="AB204" s="19" t="s">
        <v>89</v>
      </c>
      <c r="AC204" s="17">
        <v>101</v>
      </c>
      <c r="AD204" s="17">
        <v>6.7</v>
      </c>
      <c r="AE204" s="17">
        <v>67.5</v>
      </c>
      <c r="AF204" s="21" t="s">
        <v>90</v>
      </c>
      <c r="AG204" s="17">
        <v>2011</v>
      </c>
      <c r="AH204" s="17" t="s">
        <v>91</v>
      </c>
      <c r="AJ204" s="24" t="s">
        <v>859</v>
      </c>
      <c r="AL204" s="19" t="s">
        <v>94</v>
      </c>
      <c r="AM204" s="19">
        <v>0.05</v>
      </c>
      <c r="AN204" s="19" t="s">
        <v>89</v>
      </c>
      <c r="AO204">
        <f t="shared" si="26"/>
        <v>1</v>
      </c>
      <c r="AP204">
        <f t="shared" si="27"/>
        <v>60.25</v>
      </c>
      <c r="AR204">
        <f t="shared" si="28"/>
        <v>180.48780487804879</v>
      </c>
    </row>
    <row r="205" spans="1:44">
      <c r="A205" t="s">
        <v>863</v>
      </c>
      <c r="B205">
        <v>203</v>
      </c>
      <c r="C205" s="16" t="s">
        <v>864</v>
      </c>
      <c r="D205" s="16" t="s">
        <v>864</v>
      </c>
      <c r="E205" s="16" t="s">
        <v>556</v>
      </c>
      <c r="H205" s="16" t="s">
        <v>85</v>
      </c>
      <c r="I205" s="16" t="s">
        <v>865</v>
      </c>
      <c r="J205" s="16" t="s">
        <v>87</v>
      </c>
      <c r="K205" s="16" t="s">
        <v>88</v>
      </c>
      <c r="L205" s="17">
        <v>300</v>
      </c>
      <c r="M205" s="17">
        <v>80</v>
      </c>
      <c r="N205" s="17" t="s">
        <v>89</v>
      </c>
      <c r="O205" s="17" t="s">
        <v>89</v>
      </c>
      <c r="P205" s="16">
        <v>4.2</v>
      </c>
      <c r="Q205" s="16">
        <v>4.2</v>
      </c>
      <c r="R205" s="16">
        <v>3.7</v>
      </c>
      <c r="S205" s="16">
        <v>2.75</v>
      </c>
      <c r="T205" s="16">
        <v>0.84</v>
      </c>
      <c r="U205" s="16">
        <v>4.2</v>
      </c>
      <c r="V205" s="18">
        <v>0.2</v>
      </c>
      <c r="W205" s="16">
        <v>78</v>
      </c>
      <c r="X205" s="16">
        <v>45.5625</v>
      </c>
      <c r="Y205" s="16">
        <v>4.2</v>
      </c>
      <c r="Z205" s="16">
        <v>0.84</v>
      </c>
      <c r="AA205" s="18">
        <v>0.2</v>
      </c>
      <c r="AB205" s="19" t="s">
        <v>89</v>
      </c>
      <c r="AC205" s="17">
        <v>135</v>
      </c>
      <c r="AD205" s="17">
        <v>7.5</v>
      </c>
      <c r="AE205" s="17">
        <v>45</v>
      </c>
      <c r="AF205" s="21" t="s">
        <v>90</v>
      </c>
      <c r="AG205" s="17">
        <v>2008</v>
      </c>
      <c r="AH205" s="17" t="s">
        <v>91</v>
      </c>
      <c r="AJ205" s="24" t="s">
        <v>866</v>
      </c>
      <c r="AL205" s="19" t="s">
        <v>94</v>
      </c>
      <c r="AM205" s="19">
        <v>0.05</v>
      </c>
      <c r="AN205" s="19" t="s">
        <v>89</v>
      </c>
      <c r="AO205">
        <f t="shared" si="26"/>
        <v>1</v>
      </c>
      <c r="AP205">
        <f t="shared" si="27"/>
        <v>60.25</v>
      </c>
      <c r="AR205">
        <f t="shared" si="28"/>
        <v>199.23076923076925</v>
      </c>
    </row>
    <row r="206" spans="1:44">
      <c r="A206" t="s">
        <v>867</v>
      </c>
      <c r="B206">
        <v>204</v>
      </c>
      <c r="C206" s="16" t="s">
        <v>868</v>
      </c>
      <c r="D206" s="16" t="s">
        <v>868</v>
      </c>
      <c r="E206" s="16" t="s">
        <v>869</v>
      </c>
      <c r="H206" s="16" t="s">
        <v>85</v>
      </c>
      <c r="I206" s="16" t="s">
        <v>870</v>
      </c>
      <c r="J206" s="16" t="s">
        <v>87</v>
      </c>
      <c r="K206" s="16" t="s">
        <v>88</v>
      </c>
      <c r="L206" s="17">
        <v>500</v>
      </c>
      <c r="M206" s="17">
        <v>80</v>
      </c>
      <c r="N206" s="17" t="s">
        <v>89</v>
      </c>
      <c r="O206" s="17" t="s">
        <v>89</v>
      </c>
      <c r="P206" s="16">
        <v>3.8</v>
      </c>
      <c r="Q206" s="16">
        <v>4.2</v>
      </c>
      <c r="R206" s="16">
        <v>3.7</v>
      </c>
      <c r="S206" s="16">
        <v>3</v>
      </c>
      <c r="T206" s="16">
        <v>0.76</v>
      </c>
      <c r="U206" s="16">
        <v>3.8</v>
      </c>
      <c r="V206" s="18">
        <v>0.2</v>
      </c>
      <c r="W206" s="16">
        <v>85</v>
      </c>
      <c r="X206" s="16">
        <v>41.055</v>
      </c>
      <c r="Y206" s="16">
        <v>3.8</v>
      </c>
      <c r="Z206" s="16">
        <v>1.9</v>
      </c>
      <c r="AA206" s="18">
        <v>0.2</v>
      </c>
      <c r="AB206" s="19" t="s">
        <v>89</v>
      </c>
      <c r="AC206" s="17">
        <v>138</v>
      </c>
      <c r="AD206" s="17">
        <v>8.5</v>
      </c>
      <c r="AE206" s="17">
        <v>35</v>
      </c>
      <c r="AF206" s="21" t="s">
        <v>90</v>
      </c>
      <c r="AG206" s="17">
        <v>2008</v>
      </c>
      <c r="AI206" s="17" t="s">
        <v>91</v>
      </c>
      <c r="AJ206" s="24" t="s">
        <v>871</v>
      </c>
      <c r="AL206" s="19" t="s">
        <v>94</v>
      </c>
      <c r="AM206" s="19" t="s">
        <v>89</v>
      </c>
      <c r="AN206" s="19" t="s">
        <v>89</v>
      </c>
      <c r="AO206">
        <f t="shared" si="26"/>
        <v>1</v>
      </c>
      <c r="AP206">
        <f t="shared" si="27"/>
        <v>60.25</v>
      </c>
      <c r="AR206">
        <f t="shared" si="28"/>
        <v>165.41176470588235</v>
      </c>
    </row>
    <row r="207" spans="1:44">
      <c r="A207" t="s">
        <v>872</v>
      </c>
      <c r="B207">
        <v>205</v>
      </c>
      <c r="C207" s="16" t="s">
        <v>873</v>
      </c>
      <c r="D207" s="16" t="s">
        <v>873</v>
      </c>
      <c r="E207" s="16" t="s">
        <v>869</v>
      </c>
      <c r="H207" s="16" t="s">
        <v>85</v>
      </c>
      <c r="I207" s="16" t="s">
        <v>874</v>
      </c>
      <c r="J207" s="16" t="s">
        <v>87</v>
      </c>
      <c r="K207" s="16" t="s">
        <v>88</v>
      </c>
      <c r="L207" s="17">
        <v>500</v>
      </c>
      <c r="M207" s="17">
        <v>80</v>
      </c>
      <c r="N207" s="17" t="s">
        <v>89</v>
      </c>
      <c r="O207" s="17" t="s">
        <v>89</v>
      </c>
      <c r="P207" s="16">
        <v>4.4000000000000004</v>
      </c>
      <c r="Q207" s="16">
        <v>4.2</v>
      </c>
      <c r="R207" s="16">
        <v>3.7</v>
      </c>
      <c r="S207" s="16">
        <v>3</v>
      </c>
      <c r="T207" s="16">
        <v>0.88</v>
      </c>
      <c r="U207" s="16">
        <v>4.4000000000000004</v>
      </c>
      <c r="V207" s="18">
        <v>0.2</v>
      </c>
      <c r="W207" s="16">
        <v>95</v>
      </c>
      <c r="X207" s="16">
        <v>48.6</v>
      </c>
      <c r="Y207" s="16">
        <v>4.4000000000000004</v>
      </c>
      <c r="Z207" s="16">
        <v>2.2000000000000002</v>
      </c>
      <c r="AA207" s="18">
        <v>0.2</v>
      </c>
      <c r="AB207" s="19" t="s">
        <v>89</v>
      </c>
      <c r="AC207" s="17">
        <v>135</v>
      </c>
      <c r="AD207" s="17">
        <v>8</v>
      </c>
      <c r="AE207" s="17">
        <v>45</v>
      </c>
      <c r="AF207" s="21" t="s">
        <v>90</v>
      </c>
      <c r="AG207" s="17">
        <v>2008</v>
      </c>
      <c r="AI207" s="17" t="s">
        <v>91</v>
      </c>
      <c r="AJ207" s="24" t="s">
        <v>871</v>
      </c>
      <c r="AL207" s="19" t="s">
        <v>94</v>
      </c>
      <c r="AM207" s="19" t="s">
        <v>89</v>
      </c>
      <c r="AN207" s="19" t="s">
        <v>89</v>
      </c>
      <c r="AO207">
        <f t="shared" si="26"/>
        <v>1</v>
      </c>
      <c r="AP207">
        <f t="shared" si="27"/>
        <v>60.25</v>
      </c>
      <c r="AR207">
        <f t="shared" si="28"/>
        <v>171.36842105263159</v>
      </c>
    </row>
    <row r="208" spans="1:44">
      <c r="A208" t="s">
        <v>875</v>
      </c>
      <c r="B208">
        <v>206</v>
      </c>
      <c r="C208" s="16" t="s">
        <v>876</v>
      </c>
      <c r="D208" s="16" t="s">
        <v>876</v>
      </c>
      <c r="E208" s="16" t="s">
        <v>869</v>
      </c>
      <c r="H208" s="16" t="s">
        <v>85</v>
      </c>
      <c r="I208" s="16" t="s">
        <v>877</v>
      </c>
      <c r="J208" s="16" t="s">
        <v>87</v>
      </c>
      <c r="K208" s="16" t="s">
        <v>88</v>
      </c>
      <c r="L208" s="17">
        <v>500</v>
      </c>
      <c r="M208" s="17">
        <v>80</v>
      </c>
      <c r="N208" s="17" t="s">
        <v>89</v>
      </c>
      <c r="O208" s="17" t="s">
        <v>89</v>
      </c>
      <c r="P208" s="16">
        <v>4.75</v>
      </c>
      <c r="Q208" s="16">
        <v>4.2</v>
      </c>
      <c r="R208" s="16">
        <v>3.7</v>
      </c>
      <c r="S208" s="16">
        <v>3</v>
      </c>
      <c r="T208" s="16">
        <v>0.95</v>
      </c>
      <c r="U208" s="16">
        <v>4.75</v>
      </c>
      <c r="V208" s="18">
        <v>0.2</v>
      </c>
      <c r="W208" s="16">
        <v>105</v>
      </c>
      <c r="X208" s="16">
        <v>54.674999999999997</v>
      </c>
      <c r="Y208" s="16">
        <v>4.75</v>
      </c>
      <c r="Z208" s="16">
        <v>2.375</v>
      </c>
      <c r="AA208" s="18">
        <v>0.2</v>
      </c>
      <c r="AB208" s="19" t="s">
        <v>89</v>
      </c>
      <c r="AC208" s="17">
        <v>135</v>
      </c>
      <c r="AD208" s="17">
        <v>9</v>
      </c>
      <c r="AE208" s="17">
        <v>45</v>
      </c>
      <c r="AF208" s="21" t="s">
        <v>90</v>
      </c>
      <c r="AG208" s="17">
        <v>2008</v>
      </c>
      <c r="AI208" s="17" t="s">
        <v>91</v>
      </c>
      <c r="AJ208" s="24" t="s">
        <v>871</v>
      </c>
      <c r="AL208" s="19" t="s">
        <v>94</v>
      </c>
      <c r="AM208" s="19" t="s">
        <v>89</v>
      </c>
      <c r="AN208" s="19" t="s">
        <v>89</v>
      </c>
      <c r="AO208">
        <f t="shared" si="26"/>
        <v>1</v>
      </c>
      <c r="AP208">
        <f t="shared" si="27"/>
        <v>60.25</v>
      </c>
      <c r="AR208">
        <f t="shared" si="28"/>
        <v>167.38095238095238</v>
      </c>
    </row>
    <row r="209" spans="1:44">
      <c r="A209" t="s">
        <v>878</v>
      </c>
      <c r="B209">
        <v>207</v>
      </c>
      <c r="C209" s="16" t="s">
        <v>879</v>
      </c>
      <c r="D209" s="16" t="s">
        <v>879</v>
      </c>
      <c r="E209" s="16" t="s">
        <v>869</v>
      </c>
      <c r="H209" s="16" t="s">
        <v>85</v>
      </c>
      <c r="I209" s="16" t="s">
        <v>880</v>
      </c>
      <c r="J209" s="16" t="s">
        <v>87</v>
      </c>
      <c r="K209" s="16" t="s">
        <v>88</v>
      </c>
      <c r="L209" s="17">
        <v>300</v>
      </c>
      <c r="M209" s="17">
        <v>80</v>
      </c>
      <c r="N209" s="17" t="s">
        <v>89</v>
      </c>
      <c r="O209" s="17" t="s">
        <v>89</v>
      </c>
      <c r="P209" s="16">
        <v>3.8</v>
      </c>
      <c r="Q209" s="16">
        <v>4.2</v>
      </c>
      <c r="R209" s="16">
        <v>3.7</v>
      </c>
      <c r="S209" s="16">
        <v>3</v>
      </c>
      <c r="T209" s="16">
        <v>0.76</v>
      </c>
      <c r="U209" s="16">
        <v>3.8</v>
      </c>
      <c r="V209" s="18">
        <v>0.2</v>
      </c>
      <c r="W209" s="16">
        <v>85</v>
      </c>
      <c r="X209" s="16">
        <v>41.405000000000001</v>
      </c>
      <c r="Y209" s="16">
        <v>3.8</v>
      </c>
      <c r="Z209" s="16">
        <v>1.9</v>
      </c>
      <c r="AA209" s="18">
        <v>0.2</v>
      </c>
      <c r="AB209" s="19" t="s">
        <v>89</v>
      </c>
      <c r="AC209" s="17">
        <v>169</v>
      </c>
      <c r="AD209" s="17">
        <v>5</v>
      </c>
      <c r="AE209" s="17">
        <v>49</v>
      </c>
      <c r="AF209" s="21" t="s">
        <v>90</v>
      </c>
      <c r="AG209" s="17">
        <v>2008</v>
      </c>
      <c r="AI209" s="17" t="s">
        <v>91</v>
      </c>
      <c r="AJ209" s="24" t="s">
        <v>881</v>
      </c>
      <c r="AL209" s="19" t="s">
        <v>94</v>
      </c>
      <c r="AM209" s="19" t="s">
        <v>89</v>
      </c>
      <c r="AN209" s="19" t="s">
        <v>89</v>
      </c>
      <c r="AO209">
        <f t="shared" si="26"/>
        <v>1</v>
      </c>
      <c r="AP209">
        <f t="shared" si="27"/>
        <v>60.25</v>
      </c>
      <c r="AR209">
        <f t="shared" si="28"/>
        <v>165.41176470588235</v>
      </c>
    </row>
    <row r="210" spans="1:44">
      <c r="A210" t="s">
        <v>882</v>
      </c>
      <c r="B210">
        <v>208</v>
      </c>
      <c r="C210" s="16" t="s">
        <v>883</v>
      </c>
      <c r="D210" s="16" t="s">
        <v>883</v>
      </c>
      <c r="E210" s="16" t="s">
        <v>869</v>
      </c>
      <c r="H210" s="16" t="s">
        <v>85</v>
      </c>
      <c r="I210" s="16" t="s">
        <v>884</v>
      </c>
      <c r="J210" s="16" t="s">
        <v>87</v>
      </c>
      <c r="K210" s="16" t="s">
        <v>88</v>
      </c>
      <c r="L210" s="17">
        <v>300</v>
      </c>
      <c r="M210" s="17">
        <v>80</v>
      </c>
      <c r="N210" s="17" t="s">
        <v>89</v>
      </c>
      <c r="O210" s="17" t="s">
        <v>89</v>
      </c>
      <c r="P210" s="16">
        <v>4.2</v>
      </c>
      <c r="Q210" s="16">
        <v>4.2</v>
      </c>
      <c r="R210" s="16">
        <v>3.7</v>
      </c>
      <c r="S210" s="16">
        <v>3</v>
      </c>
      <c r="T210" s="16">
        <v>0.84</v>
      </c>
      <c r="U210" s="16">
        <v>4.2</v>
      </c>
      <c r="V210" s="18">
        <v>0.2</v>
      </c>
      <c r="W210" s="16">
        <v>100</v>
      </c>
      <c r="X210" s="16">
        <v>49.686</v>
      </c>
      <c r="Y210" s="16">
        <v>4.2</v>
      </c>
      <c r="Z210" s="16">
        <v>2.1</v>
      </c>
      <c r="AA210" s="18">
        <v>0.2</v>
      </c>
      <c r="AB210" s="19" t="s">
        <v>89</v>
      </c>
      <c r="AC210" s="17">
        <v>169</v>
      </c>
      <c r="AD210" s="17">
        <v>6</v>
      </c>
      <c r="AE210" s="17">
        <v>49</v>
      </c>
      <c r="AF210" s="21" t="s">
        <v>90</v>
      </c>
      <c r="AG210" s="17">
        <v>2008</v>
      </c>
      <c r="AI210" s="17" t="s">
        <v>91</v>
      </c>
      <c r="AJ210" s="24" t="s">
        <v>881</v>
      </c>
      <c r="AL210" s="19" t="s">
        <v>94</v>
      </c>
      <c r="AM210" s="19" t="s">
        <v>89</v>
      </c>
      <c r="AN210" s="19" t="s">
        <v>89</v>
      </c>
      <c r="AO210">
        <f t="shared" si="26"/>
        <v>1</v>
      </c>
      <c r="AP210">
        <f t="shared" si="27"/>
        <v>60.25</v>
      </c>
      <c r="AR210">
        <f t="shared" si="28"/>
        <v>155.4</v>
      </c>
    </row>
    <row r="211" spans="1:44">
      <c r="A211" t="s">
        <v>885</v>
      </c>
      <c r="B211">
        <v>209</v>
      </c>
      <c r="C211" s="16" t="s">
        <v>886</v>
      </c>
      <c r="D211" s="16" t="s">
        <v>886</v>
      </c>
      <c r="E211" s="16" t="s">
        <v>869</v>
      </c>
      <c r="H211" s="16" t="s">
        <v>85</v>
      </c>
      <c r="I211" s="16" t="s">
        <v>887</v>
      </c>
      <c r="J211" s="16" t="s">
        <v>87</v>
      </c>
      <c r="K211" s="16" t="s">
        <v>88</v>
      </c>
      <c r="L211" s="17">
        <v>300</v>
      </c>
      <c r="M211" s="17">
        <v>80</v>
      </c>
      <c r="N211" s="17" t="s">
        <v>89</v>
      </c>
      <c r="O211" s="17" t="s">
        <v>89</v>
      </c>
      <c r="P211" s="16">
        <v>5.5</v>
      </c>
      <c r="Q211" s="16">
        <v>4.2</v>
      </c>
      <c r="R211" s="16">
        <v>3.7</v>
      </c>
      <c r="S211" s="16">
        <v>3</v>
      </c>
      <c r="T211" s="16">
        <v>1.1000000000000001</v>
      </c>
      <c r="U211" s="16">
        <v>5.5</v>
      </c>
      <c r="V211" s="18">
        <v>0.2</v>
      </c>
      <c r="W211" s="16">
        <v>113</v>
      </c>
      <c r="X211" s="16">
        <v>62.935600000000001</v>
      </c>
      <c r="Y211" s="16">
        <v>5.5</v>
      </c>
      <c r="Z211" s="16">
        <v>2.75</v>
      </c>
      <c r="AA211" s="18">
        <v>0.2</v>
      </c>
      <c r="AB211" s="19" t="s">
        <v>89</v>
      </c>
      <c r="AC211" s="17">
        <v>169</v>
      </c>
      <c r="AD211" s="17">
        <v>7.6</v>
      </c>
      <c r="AE211" s="17">
        <v>49</v>
      </c>
      <c r="AF211" s="21" t="s">
        <v>90</v>
      </c>
      <c r="AG211" s="17">
        <v>2008</v>
      </c>
      <c r="AI211" s="17" t="s">
        <v>91</v>
      </c>
      <c r="AJ211" s="24" t="s">
        <v>881</v>
      </c>
      <c r="AL211" s="19" t="s">
        <v>94</v>
      </c>
      <c r="AM211" s="19" t="s">
        <v>89</v>
      </c>
      <c r="AN211" s="19" t="s">
        <v>89</v>
      </c>
      <c r="AO211">
        <f t="shared" si="26"/>
        <v>1</v>
      </c>
      <c r="AP211">
        <f t="shared" si="27"/>
        <v>60.25</v>
      </c>
      <c r="AR211">
        <f t="shared" si="28"/>
        <v>180.08849557522126</v>
      </c>
    </row>
    <row r="212" spans="1:44">
      <c r="A212" t="s">
        <v>888</v>
      </c>
      <c r="B212">
        <v>210</v>
      </c>
      <c r="C212" s="16" t="s">
        <v>889</v>
      </c>
      <c r="D212" s="16" t="s">
        <v>889</v>
      </c>
      <c r="E212" s="16" t="s">
        <v>670</v>
      </c>
      <c r="F212" s="16" t="s">
        <v>83</v>
      </c>
      <c r="G212" s="16" t="s">
        <v>305</v>
      </c>
      <c r="H212" s="16" t="s">
        <v>266</v>
      </c>
      <c r="I212" s="16" t="s">
        <v>890</v>
      </c>
      <c r="J212" s="16" t="s">
        <v>87</v>
      </c>
      <c r="K212" s="16" t="s">
        <v>268</v>
      </c>
      <c r="L212" s="17">
        <v>2000</v>
      </c>
      <c r="M212" s="17">
        <v>80</v>
      </c>
      <c r="N212" s="16">
        <v>175</v>
      </c>
      <c r="O212" s="16">
        <v>74</v>
      </c>
      <c r="P212" s="16">
        <v>12</v>
      </c>
      <c r="Q212" s="16">
        <v>4.0999999999999996</v>
      </c>
      <c r="R212" s="16">
        <v>3.6</v>
      </c>
      <c r="S212" s="16">
        <v>2.75</v>
      </c>
      <c r="T212" s="16">
        <v>12</v>
      </c>
      <c r="U212" s="16">
        <v>1500</v>
      </c>
      <c r="V212" s="18" t="s">
        <v>89</v>
      </c>
      <c r="W212" s="16">
        <v>640</v>
      </c>
      <c r="X212" s="16">
        <v>270</v>
      </c>
      <c r="Y212" s="16">
        <v>180</v>
      </c>
      <c r="Z212" s="16">
        <v>12</v>
      </c>
      <c r="AA212" s="18" t="s">
        <v>89</v>
      </c>
      <c r="AB212" s="19" t="s">
        <v>89</v>
      </c>
      <c r="AC212" s="17" t="s">
        <v>90</v>
      </c>
      <c r="AD212" s="17">
        <v>173</v>
      </c>
      <c r="AF212" s="17">
        <v>47</v>
      </c>
      <c r="AG212" s="17">
        <v>2007</v>
      </c>
      <c r="AH212" s="17" t="s">
        <v>91</v>
      </c>
      <c r="AJ212" s="24" t="s">
        <v>891</v>
      </c>
      <c r="AL212" s="19" t="s">
        <v>94</v>
      </c>
      <c r="AM212" s="19">
        <v>0.01</v>
      </c>
      <c r="AN212" s="23">
        <v>1</v>
      </c>
      <c r="AO212">
        <f t="shared" si="26"/>
        <v>3</v>
      </c>
      <c r="AP212">
        <f t="shared" si="27"/>
        <v>64.69</v>
      </c>
      <c r="AR212">
        <f t="shared" si="28"/>
        <v>67.5</v>
      </c>
    </row>
    <row r="213" spans="1:44">
      <c r="A213" t="s">
        <v>892</v>
      </c>
      <c r="B213">
        <v>211</v>
      </c>
      <c r="C213" s="16" t="s">
        <v>893</v>
      </c>
      <c r="D213" s="16" t="s">
        <v>893</v>
      </c>
      <c r="E213" s="16" t="s">
        <v>670</v>
      </c>
      <c r="F213" s="16" t="s">
        <v>83</v>
      </c>
      <c r="G213" s="16" t="s">
        <v>305</v>
      </c>
      <c r="H213" s="16" t="s">
        <v>266</v>
      </c>
      <c r="I213" s="16" t="s">
        <v>894</v>
      </c>
      <c r="J213" s="16" t="s">
        <v>87</v>
      </c>
      <c r="K213" s="16" t="s">
        <v>268</v>
      </c>
      <c r="L213" s="17">
        <v>500</v>
      </c>
      <c r="M213" s="17">
        <v>70</v>
      </c>
      <c r="N213" s="16">
        <v>380</v>
      </c>
      <c r="O213" s="16">
        <v>160</v>
      </c>
      <c r="P213" s="16">
        <v>4.4000000000000004</v>
      </c>
      <c r="Q213" s="16">
        <v>4.2</v>
      </c>
      <c r="R213" s="16">
        <v>3.7</v>
      </c>
      <c r="S213" s="16">
        <v>2.5</v>
      </c>
      <c r="T213" s="16">
        <v>0.9</v>
      </c>
      <c r="U213" s="16">
        <v>8.8000000000000007</v>
      </c>
      <c r="V213" s="18" t="s">
        <v>89</v>
      </c>
      <c r="W213" s="16">
        <v>103</v>
      </c>
      <c r="X213" s="16">
        <v>45.828200000000002</v>
      </c>
      <c r="Y213" s="16">
        <v>4.4000000000000004</v>
      </c>
      <c r="Z213" s="16">
        <v>1.1000000000000001</v>
      </c>
      <c r="AA213" s="18" t="s">
        <v>89</v>
      </c>
      <c r="AB213" s="19" t="s">
        <v>89</v>
      </c>
      <c r="AC213" s="17" t="s">
        <v>90</v>
      </c>
      <c r="AD213" s="17">
        <v>50.8</v>
      </c>
      <c r="AF213" s="17">
        <v>33.9</v>
      </c>
      <c r="AG213" s="17">
        <v>2007</v>
      </c>
      <c r="AH213" s="17" t="s">
        <v>91</v>
      </c>
      <c r="AJ213" s="24" t="s">
        <v>895</v>
      </c>
      <c r="AL213" s="19" t="s">
        <v>94</v>
      </c>
      <c r="AM213" s="19" t="s">
        <v>89</v>
      </c>
      <c r="AN213" s="23">
        <v>1</v>
      </c>
      <c r="AO213">
        <f t="shared" si="26"/>
        <v>3</v>
      </c>
      <c r="AP213">
        <f t="shared" si="27"/>
        <v>64.69</v>
      </c>
      <c r="AR213">
        <f t="shared" si="28"/>
        <v>158.0582524271845</v>
      </c>
    </row>
    <row r="214" spans="1:44">
      <c r="A214" t="s">
        <v>896</v>
      </c>
      <c r="B214">
        <v>212</v>
      </c>
      <c r="C214" s="16" t="s">
        <v>897</v>
      </c>
      <c r="D214" s="16" t="s">
        <v>897</v>
      </c>
      <c r="E214" s="16" t="s">
        <v>670</v>
      </c>
      <c r="F214" s="16" t="s">
        <v>83</v>
      </c>
      <c r="G214" s="16" t="s">
        <v>305</v>
      </c>
      <c r="H214" s="16" t="s">
        <v>266</v>
      </c>
      <c r="I214" s="16" t="s">
        <v>898</v>
      </c>
      <c r="J214" s="16" t="s">
        <v>87</v>
      </c>
      <c r="K214" s="16" t="s">
        <v>268</v>
      </c>
      <c r="L214" s="17">
        <v>500</v>
      </c>
      <c r="M214" s="17">
        <v>70</v>
      </c>
      <c r="N214" s="16">
        <v>385</v>
      </c>
      <c r="O214" s="16">
        <v>175</v>
      </c>
      <c r="P214" s="16">
        <v>7</v>
      </c>
      <c r="Q214" s="16">
        <v>4.2</v>
      </c>
      <c r="R214" s="16">
        <v>3.7</v>
      </c>
      <c r="S214" s="16">
        <v>2.5</v>
      </c>
      <c r="T214" s="16">
        <v>1.4</v>
      </c>
      <c r="U214" s="16">
        <v>14</v>
      </c>
      <c r="V214" s="18" t="s">
        <v>89</v>
      </c>
      <c r="W214" s="16">
        <v>149</v>
      </c>
      <c r="X214" s="16">
        <v>65.332599999999999</v>
      </c>
      <c r="Y214" s="16">
        <v>7</v>
      </c>
      <c r="Z214" s="16">
        <v>1.4</v>
      </c>
      <c r="AA214" s="18" t="s">
        <v>89</v>
      </c>
      <c r="AB214" s="19" t="s">
        <v>89</v>
      </c>
      <c r="AC214" s="17" t="s">
        <v>90</v>
      </c>
      <c r="AD214" s="17">
        <v>59.5</v>
      </c>
      <c r="AF214" s="17">
        <v>37.4</v>
      </c>
      <c r="AG214" s="17">
        <v>2007</v>
      </c>
      <c r="AH214" s="17" t="s">
        <v>91</v>
      </c>
      <c r="AJ214" s="24" t="s">
        <v>895</v>
      </c>
      <c r="AL214" s="19" t="s">
        <v>94</v>
      </c>
      <c r="AM214" s="19" t="s">
        <v>89</v>
      </c>
      <c r="AN214" s="23">
        <v>1</v>
      </c>
      <c r="AO214">
        <f t="shared" si="26"/>
        <v>3</v>
      </c>
      <c r="AP214">
        <f t="shared" si="27"/>
        <v>64.69</v>
      </c>
      <c r="AR214">
        <f t="shared" si="28"/>
        <v>173.82550335570471</v>
      </c>
    </row>
    <row r="215" spans="1:44">
      <c r="A215" t="s">
        <v>899</v>
      </c>
      <c r="B215">
        <v>213</v>
      </c>
      <c r="C215" s="16" t="s">
        <v>900</v>
      </c>
      <c r="D215" s="16" t="s">
        <v>900</v>
      </c>
      <c r="E215" s="16" t="s">
        <v>901</v>
      </c>
      <c r="H215" s="16" t="s">
        <v>266</v>
      </c>
      <c r="I215" s="16" t="s">
        <v>902</v>
      </c>
      <c r="J215" s="16" t="s">
        <v>87</v>
      </c>
      <c r="K215" s="16" t="s">
        <v>268</v>
      </c>
      <c r="L215" s="17">
        <v>600</v>
      </c>
      <c r="M215" s="17">
        <v>80</v>
      </c>
      <c r="N215" s="17" t="s">
        <v>89</v>
      </c>
      <c r="O215" s="17" t="s">
        <v>89</v>
      </c>
      <c r="P215" s="16">
        <v>6</v>
      </c>
      <c r="Q215" s="16">
        <v>4.2</v>
      </c>
      <c r="R215" s="16">
        <v>3.7</v>
      </c>
      <c r="S215" s="16">
        <v>2.75</v>
      </c>
      <c r="T215" s="16">
        <v>3</v>
      </c>
      <c r="U215" s="16">
        <v>6</v>
      </c>
      <c r="V215" s="18">
        <v>0.2</v>
      </c>
      <c r="W215" s="16">
        <v>140</v>
      </c>
      <c r="X215" s="16">
        <v>52.249600000000001</v>
      </c>
      <c r="Y215" s="16">
        <v>3</v>
      </c>
      <c r="Z215" s="16">
        <v>1.2</v>
      </c>
      <c r="AA215" s="18">
        <v>0.2</v>
      </c>
      <c r="AB215" s="19" t="s">
        <v>89</v>
      </c>
      <c r="AC215" s="17" t="s">
        <v>90</v>
      </c>
      <c r="AD215" s="17">
        <v>66.5</v>
      </c>
      <c r="AF215" s="17">
        <v>32.5</v>
      </c>
      <c r="AG215" s="17">
        <v>2018</v>
      </c>
      <c r="AH215" s="17" t="s">
        <v>91</v>
      </c>
      <c r="AJ215" s="24" t="s">
        <v>363</v>
      </c>
      <c r="AL215" s="19" t="s">
        <v>94</v>
      </c>
      <c r="AM215" s="19" t="s">
        <v>89</v>
      </c>
      <c r="AN215" s="23">
        <v>1</v>
      </c>
      <c r="AO215">
        <f t="shared" si="26"/>
        <v>3</v>
      </c>
      <c r="AP215">
        <f t="shared" si="27"/>
        <v>64.69</v>
      </c>
      <c r="AR215">
        <f t="shared" si="28"/>
        <v>158.57142857142858</v>
      </c>
    </row>
    <row r="216" spans="1:44">
      <c r="A216" t="s">
        <v>903</v>
      </c>
      <c r="B216">
        <v>214</v>
      </c>
      <c r="C216" s="16" t="s">
        <v>904</v>
      </c>
      <c r="D216" s="16" t="s">
        <v>904</v>
      </c>
      <c r="E216" s="16" t="s">
        <v>670</v>
      </c>
      <c r="F216" s="16" t="s">
        <v>83</v>
      </c>
      <c r="G216" s="16" t="s">
        <v>305</v>
      </c>
      <c r="H216" s="16" t="s">
        <v>266</v>
      </c>
      <c r="I216" s="16" t="s">
        <v>905</v>
      </c>
      <c r="J216" s="16" t="s">
        <v>87</v>
      </c>
      <c r="K216" s="16" t="s">
        <v>268</v>
      </c>
      <c r="L216" s="17">
        <v>2000</v>
      </c>
      <c r="M216" s="17">
        <v>80</v>
      </c>
      <c r="N216" s="16">
        <v>100</v>
      </c>
      <c r="O216" s="16">
        <v>50</v>
      </c>
      <c r="P216" s="16">
        <v>4.4000000000000004</v>
      </c>
      <c r="Q216" s="16">
        <v>4.0999999999999996</v>
      </c>
      <c r="R216" s="16">
        <v>3.6</v>
      </c>
      <c r="S216" s="16">
        <v>2.5</v>
      </c>
      <c r="T216" s="16">
        <v>4.4000000000000004</v>
      </c>
      <c r="U216" s="16">
        <v>500</v>
      </c>
      <c r="V216" s="18">
        <v>1</v>
      </c>
      <c r="W216" s="16">
        <v>320</v>
      </c>
      <c r="X216" s="16">
        <v>161.04660000000001</v>
      </c>
      <c r="Y216" s="16">
        <v>66</v>
      </c>
      <c r="Z216" s="16">
        <v>4.4000000000000004</v>
      </c>
      <c r="AA216" s="18">
        <v>1</v>
      </c>
      <c r="AB216" s="19" t="s">
        <v>89</v>
      </c>
      <c r="AC216" s="17" t="s">
        <v>90</v>
      </c>
      <c r="AD216" s="17">
        <v>175.4</v>
      </c>
      <c r="AF216" s="17">
        <v>34.200000000000003</v>
      </c>
      <c r="AG216" s="17">
        <v>2007</v>
      </c>
      <c r="AH216" s="17" t="s">
        <v>91</v>
      </c>
      <c r="AJ216" s="24" t="s">
        <v>906</v>
      </c>
      <c r="AL216" s="19" t="s">
        <v>94</v>
      </c>
      <c r="AM216" s="19">
        <v>0.01</v>
      </c>
      <c r="AN216" s="23">
        <v>1</v>
      </c>
      <c r="AO216">
        <f t="shared" si="26"/>
        <v>3</v>
      </c>
      <c r="AP216">
        <f t="shared" si="27"/>
        <v>64.69</v>
      </c>
      <c r="AR216">
        <f t="shared" si="28"/>
        <v>49.500000000000007</v>
      </c>
    </row>
    <row r="217" spans="1:44">
      <c r="A217" t="s">
        <v>907</v>
      </c>
      <c r="B217">
        <v>215</v>
      </c>
      <c r="C217" s="16" t="s">
        <v>908</v>
      </c>
      <c r="D217" s="16" t="s">
        <v>908</v>
      </c>
      <c r="E217" s="16" t="s">
        <v>670</v>
      </c>
      <c r="F217" s="16" t="s">
        <v>83</v>
      </c>
      <c r="G217" s="16" t="s">
        <v>305</v>
      </c>
      <c r="H217" s="16" t="s">
        <v>266</v>
      </c>
      <c r="I217" s="16" t="s">
        <v>909</v>
      </c>
      <c r="J217" s="16" t="s">
        <v>87</v>
      </c>
      <c r="K217" s="16" t="s">
        <v>268</v>
      </c>
      <c r="L217" s="17">
        <v>5000</v>
      </c>
      <c r="M217" s="17">
        <v>80</v>
      </c>
      <c r="N217" s="17" t="s">
        <v>89</v>
      </c>
      <c r="O217" s="17" t="s">
        <v>89</v>
      </c>
      <c r="P217" s="16">
        <v>6</v>
      </c>
      <c r="Q217" s="16">
        <v>4.0999999999999996</v>
      </c>
      <c r="R217" s="16">
        <v>3.65</v>
      </c>
      <c r="S217" s="16">
        <v>2</v>
      </c>
      <c r="T217" s="16">
        <v>12</v>
      </c>
      <c r="U217" s="16">
        <v>750</v>
      </c>
      <c r="V217" s="18" t="s">
        <v>89</v>
      </c>
      <c r="W217" s="16">
        <v>340</v>
      </c>
      <c r="X217" s="16">
        <v>158.66810000000001</v>
      </c>
      <c r="Y217" s="16">
        <v>90</v>
      </c>
      <c r="Z217" s="16">
        <v>6</v>
      </c>
      <c r="AA217" s="18" t="s">
        <v>89</v>
      </c>
      <c r="AB217" s="19" t="s">
        <v>89</v>
      </c>
      <c r="AC217" s="17" t="s">
        <v>90</v>
      </c>
      <c r="AD217" s="17">
        <v>165</v>
      </c>
      <c r="AF217" s="17">
        <v>35</v>
      </c>
      <c r="AG217" s="17">
        <v>2007</v>
      </c>
      <c r="AH217" s="17" t="s">
        <v>91</v>
      </c>
      <c r="AJ217" s="24" t="s">
        <v>910</v>
      </c>
      <c r="AL217" s="19" t="s">
        <v>94</v>
      </c>
      <c r="AM217" s="19">
        <v>0.01</v>
      </c>
      <c r="AN217" s="23">
        <v>1</v>
      </c>
      <c r="AO217">
        <f t="shared" si="26"/>
        <v>3</v>
      </c>
      <c r="AP217">
        <f t="shared" si="27"/>
        <v>64.69</v>
      </c>
      <c r="AR217">
        <f t="shared" si="28"/>
        <v>64.411764705882348</v>
      </c>
    </row>
    <row r="218" spans="1:44">
      <c r="A218" t="s">
        <v>911</v>
      </c>
      <c r="B218">
        <v>216</v>
      </c>
      <c r="C218" s="16" t="s">
        <v>912</v>
      </c>
      <c r="D218" s="16" t="s">
        <v>912</v>
      </c>
      <c r="E218" s="16" t="s">
        <v>670</v>
      </c>
      <c r="F218" s="16" t="s">
        <v>83</v>
      </c>
      <c r="G218" s="16" t="s">
        <v>305</v>
      </c>
      <c r="H218" s="16" t="s">
        <v>266</v>
      </c>
      <c r="I218" s="16" t="s">
        <v>913</v>
      </c>
      <c r="J218" s="16" t="s">
        <v>87</v>
      </c>
      <c r="K218" s="16" t="s">
        <v>268</v>
      </c>
      <c r="L218" s="17">
        <v>2000</v>
      </c>
      <c r="M218" s="17">
        <v>80</v>
      </c>
      <c r="N218" s="16">
        <v>122</v>
      </c>
      <c r="O218" s="16">
        <v>65</v>
      </c>
      <c r="P218" s="16">
        <v>8.5</v>
      </c>
      <c r="Q218" s="16">
        <v>4.0999999999999996</v>
      </c>
      <c r="R218" s="16">
        <v>3.6</v>
      </c>
      <c r="S218" s="16">
        <v>2.5</v>
      </c>
      <c r="T218" s="16">
        <v>8.5</v>
      </c>
      <c r="U218" s="16">
        <v>1000</v>
      </c>
      <c r="V218" s="18" t="s">
        <v>89</v>
      </c>
      <c r="W218" s="16">
        <v>470</v>
      </c>
      <c r="X218" s="16">
        <v>252.02269999999999</v>
      </c>
      <c r="Y218" s="16">
        <v>127.5</v>
      </c>
      <c r="Z218" s="16">
        <v>8.5</v>
      </c>
      <c r="AA218" s="18" t="s">
        <v>89</v>
      </c>
      <c r="AB218" s="19" t="s">
        <v>89</v>
      </c>
      <c r="AC218" s="17" t="s">
        <v>90</v>
      </c>
      <c r="AD218" s="17">
        <v>182</v>
      </c>
      <c r="AF218" s="17">
        <v>42</v>
      </c>
      <c r="AG218" s="17">
        <v>2007</v>
      </c>
      <c r="AH218" s="17" t="s">
        <v>91</v>
      </c>
      <c r="AJ218" s="24" t="s">
        <v>906</v>
      </c>
      <c r="AL218" s="19" t="s">
        <v>94</v>
      </c>
      <c r="AM218" s="19">
        <v>0.01</v>
      </c>
      <c r="AN218" s="23">
        <v>1</v>
      </c>
      <c r="AO218">
        <f t="shared" si="26"/>
        <v>3</v>
      </c>
      <c r="AP218">
        <f t="shared" si="27"/>
        <v>64.69</v>
      </c>
      <c r="AR218">
        <f t="shared" si="28"/>
        <v>65.106382978723417</v>
      </c>
    </row>
    <row r="219" spans="1:44">
      <c r="A219" t="s">
        <v>914</v>
      </c>
      <c r="B219">
        <v>217</v>
      </c>
      <c r="C219" s="16" t="s">
        <v>915</v>
      </c>
      <c r="D219" s="16" t="s">
        <v>915</v>
      </c>
      <c r="E219" s="16" t="s">
        <v>916</v>
      </c>
      <c r="H219" s="16" t="s">
        <v>266</v>
      </c>
      <c r="I219" s="16" t="s">
        <v>917</v>
      </c>
      <c r="J219" s="16" t="s">
        <v>87</v>
      </c>
      <c r="K219" s="16" t="s">
        <v>268</v>
      </c>
      <c r="L219" s="17">
        <v>500</v>
      </c>
      <c r="M219" s="17">
        <v>80</v>
      </c>
      <c r="N219" s="16">
        <v>335</v>
      </c>
      <c r="O219" s="16">
        <v>135</v>
      </c>
      <c r="P219" s="16">
        <v>3.5</v>
      </c>
      <c r="Q219" s="16">
        <v>4.2</v>
      </c>
      <c r="R219" s="16">
        <v>3.75</v>
      </c>
      <c r="S219" s="16">
        <v>2.5</v>
      </c>
      <c r="T219" s="16">
        <v>0.7</v>
      </c>
      <c r="U219" s="16">
        <v>15</v>
      </c>
      <c r="V219" s="18">
        <v>2.9</v>
      </c>
      <c r="W219" s="16">
        <v>95</v>
      </c>
      <c r="X219" s="16">
        <v>38.298000000000002</v>
      </c>
      <c r="Y219" s="16">
        <v>3.7</v>
      </c>
      <c r="Z219" s="16">
        <v>0.7</v>
      </c>
      <c r="AA219" s="18">
        <v>2.9</v>
      </c>
      <c r="AB219" s="19" t="s">
        <v>89</v>
      </c>
      <c r="AC219" s="17" t="s">
        <v>90</v>
      </c>
      <c r="AD219" s="17">
        <v>70</v>
      </c>
      <c r="AF219" s="17">
        <v>26.4</v>
      </c>
      <c r="AG219" s="17">
        <v>2006</v>
      </c>
      <c r="AH219" s="17" t="s">
        <v>91</v>
      </c>
      <c r="AJ219" s="24" t="s">
        <v>918</v>
      </c>
      <c r="AL219" s="19" t="s">
        <v>94</v>
      </c>
      <c r="AM219" s="19" t="s">
        <v>89</v>
      </c>
      <c r="AN219" s="19" t="s">
        <v>89</v>
      </c>
      <c r="AO219">
        <f t="shared" si="26"/>
        <v>3</v>
      </c>
      <c r="AP219">
        <f t="shared" si="27"/>
        <v>64.69</v>
      </c>
      <c r="AR219">
        <f t="shared" si="28"/>
        <v>138.15789473684211</v>
      </c>
    </row>
    <row r="220" spans="1:44">
      <c r="A220" t="s">
        <v>919</v>
      </c>
      <c r="B220">
        <v>218</v>
      </c>
      <c r="C220" s="16" t="s">
        <v>920</v>
      </c>
      <c r="D220" s="16" t="s">
        <v>920</v>
      </c>
      <c r="E220" s="16" t="s">
        <v>670</v>
      </c>
      <c r="F220" s="16" t="s">
        <v>83</v>
      </c>
      <c r="G220" s="16" t="s">
        <v>305</v>
      </c>
      <c r="H220" s="16" t="s">
        <v>266</v>
      </c>
      <c r="I220" s="16" t="s">
        <v>921</v>
      </c>
      <c r="J220" s="16" t="s">
        <v>87</v>
      </c>
      <c r="K220" s="16" t="s">
        <v>268</v>
      </c>
      <c r="L220" s="17">
        <v>200</v>
      </c>
      <c r="M220" s="17">
        <v>70</v>
      </c>
      <c r="N220" s="17" t="s">
        <v>89</v>
      </c>
      <c r="O220" s="17" t="s">
        <v>89</v>
      </c>
      <c r="P220" s="16">
        <v>4.5</v>
      </c>
      <c r="Q220" s="16">
        <v>4.0999999999999996</v>
      </c>
      <c r="R220" s="16">
        <v>3.6</v>
      </c>
      <c r="S220" s="16">
        <v>2.5</v>
      </c>
      <c r="T220" s="16">
        <v>0.9</v>
      </c>
      <c r="U220" s="16">
        <v>2.2999999999999998</v>
      </c>
      <c r="V220" s="18">
        <v>0.2</v>
      </c>
      <c r="W220" s="16">
        <v>139</v>
      </c>
      <c r="X220" s="16">
        <v>55.500900000000001</v>
      </c>
      <c r="Y220" s="16">
        <v>2</v>
      </c>
      <c r="Z220" s="16">
        <v>0.9</v>
      </c>
      <c r="AA220" s="18">
        <v>0.2</v>
      </c>
      <c r="AB220" s="19" t="s">
        <v>89</v>
      </c>
      <c r="AC220" s="17" t="s">
        <v>90</v>
      </c>
      <c r="AD220" s="17">
        <v>61.85</v>
      </c>
      <c r="AF220" s="17">
        <v>32.049999999999997</v>
      </c>
      <c r="AG220" s="17">
        <v>2010</v>
      </c>
      <c r="AH220" s="17" t="s">
        <v>91</v>
      </c>
      <c r="AJ220" s="24" t="s">
        <v>922</v>
      </c>
      <c r="AL220" s="19" t="s">
        <v>94</v>
      </c>
      <c r="AM220" s="19" t="s">
        <v>89</v>
      </c>
      <c r="AN220" s="23">
        <v>1</v>
      </c>
      <c r="AO220">
        <f t="shared" si="26"/>
        <v>3</v>
      </c>
      <c r="AP220">
        <f t="shared" si="27"/>
        <v>64.69</v>
      </c>
      <c r="AR220">
        <f t="shared" si="28"/>
        <v>116.54676258992804</v>
      </c>
    </row>
    <row r="221" spans="1:44">
      <c r="A221" t="s">
        <v>923</v>
      </c>
      <c r="B221">
        <v>219</v>
      </c>
      <c r="C221" s="16" t="s">
        <v>924</v>
      </c>
      <c r="D221" s="16" t="s">
        <v>924</v>
      </c>
      <c r="E221" s="16" t="s">
        <v>670</v>
      </c>
      <c r="F221" s="16" t="s">
        <v>83</v>
      </c>
      <c r="G221" s="16" t="s">
        <v>305</v>
      </c>
      <c r="H221" s="16" t="s">
        <v>266</v>
      </c>
      <c r="I221" s="16" t="s">
        <v>925</v>
      </c>
      <c r="J221" s="16" t="s">
        <v>87</v>
      </c>
      <c r="K221" s="16" t="s">
        <v>268</v>
      </c>
      <c r="L221" s="17">
        <v>2000</v>
      </c>
      <c r="M221" s="17">
        <v>80</v>
      </c>
      <c r="N221" s="16">
        <v>280</v>
      </c>
      <c r="O221" s="16">
        <v>120</v>
      </c>
      <c r="P221" s="16">
        <v>33</v>
      </c>
      <c r="Q221" s="16">
        <v>4.0999999999999996</v>
      </c>
      <c r="R221" s="16">
        <v>3.6</v>
      </c>
      <c r="S221" s="16">
        <v>2.5</v>
      </c>
      <c r="T221" s="16">
        <v>33</v>
      </c>
      <c r="U221" s="16">
        <v>500</v>
      </c>
      <c r="V221" s="18">
        <v>0.5</v>
      </c>
      <c r="W221" s="16">
        <v>940</v>
      </c>
      <c r="X221" s="16">
        <v>410</v>
      </c>
      <c r="Y221" s="16">
        <v>16.5</v>
      </c>
      <c r="Z221" s="16">
        <v>16.25</v>
      </c>
      <c r="AA221" s="18">
        <v>0.5</v>
      </c>
      <c r="AB221" s="19" t="s">
        <v>89</v>
      </c>
      <c r="AC221" s="17" t="s">
        <v>90</v>
      </c>
      <c r="AD221" s="17">
        <v>195</v>
      </c>
      <c r="AF221" s="17">
        <v>54</v>
      </c>
      <c r="AG221" s="17">
        <v>2007</v>
      </c>
      <c r="AH221" s="17" t="s">
        <v>91</v>
      </c>
      <c r="AJ221" s="24" t="s">
        <v>926</v>
      </c>
      <c r="AL221" s="19" t="s">
        <v>94</v>
      </c>
      <c r="AM221" s="19" t="s">
        <v>89</v>
      </c>
      <c r="AN221" s="23">
        <v>1</v>
      </c>
      <c r="AO221">
        <f t="shared" si="26"/>
        <v>3</v>
      </c>
      <c r="AP221">
        <f t="shared" si="27"/>
        <v>64.69</v>
      </c>
      <c r="AR221">
        <f t="shared" si="28"/>
        <v>126.38297872340426</v>
      </c>
    </row>
    <row r="222" spans="1:44" ht="15">
      <c r="A222" t="s">
        <v>927</v>
      </c>
      <c r="B222">
        <v>220</v>
      </c>
      <c r="C222" s="16" t="s">
        <v>928</v>
      </c>
      <c r="D222" s="16" t="s">
        <v>928</v>
      </c>
      <c r="E222" s="16" t="s">
        <v>929</v>
      </c>
      <c r="H222" s="16" t="s">
        <v>88</v>
      </c>
      <c r="I222" s="16" t="s">
        <v>930</v>
      </c>
      <c r="J222" s="16" t="s">
        <v>87</v>
      </c>
      <c r="K222" s="16" t="s">
        <v>88</v>
      </c>
      <c r="L222" s="17">
        <v>400</v>
      </c>
      <c r="M222" s="17">
        <v>80</v>
      </c>
      <c r="N222" s="17" t="s">
        <v>89</v>
      </c>
      <c r="O222" s="17" t="s">
        <v>89</v>
      </c>
      <c r="P222" s="16">
        <v>3.5</v>
      </c>
      <c r="Q222" s="16">
        <v>4.2</v>
      </c>
      <c r="R222" s="16">
        <v>3.7</v>
      </c>
      <c r="S222" s="16">
        <v>2.75</v>
      </c>
      <c r="T222" s="16">
        <v>0.7</v>
      </c>
      <c r="U222" s="16">
        <v>3.5</v>
      </c>
      <c r="V222" s="18">
        <v>1</v>
      </c>
      <c r="W222" s="16">
        <v>155</v>
      </c>
      <c r="X222" s="16">
        <v>67.116</v>
      </c>
      <c r="Y222" s="16">
        <v>1</v>
      </c>
      <c r="Z222" s="16">
        <v>0.7</v>
      </c>
      <c r="AA222" s="18">
        <v>1</v>
      </c>
      <c r="AB222" s="19" t="s">
        <v>89</v>
      </c>
      <c r="AC222" s="17">
        <v>56</v>
      </c>
      <c r="AD222" s="17">
        <v>23.5</v>
      </c>
      <c r="AE222" s="17">
        <v>51</v>
      </c>
      <c r="AF222" s="21" t="s">
        <v>90</v>
      </c>
      <c r="AG222" s="17">
        <v>2006</v>
      </c>
      <c r="AH222" s="17" t="s">
        <v>91</v>
      </c>
      <c r="AJ222" s="31" t="s">
        <v>931</v>
      </c>
      <c r="AL222" s="19" t="s">
        <v>94</v>
      </c>
      <c r="AM222" s="19">
        <v>0.02</v>
      </c>
      <c r="AN222" s="19" t="s">
        <v>89</v>
      </c>
      <c r="AO222">
        <f t="shared" si="26"/>
        <v>2</v>
      </c>
      <c r="AP222">
        <f t="shared" si="27"/>
        <v>60.79</v>
      </c>
      <c r="AR222">
        <f t="shared" si="28"/>
        <v>83.548387096774206</v>
      </c>
    </row>
    <row r="223" spans="1:44" ht="15">
      <c r="A223" t="s">
        <v>932</v>
      </c>
      <c r="B223">
        <v>221</v>
      </c>
      <c r="C223" s="16" t="s">
        <v>933</v>
      </c>
      <c r="D223" s="16" t="s">
        <v>933</v>
      </c>
      <c r="E223" s="16" t="s">
        <v>929</v>
      </c>
      <c r="H223" s="16" t="s">
        <v>88</v>
      </c>
      <c r="I223" s="16" t="s">
        <v>934</v>
      </c>
      <c r="J223" s="16" t="s">
        <v>87</v>
      </c>
      <c r="K223" s="16" t="s">
        <v>88</v>
      </c>
      <c r="L223" s="17">
        <v>500</v>
      </c>
      <c r="M223" s="17">
        <v>80</v>
      </c>
      <c r="N223" s="17" t="s">
        <v>89</v>
      </c>
      <c r="O223" s="17" t="s">
        <v>89</v>
      </c>
      <c r="P223" s="16">
        <v>4</v>
      </c>
      <c r="Q223" s="16">
        <v>4.2</v>
      </c>
      <c r="R223" s="16">
        <v>3.7</v>
      </c>
      <c r="S223" s="16">
        <v>2.75</v>
      </c>
      <c r="T223" s="16">
        <v>0.8</v>
      </c>
      <c r="U223" s="16">
        <v>4</v>
      </c>
      <c r="V223" s="18">
        <v>1</v>
      </c>
      <c r="W223" s="16">
        <v>160</v>
      </c>
      <c r="X223" s="16">
        <v>71.91</v>
      </c>
      <c r="Y223" s="16">
        <v>1</v>
      </c>
      <c r="Z223" s="16">
        <v>0.8</v>
      </c>
      <c r="AA223" s="18">
        <v>1</v>
      </c>
      <c r="AB223" s="19" t="s">
        <v>89</v>
      </c>
      <c r="AC223" s="17">
        <v>60</v>
      </c>
      <c r="AD223" s="17">
        <v>23.5</v>
      </c>
      <c r="AE223" s="17">
        <v>51</v>
      </c>
      <c r="AF223" s="21" t="s">
        <v>90</v>
      </c>
      <c r="AG223" s="17">
        <v>2006</v>
      </c>
      <c r="AH223" s="17" t="s">
        <v>91</v>
      </c>
      <c r="AJ223" s="31" t="s">
        <v>935</v>
      </c>
      <c r="AL223" s="19" t="s">
        <v>94</v>
      </c>
      <c r="AM223" s="19">
        <v>0.02</v>
      </c>
      <c r="AN223" s="19" t="s">
        <v>89</v>
      </c>
      <c r="AO223">
        <f t="shared" si="26"/>
        <v>2</v>
      </c>
      <c r="AP223">
        <f t="shared" si="27"/>
        <v>60.79</v>
      </c>
      <c r="AR223">
        <f t="shared" si="28"/>
        <v>92.5</v>
      </c>
    </row>
    <row r="224" spans="1:44" ht="15">
      <c r="A224" t="s">
        <v>936</v>
      </c>
      <c r="B224">
        <v>222</v>
      </c>
      <c r="C224" s="16" t="s">
        <v>937</v>
      </c>
      <c r="D224" s="16" t="s">
        <v>937</v>
      </c>
      <c r="E224" s="16" t="s">
        <v>929</v>
      </c>
      <c r="H224" s="16" t="s">
        <v>88</v>
      </c>
      <c r="I224" s="16" t="s">
        <v>938</v>
      </c>
      <c r="J224" s="16" t="s">
        <v>87</v>
      </c>
      <c r="K224" s="16" t="s">
        <v>88</v>
      </c>
      <c r="L224" s="17">
        <v>500</v>
      </c>
      <c r="M224" s="17">
        <v>80</v>
      </c>
      <c r="N224" s="17" t="s">
        <v>89</v>
      </c>
      <c r="O224" s="17" t="s">
        <v>89</v>
      </c>
      <c r="P224" s="16">
        <v>4</v>
      </c>
      <c r="Q224" s="16">
        <v>4.2</v>
      </c>
      <c r="R224" s="16">
        <v>3.7</v>
      </c>
      <c r="S224" s="16">
        <v>2.75</v>
      </c>
      <c r="T224" s="16">
        <v>0.8</v>
      </c>
      <c r="U224" s="16">
        <v>1</v>
      </c>
      <c r="V224" s="18">
        <v>1</v>
      </c>
      <c r="W224" s="16">
        <v>130</v>
      </c>
      <c r="X224" s="16">
        <v>53.613</v>
      </c>
      <c r="Y224" s="16">
        <v>1</v>
      </c>
      <c r="Z224" s="16">
        <v>0.8</v>
      </c>
      <c r="AA224" s="18">
        <v>1</v>
      </c>
      <c r="AB224" s="19" t="s">
        <v>89</v>
      </c>
      <c r="AC224" s="17">
        <v>69</v>
      </c>
      <c r="AD224" s="17">
        <v>18.5</v>
      </c>
      <c r="AE224" s="17">
        <v>42</v>
      </c>
      <c r="AF224" s="21" t="s">
        <v>90</v>
      </c>
      <c r="AG224" s="17">
        <v>2006</v>
      </c>
      <c r="AH224" s="17" t="s">
        <v>91</v>
      </c>
      <c r="AJ224" s="31" t="s">
        <v>939</v>
      </c>
      <c r="AL224" s="19" t="s">
        <v>94</v>
      </c>
      <c r="AM224" s="19">
        <v>0.02</v>
      </c>
      <c r="AN224" s="19" t="s">
        <v>89</v>
      </c>
      <c r="AO224">
        <f t="shared" si="26"/>
        <v>2</v>
      </c>
      <c r="AP224">
        <f t="shared" si="27"/>
        <v>60.79</v>
      </c>
      <c r="AR224">
        <f t="shared" si="28"/>
        <v>113.84615384615385</v>
      </c>
    </row>
    <row r="225" spans="1:44" ht="15">
      <c r="A225" t="s">
        <v>940</v>
      </c>
      <c r="B225">
        <v>223</v>
      </c>
      <c r="C225" s="16" t="s">
        <v>941</v>
      </c>
      <c r="D225" s="16" t="s">
        <v>941</v>
      </c>
      <c r="E225" s="16" t="s">
        <v>929</v>
      </c>
      <c r="H225" s="16" t="s">
        <v>88</v>
      </c>
      <c r="I225" s="16" t="s">
        <v>942</v>
      </c>
      <c r="J225" s="16" t="s">
        <v>87</v>
      </c>
      <c r="K225" s="16" t="s">
        <v>88</v>
      </c>
      <c r="L225" s="17">
        <v>500</v>
      </c>
      <c r="M225" s="17">
        <v>80</v>
      </c>
      <c r="N225" s="17" t="s">
        <v>89</v>
      </c>
      <c r="O225" s="17" t="s">
        <v>89</v>
      </c>
      <c r="P225" s="16">
        <v>4</v>
      </c>
      <c r="Q225" s="16">
        <v>4.2</v>
      </c>
      <c r="R225" s="16">
        <v>3.7</v>
      </c>
      <c r="S225" s="16">
        <v>2.75</v>
      </c>
      <c r="T225" s="16">
        <v>0.8</v>
      </c>
      <c r="U225" s="16">
        <v>2</v>
      </c>
      <c r="V225" s="18">
        <v>1</v>
      </c>
      <c r="W225" s="16">
        <v>115</v>
      </c>
      <c r="X225" s="16">
        <v>52.311</v>
      </c>
      <c r="Y225" s="16">
        <v>1</v>
      </c>
      <c r="Z225" s="16">
        <v>0.8</v>
      </c>
      <c r="AA225" s="18">
        <v>1</v>
      </c>
      <c r="AB225" s="19" t="s">
        <v>89</v>
      </c>
      <c r="AC225" s="17">
        <v>47</v>
      </c>
      <c r="AD225" s="17">
        <v>25.5</v>
      </c>
      <c r="AE225" s="17">
        <v>41.5</v>
      </c>
      <c r="AF225" s="21" t="s">
        <v>90</v>
      </c>
      <c r="AG225" s="17">
        <v>2006</v>
      </c>
      <c r="AH225" s="17" t="s">
        <v>91</v>
      </c>
      <c r="AJ225" s="31" t="s">
        <v>943</v>
      </c>
      <c r="AL225" s="19" t="s">
        <v>94</v>
      </c>
      <c r="AM225" s="19">
        <v>0.02</v>
      </c>
      <c r="AN225" s="19" t="s">
        <v>89</v>
      </c>
      <c r="AO225">
        <f t="shared" si="26"/>
        <v>2</v>
      </c>
      <c r="AP225">
        <f t="shared" si="27"/>
        <v>60.79</v>
      </c>
      <c r="AR225">
        <f t="shared" si="28"/>
        <v>128.69565217391303</v>
      </c>
    </row>
    <row r="226" spans="1:44">
      <c r="A226" t="s">
        <v>944</v>
      </c>
      <c r="B226">
        <v>224</v>
      </c>
      <c r="C226" s="16" t="s">
        <v>945</v>
      </c>
      <c r="D226" s="16" t="s">
        <v>945</v>
      </c>
      <c r="E226" s="16" t="s">
        <v>929</v>
      </c>
      <c r="H226" s="16" t="s">
        <v>88</v>
      </c>
      <c r="I226" s="16" t="s">
        <v>946</v>
      </c>
      <c r="J226" s="16" t="s">
        <v>87</v>
      </c>
      <c r="K226" s="16" t="s">
        <v>88</v>
      </c>
      <c r="L226" s="17">
        <v>500</v>
      </c>
      <c r="M226" s="17">
        <v>80</v>
      </c>
      <c r="N226" s="17" t="s">
        <v>89</v>
      </c>
      <c r="O226" s="17" t="s">
        <v>89</v>
      </c>
      <c r="P226" s="16">
        <v>5</v>
      </c>
      <c r="Q226" s="16">
        <v>4.2</v>
      </c>
      <c r="R226" s="16">
        <v>3.7</v>
      </c>
      <c r="S226" s="16">
        <v>2.75</v>
      </c>
      <c r="T226" s="16">
        <v>1</v>
      </c>
      <c r="U226" s="16">
        <v>1</v>
      </c>
      <c r="V226" s="18">
        <v>1</v>
      </c>
      <c r="W226" s="16">
        <v>155</v>
      </c>
      <c r="X226" s="16">
        <v>67.116</v>
      </c>
      <c r="Y226" s="16">
        <v>1</v>
      </c>
      <c r="Z226" s="16">
        <v>1</v>
      </c>
      <c r="AA226" s="18">
        <v>1</v>
      </c>
      <c r="AB226" s="19" t="s">
        <v>89</v>
      </c>
      <c r="AC226" s="17">
        <v>56</v>
      </c>
      <c r="AD226" s="17">
        <v>23.5</v>
      </c>
      <c r="AE226" s="17">
        <v>51</v>
      </c>
      <c r="AF226" s="21" t="s">
        <v>90</v>
      </c>
      <c r="AG226" s="17">
        <v>2006</v>
      </c>
      <c r="AH226" s="17" t="s">
        <v>91</v>
      </c>
      <c r="AL226" s="19" t="s">
        <v>94</v>
      </c>
      <c r="AM226" s="19">
        <v>0.02</v>
      </c>
      <c r="AN226" s="19" t="s">
        <v>89</v>
      </c>
      <c r="AO226">
        <f t="shared" si="26"/>
        <v>2</v>
      </c>
      <c r="AP226">
        <f t="shared" si="27"/>
        <v>60.79</v>
      </c>
      <c r="AR226">
        <f t="shared" si="28"/>
        <v>119.35483870967742</v>
      </c>
    </row>
    <row r="227" spans="1:44" ht="15">
      <c r="A227" t="s">
        <v>947</v>
      </c>
      <c r="B227">
        <v>225</v>
      </c>
      <c r="C227" s="16" t="s">
        <v>948</v>
      </c>
      <c r="D227" s="16" t="s">
        <v>948</v>
      </c>
      <c r="E227" s="16" t="s">
        <v>929</v>
      </c>
      <c r="H227" s="16" t="s">
        <v>88</v>
      </c>
      <c r="I227" s="16" t="s">
        <v>949</v>
      </c>
      <c r="J227" s="16" t="s">
        <v>87</v>
      </c>
      <c r="K227" s="16" t="s">
        <v>88</v>
      </c>
      <c r="L227" s="17">
        <v>500</v>
      </c>
      <c r="M227" s="17">
        <v>80</v>
      </c>
      <c r="N227" s="17" t="s">
        <v>89</v>
      </c>
      <c r="O227" s="17" t="s">
        <v>89</v>
      </c>
      <c r="P227" s="16">
        <v>5</v>
      </c>
      <c r="Q227" s="16">
        <v>4.2</v>
      </c>
      <c r="R227" s="16">
        <v>3.7</v>
      </c>
      <c r="S227" s="16">
        <v>2.75</v>
      </c>
      <c r="T227" s="16">
        <v>1</v>
      </c>
      <c r="U227" s="16">
        <v>1</v>
      </c>
      <c r="V227" s="18">
        <v>1</v>
      </c>
      <c r="W227" s="16">
        <v>195</v>
      </c>
      <c r="X227" s="16">
        <v>85.093500000000006</v>
      </c>
      <c r="Y227" s="16">
        <v>1</v>
      </c>
      <c r="Z227" s="16">
        <v>1</v>
      </c>
      <c r="AA227" s="18">
        <v>1</v>
      </c>
      <c r="AB227" s="19" t="s">
        <v>89</v>
      </c>
      <c r="AC227" s="17">
        <v>71</v>
      </c>
      <c r="AD227" s="17">
        <v>23.5</v>
      </c>
      <c r="AE227" s="17">
        <v>51</v>
      </c>
      <c r="AF227" s="21" t="s">
        <v>90</v>
      </c>
      <c r="AG227" s="17">
        <v>2006</v>
      </c>
      <c r="AH227" s="17" t="s">
        <v>91</v>
      </c>
      <c r="AJ227" s="31" t="s">
        <v>950</v>
      </c>
      <c r="AL227" s="19" t="s">
        <v>94</v>
      </c>
      <c r="AM227" s="19">
        <v>0.02</v>
      </c>
      <c r="AN227" s="19" t="s">
        <v>89</v>
      </c>
      <c r="AO227">
        <f t="shared" si="26"/>
        <v>2</v>
      </c>
      <c r="AP227">
        <f t="shared" si="27"/>
        <v>60.79</v>
      </c>
      <c r="AR227">
        <f t="shared" si="28"/>
        <v>94.871794871794862</v>
      </c>
    </row>
    <row r="228" spans="1:44">
      <c r="A228" t="s">
        <v>951</v>
      </c>
      <c r="B228">
        <v>226</v>
      </c>
      <c r="C228" s="16" t="s">
        <v>952</v>
      </c>
      <c r="D228" s="16" t="s">
        <v>952</v>
      </c>
      <c r="E228" s="16" t="s">
        <v>929</v>
      </c>
      <c r="H228" s="16" t="s">
        <v>88</v>
      </c>
      <c r="I228" s="16" t="s">
        <v>953</v>
      </c>
      <c r="J228" s="16" t="s">
        <v>87</v>
      </c>
      <c r="K228" s="16" t="s">
        <v>88</v>
      </c>
      <c r="L228" s="17">
        <v>500</v>
      </c>
      <c r="M228" s="17">
        <v>80</v>
      </c>
      <c r="N228" s="17" t="s">
        <v>89</v>
      </c>
      <c r="O228" s="17" t="s">
        <v>89</v>
      </c>
      <c r="P228" s="16">
        <v>6.5</v>
      </c>
      <c r="Q228" s="16">
        <v>4.2</v>
      </c>
      <c r="R228" s="16">
        <v>3.7</v>
      </c>
      <c r="S228" s="16">
        <v>2.75</v>
      </c>
      <c r="T228" s="16">
        <v>1.3</v>
      </c>
      <c r="U228" s="16">
        <v>3</v>
      </c>
      <c r="V228" s="18">
        <v>1</v>
      </c>
      <c r="W228" s="16">
        <v>235</v>
      </c>
      <c r="X228" s="16">
        <v>113.458</v>
      </c>
      <c r="Y228" s="16">
        <v>1</v>
      </c>
      <c r="Z228" s="16">
        <v>1.3</v>
      </c>
      <c r="AA228" s="18">
        <v>1</v>
      </c>
      <c r="AB228" s="19" t="s">
        <v>89</v>
      </c>
      <c r="AC228" s="17">
        <v>71</v>
      </c>
      <c r="AD228" s="17">
        <v>23.5</v>
      </c>
      <c r="AE228" s="17">
        <v>68</v>
      </c>
      <c r="AF228" s="21" t="s">
        <v>90</v>
      </c>
      <c r="AG228" s="17">
        <v>2006</v>
      </c>
      <c r="AH228" s="17" t="s">
        <v>91</v>
      </c>
      <c r="AL228" s="19" t="s">
        <v>94</v>
      </c>
      <c r="AM228" s="19">
        <v>0.02</v>
      </c>
      <c r="AN228" s="19" t="s">
        <v>89</v>
      </c>
      <c r="AO228">
        <f t="shared" si="26"/>
        <v>2</v>
      </c>
      <c r="AP228">
        <f t="shared" si="27"/>
        <v>60.79</v>
      </c>
      <c r="AR228">
        <f t="shared" si="28"/>
        <v>102.3404255319149</v>
      </c>
    </row>
    <row r="229" spans="1:44" ht="15">
      <c r="A229" t="s">
        <v>954</v>
      </c>
      <c r="B229">
        <v>227</v>
      </c>
      <c r="C229" s="16" t="s">
        <v>955</v>
      </c>
      <c r="D229" s="16" t="s">
        <v>955</v>
      </c>
      <c r="E229" s="16" t="s">
        <v>929</v>
      </c>
      <c r="H229" s="16" t="s">
        <v>88</v>
      </c>
      <c r="I229" s="16" t="s">
        <v>956</v>
      </c>
      <c r="J229" s="16" t="s">
        <v>87</v>
      </c>
      <c r="K229" s="16" t="s">
        <v>88</v>
      </c>
      <c r="L229" s="17">
        <v>500</v>
      </c>
      <c r="M229" s="17">
        <v>80</v>
      </c>
      <c r="N229" s="17" t="s">
        <v>89</v>
      </c>
      <c r="O229" s="17" t="s">
        <v>89</v>
      </c>
      <c r="P229" s="16">
        <v>7</v>
      </c>
      <c r="Q229" s="16">
        <v>4.2</v>
      </c>
      <c r="R229" s="16">
        <v>3.7</v>
      </c>
      <c r="S229" s="16">
        <v>2.75</v>
      </c>
      <c r="T229" s="16">
        <v>1.4</v>
      </c>
      <c r="U229" s="16">
        <v>1.4</v>
      </c>
      <c r="V229" s="18">
        <v>1</v>
      </c>
      <c r="W229" s="16">
        <v>195</v>
      </c>
      <c r="X229" s="16">
        <v>85.093500000000006</v>
      </c>
      <c r="Y229" s="16">
        <v>1.4</v>
      </c>
      <c r="Z229" s="16">
        <v>1.4</v>
      </c>
      <c r="AA229" s="18">
        <v>1</v>
      </c>
      <c r="AB229" s="19" t="s">
        <v>89</v>
      </c>
      <c r="AC229" s="17">
        <v>71</v>
      </c>
      <c r="AD229" s="17">
        <v>23.5</v>
      </c>
      <c r="AE229" s="17">
        <v>51</v>
      </c>
      <c r="AF229" s="21" t="s">
        <v>90</v>
      </c>
      <c r="AG229" s="17">
        <v>2006</v>
      </c>
      <c r="AH229" s="17" t="s">
        <v>91</v>
      </c>
      <c r="AJ229" s="31" t="s">
        <v>957</v>
      </c>
      <c r="AL229" s="19" t="s">
        <v>94</v>
      </c>
      <c r="AM229" s="19">
        <v>0.02</v>
      </c>
      <c r="AN229" s="19" t="s">
        <v>89</v>
      </c>
      <c r="AO229">
        <f t="shared" si="26"/>
        <v>2</v>
      </c>
      <c r="AP229">
        <f t="shared" si="27"/>
        <v>60.79</v>
      </c>
      <c r="AR229">
        <f t="shared" si="28"/>
        <v>132.82051282051282</v>
      </c>
    </row>
    <row r="230" spans="1:44" ht="15">
      <c r="A230" t="s">
        <v>958</v>
      </c>
      <c r="B230">
        <v>228</v>
      </c>
      <c r="C230" s="16" t="s">
        <v>959</v>
      </c>
      <c r="D230" s="16" t="s">
        <v>959</v>
      </c>
      <c r="E230" s="16" t="s">
        <v>929</v>
      </c>
      <c r="H230" s="16" t="s">
        <v>88</v>
      </c>
      <c r="I230" s="16" t="s">
        <v>960</v>
      </c>
      <c r="J230" s="16" t="s">
        <v>87</v>
      </c>
      <c r="K230" s="16" t="s">
        <v>88</v>
      </c>
      <c r="L230" s="17">
        <v>500</v>
      </c>
      <c r="M230" s="17">
        <v>80</v>
      </c>
      <c r="N230" s="17" t="s">
        <v>89</v>
      </c>
      <c r="O230" s="17" t="s">
        <v>89</v>
      </c>
      <c r="P230" s="16">
        <v>7</v>
      </c>
      <c r="Q230" s="16">
        <v>4.2</v>
      </c>
      <c r="R230" s="16">
        <v>3.7</v>
      </c>
      <c r="S230" s="16">
        <v>2.75</v>
      </c>
      <c r="T230" s="16">
        <v>7</v>
      </c>
      <c r="U230" s="16">
        <v>7</v>
      </c>
      <c r="V230" s="18">
        <v>1</v>
      </c>
      <c r="W230" s="16">
        <v>210</v>
      </c>
      <c r="X230" s="16">
        <v>110.262</v>
      </c>
      <c r="Y230" s="16">
        <v>7</v>
      </c>
      <c r="Z230" s="16">
        <v>7</v>
      </c>
      <c r="AA230" s="18">
        <v>1</v>
      </c>
      <c r="AB230" s="19" t="s">
        <v>89</v>
      </c>
      <c r="AC230" s="17">
        <v>69</v>
      </c>
      <c r="AD230" s="17">
        <v>23.5</v>
      </c>
      <c r="AE230" s="17">
        <v>68</v>
      </c>
      <c r="AF230" s="21" t="s">
        <v>90</v>
      </c>
      <c r="AG230" s="17">
        <v>2006</v>
      </c>
      <c r="AH230" s="17" t="s">
        <v>91</v>
      </c>
      <c r="AJ230" s="31" t="s">
        <v>961</v>
      </c>
      <c r="AL230" s="19" t="s">
        <v>94</v>
      </c>
      <c r="AM230" s="19">
        <v>0.02</v>
      </c>
      <c r="AN230" s="19" t="s">
        <v>89</v>
      </c>
      <c r="AO230">
        <f t="shared" si="26"/>
        <v>2</v>
      </c>
      <c r="AP230">
        <f t="shared" si="27"/>
        <v>60.79</v>
      </c>
      <c r="AR230">
        <f t="shared" si="28"/>
        <v>123.33333333333334</v>
      </c>
    </row>
    <row r="231" spans="1:44" ht="15">
      <c r="A231" t="s">
        <v>962</v>
      </c>
      <c r="B231">
        <v>229</v>
      </c>
      <c r="C231" s="16" t="s">
        <v>963</v>
      </c>
      <c r="D231" s="16" t="s">
        <v>963</v>
      </c>
      <c r="E231" s="16" t="s">
        <v>929</v>
      </c>
      <c r="H231" s="16" t="s">
        <v>88</v>
      </c>
      <c r="I231" s="16" t="s">
        <v>953</v>
      </c>
      <c r="J231" s="16" t="s">
        <v>87</v>
      </c>
      <c r="K231" s="16" t="s">
        <v>88</v>
      </c>
      <c r="L231" s="17">
        <v>500</v>
      </c>
      <c r="M231" s="17">
        <v>80</v>
      </c>
      <c r="N231" s="17" t="s">
        <v>89</v>
      </c>
      <c r="O231" s="17" t="s">
        <v>89</v>
      </c>
      <c r="P231" s="16">
        <v>9</v>
      </c>
      <c r="Q231" s="16">
        <v>4.2</v>
      </c>
      <c r="R231" s="16">
        <v>3.7</v>
      </c>
      <c r="S231" s="16">
        <v>2.75</v>
      </c>
      <c r="T231" s="16">
        <v>1.8</v>
      </c>
      <c r="U231" s="16">
        <v>1.8</v>
      </c>
      <c r="V231" s="18">
        <v>1</v>
      </c>
      <c r="W231" s="16">
        <v>235</v>
      </c>
      <c r="X231" s="16">
        <v>113.458</v>
      </c>
      <c r="Y231" s="16">
        <v>1.8</v>
      </c>
      <c r="Z231" s="16">
        <v>1.8</v>
      </c>
      <c r="AA231" s="18">
        <v>1</v>
      </c>
      <c r="AB231" s="19" t="s">
        <v>89</v>
      </c>
      <c r="AC231" s="17">
        <v>71</v>
      </c>
      <c r="AD231" s="17">
        <v>23.5</v>
      </c>
      <c r="AE231" s="17">
        <v>68</v>
      </c>
      <c r="AF231" s="21" t="s">
        <v>90</v>
      </c>
      <c r="AG231" s="17">
        <v>2006</v>
      </c>
      <c r="AH231" s="17" t="s">
        <v>91</v>
      </c>
      <c r="AJ231" s="31" t="s">
        <v>964</v>
      </c>
      <c r="AL231" s="19" t="s">
        <v>94</v>
      </c>
      <c r="AM231" s="19">
        <v>0.02</v>
      </c>
      <c r="AN231" s="19" t="s">
        <v>89</v>
      </c>
      <c r="AO231">
        <f t="shared" si="26"/>
        <v>2</v>
      </c>
      <c r="AP231">
        <f t="shared" si="27"/>
        <v>60.79</v>
      </c>
      <c r="AR231">
        <f t="shared" si="28"/>
        <v>141.7021276595745</v>
      </c>
    </row>
    <row r="232" spans="1:44" ht="15">
      <c r="A232" t="s">
        <v>965</v>
      </c>
      <c r="B232">
        <v>230</v>
      </c>
      <c r="C232" s="16" t="s">
        <v>966</v>
      </c>
      <c r="D232" s="16" t="s">
        <v>966</v>
      </c>
      <c r="E232" s="16" t="s">
        <v>929</v>
      </c>
      <c r="H232" s="16" t="s">
        <v>88</v>
      </c>
      <c r="I232" s="16" t="s">
        <v>967</v>
      </c>
      <c r="J232" s="16" t="s">
        <v>87</v>
      </c>
      <c r="K232" s="16" t="s">
        <v>88</v>
      </c>
      <c r="L232" s="17">
        <v>500</v>
      </c>
      <c r="M232" s="17">
        <v>80</v>
      </c>
      <c r="N232" s="17" t="s">
        <v>89</v>
      </c>
      <c r="O232" s="17" t="s">
        <v>89</v>
      </c>
      <c r="P232" s="16">
        <v>9</v>
      </c>
      <c r="Q232" s="16">
        <v>4.2</v>
      </c>
      <c r="R232" s="16">
        <v>3.7</v>
      </c>
      <c r="S232" s="16">
        <v>2.75</v>
      </c>
      <c r="T232" s="16">
        <v>9</v>
      </c>
      <c r="U232" s="16">
        <v>9</v>
      </c>
      <c r="V232" s="18">
        <v>1</v>
      </c>
      <c r="W232" s="16">
        <v>250</v>
      </c>
      <c r="X232" s="16">
        <v>129.8235</v>
      </c>
      <c r="Y232" s="16">
        <v>9</v>
      </c>
      <c r="Z232" s="16">
        <v>9</v>
      </c>
      <c r="AA232" s="18">
        <v>1</v>
      </c>
      <c r="AB232" s="19" t="s">
        <v>89</v>
      </c>
      <c r="AC232" s="17">
        <v>71</v>
      </c>
      <c r="AD232" s="17">
        <v>26.5</v>
      </c>
      <c r="AE232" s="17">
        <v>69</v>
      </c>
      <c r="AF232" s="21" t="s">
        <v>90</v>
      </c>
      <c r="AG232" s="17">
        <v>2006</v>
      </c>
      <c r="AH232" s="17" t="s">
        <v>91</v>
      </c>
      <c r="AJ232" s="31" t="s">
        <v>968</v>
      </c>
      <c r="AL232" s="19" t="s">
        <v>94</v>
      </c>
      <c r="AM232" s="19">
        <v>0.02</v>
      </c>
      <c r="AN232" s="19" t="s">
        <v>89</v>
      </c>
      <c r="AO232">
        <f t="shared" si="26"/>
        <v>2</v>
      </c>
      <c r="AP232">
        <f t="shared" si="27"/>
        <v>60.79</v>
      </c>
      <c r="AR232">
        <f t="shared" si="28"/>
        <v>133.20000000000002</v>
      </c>
    </row>
    <row r="233" spans="1:44">
      <c r="A233" t="s">
        <v>969</v>
      </c>
      <c r="B233">
        <v>231</v>
      </c>
      <c r="C233" s="16" t="s">
        <v>970</v>
      </c>
      <c r="D233" s="16" t="s">
        <v>970</v>
      </c>
      <c r="E233" s="16" t="s">
        <v>670</v>
      </c>
      <c r="F233" s="16" t="s">
        <v>83</v>
      </c>
      <c r="G233" s="16" t="s">
        <v>305</v>
      </c>
      <c r="H233" s="16" t="s">
        <v>266</v>
      </c>
      <c r="I233" s="16" t="s">
        <v>971</v>
      </c>
      <c r="J233" s="16" t="s">
        <v>87</v>
      </c>
      <c r="K233" s="16" t="s">
        <v>268</v>
      </c>
      <c r="L233" s="17">
        <v>500</v>
      </c>
      <c r="M233" s="17">
        <v>80</v>
      </c>
      <c r="N233" s="16">
        <v>392</v>
      </c>
      <c r="O233" s="16">
        <v>178</v>
      </c>
      <c r="P233" s="16">
        <v>52</v>
      </c>
      <c r="Q233" s="16">
        <v>4.0999999999999996</v>
      </c>
      <c r="R233" s="16">
        <v>3.6</v>
      </c>
      <c r="S233" s="16">
        <v>2.75</v>
      </c>
      <c r="T233" s="16">
        <v>10.4</v>
      </c>
      <c r="U233" s="16">
        <v>52</v>
      </c>
      <c r="V233" s="18">
        <v>1</v>
      </c>
      <c r="W233" s="16">
        <v>1000</v>
      </c>
      <c r="X233" s="16">
        <v>476.12450000000001</v>
      </c>
      <c r="Y233" s="16">
        <v>52</v>
      </c>
      <c r="Z233" s="16">
        <v>5.2</v>
      </c>
      <c r="AA233" s="18">
        <v>1</v>
      </c>
      <c r="AB233" s="19" t="s">
        <v>89</v>
      </c>
      <c r="AC233" s="17" t="s">
        <v>90</v>
      </c>
      <c r="AD233" s="17">
        <v>208</v>
      </c>
      <c r="AF233" s="17">
        <v>54</v>
      </c>
      <c r="AH233" s="17" t="s">
        <v>91</v>
      </c>
      <c r="AL233" s="19" t="s">
        <v>94</v>
      </c>
      <c r="AM233" s="19">
        <v>0.01</v>
      </c>
      <c r="AN233" s="23">
        <v>1</v>
      </c>
      <c r="AO233">
        <f t="shared" si="26"/>
        <v>3</v>
      </c>
      <c r="AP233">
        <f t="shared" si="27"/>
        <v>64.69</v>
      </c>
      <c r="AR233">
        <f t="shared" si="28"/>
        <v>187.20000000000002</v>
      </c>
    </row>
    <row r="234" spans="1:44">
      <c r="A234" t="s">
        <v>972</v>
      </c>
      <c r="B234">
        <v>232</v>
      </c>
      <c r="C234" s="16" t="s">
        <v>973</v>
      </c>
      <c r="D234" s="16" t="s">
        <v>973</v>
      </c>
      <c r="E234" s="16" t="s">
        <v>974</v>
      </c>
      <c r="F234" s="16" t="s">
        <v>129</v>
      </c>
      <c r="G234" s="16" t="s">
        <v>130</v>
      </c>
      <c r="H234" s="16" t="s">
        <v>266</v>
      </c>
      <c r="I234" s="16" t="s">
        <v>975</v>
      </c>
      <c r="J234" s="16" t="s">
        <v>87</v>
      </c>
      <c r="K234" s="16" t="s">
        <v>268</v>
      </c>
      <c r="L234" s="17">
        <v>2000</v>
      </c>
      <c r="M234" s="17">
        <v>80</v>
      </c>
      <c r="N234" s="17" t="s">
        <v>89</v>
      </c>
      <c r="O234" s="17" t="s">
        <v>89</v>
      </c>
      <c r="P234" s="16">
        <v>3.8</v>
      </c>
      <c r="Q234" s="16">
        <v>3.65</v>
      </c>
      <c r="R234" s="16">
        <v>3.2</v>
      </c>
      <c r="S234" s="16">
        <v>2.5</v>
      </c>
      <c r="T234" s="16">
        <v>0.76</v>
      </c>
      <c r="U234" s="16">
        <v>38</v>
      </c>
      <c r="V234" s="18">
        <v>0.5</v>
      </c>
      <c r="W234" s="16">
        <v>120</v>
      </c>
      <c r="X234" s="16">
        <v>53.895200000000003</v>
      </c>
      <c r="Y234" s="16">
        <v>3.8</v>
      </c>
      <c r="Z234" s="16">
        <v>1.52</v>
      </c>
      <c r="AA234" s="18">
        <v>0.5</v>
      </c>
      <c r="AB234" s="19" t="s">
        <v>89</v>
      </c>
      <c r="AC234" s="17" t="s">
        <v>90</v>
      </c>
      <c r="AD234" s="17">
        <v>65</v>
      </c>
      <c r="AF234" s="17">
        <v>32.5</v>
      </c>
      <c r="AG234" s="17">
        <v>2008</v>
      </c>
      <c r="AH234" s="17" t="s">
        <v>91</v>
      </c>
      <c r="AL234" s="19" t="s">
        <v>94</v>
      </c>
      <c r="AM234" s="19" t="s">
        <v>89</v>
      </c>
      <c r="AN234" s="19" t="s">
        <v>89</v>
      </c>
      <c r="AO234">
        <f t="shared" si="26"/>
        <v>3</v>
      </c>
      <c r="AP234">
        <f t="shared" si="27"/>
        <v>64.69</v>
      </c>
      <c r="AR234">
        <f t="shared" si="28"/>
        <v>101.33333333333334</v>
      </c>
    </row>
    <row r="235" spans="1:44">
      <c r="A235" t="s">
        <v>976</v>
      </c>
      <c r="B235">
        <v>233</v>
      </c>
      <c r="C235" s="16" t="s">
        <v>977</v>
      </c>
      <c r="D235" s="16" t="s">
        <v>977</v>
      </c>
      <c r="E235" s="16" t="s">
        <v>974</v>
      </c>
      <c r="F235" s="16" t="s">
        <v>129</v>
      </c>
      <c r="G235" s="16" t="s">
        <v>130</v>
      </c>
      <c r="H235" s="16" t="s">
        <v>266</v>
      </c>
      <c r="I235" s="16" t="s">
        <v>978</v>
      </c>
      <c r="J235" s="16" t="s">
        <v>87</v>
      </c>
      <c r="K235" s="16" t="s">
        <v>268</v>
      </c>
      <c r="L235" s="17">
        <v>2000</v>
      </c>
      <c r="M235" s="17">
        <v>80</v>
      </c>
      <c r="N235" s="17" t="s">
        <v>89</v>
      </c>
      <c r="O235" s="17" t="s">
        <v>89</v>
      </c>
      <c r="P235" s="16">
        <v>4</v>
      </c>
      <c r="Q235" s="16">
        <v>3.65</v>
      </c>
      <c r="R235" s="16">
        <v>3.2</v>
      </c>
      <c r="S235" s="16">
        <v>2.5</v>
      </c>
      <c r="T235" s="16">
        <v>0.8</v>
      </c>
      <c r="U235" s="16">
        <v>12</v>
      </c>
      <c r="V235" s="18">
        <v>0.5</v>
      </c>
      <c r="W235" s="16">
        <v>125</v>
      </c>
      <c r="X235" s="16">
        <v>53.895200000000003</v>
      </c>
      <c r="Y235" s="16">
        <v>4</v>
      </c>
      <c r="Z235" s="16">
        <v>1.6</v>
      </c>
      <c r="AA235" s="18">
        <v>0.5</v>
      </c>
      <c r="AB235" s="19" t="s">
        <v>89</v>
      </c>
      <c r="AC235" s="17" t="s">
        <v>90</v>
      </c>
      <c r="AD235" s="17">
        <v>65</v>
      </c>
      <c r="AF235" s="17">
        <v>32.5</v>
      </c>
      <c r="AG235" s="17">
        <v>2008</v>
      </c>
      <c r="AH235" s="17" t="s">
        <v>91</v>
      </c>
      <c r="AL235" s="19" t="s">
        <v>94</v>
      </c>
      <c r="AO235">
        <f t="shared" si="26"/>
        <v>3</v>
      </c>
      <c r="AP235">
        <f t="shared" si="27"/>
        <v>64.69</v>
      </c>
      <c r="AR235">
        <f t="shared" si="28"/>
        <v>102.4</v>
      </c>
    </row>
    <row r="236" spans="1:44">
      <c r="A236" t="s">
        <v>979</v>
      </c>
      <c r="B236">
        <v>234</v>
      </c>
      <c r="C236" s="16" t="s">
        <v>980</v>
      </c>
      <c r="D236" s="16" t="s">
        <v>980</v>
      </c>
      <c r="E236" s="16" t="s">
        <v>981</v>
      </c>
      <c r="F236" s="16" t="s">
        <v>982</v>
      </c>
      <c r="G236" s="16" t="s">
        <v>983</v>
      </c>
      <c r="H236" s="16" t="s">
        <v>88</v>
      </c>
      <c r="I236" s="16" t="s">
        <v>984</v>
      </c>
      <c r="J236" s="16" t="s">
        <v>87</v>
      </c>
      <c r="K236" s="16" t="s">
        <v>88</v>
      </c>
      <c r="L236" s="17">
        <v>500</v>
      </c>
      <c r="M236" s="17">
        <v>80</v>
      </c>
      <c r="N236" s="16">
        <v>195</v>
      </c>
      <c r="O236" s="16">
        <v>87</v>
      </c>
      <c r="P236" s="16">
        <v>11.5</v>
      </c>
      <c r="Q236" s="16">
        <v>4.2</v>
      </c>
      <c r="R236" s="16">
        <v>3.7</v>
      </c>
      <c r="S236" s="16">
        <v>3</v>
      </c>
      <c r="T236" s="16">
        <v>1.1499999999999999</v>
      </c>
      <c r="U236" s="16">
        <v>57.5</v>
      </c>
      <c r="V236" s="18" t="s">
        <v>89</v>
      </c>
      <c r="W236" s="16">
        <v>490</v>
      </c>
      <c r="X236" s="16">
        <v>218.4</v>
      </c>
      <c r="Y236" s="16">
        <v>11.5</v>
      </c>
      <c r="Z236" s="16">
        <v>2.2999999999999998</v>
      </c>
      <c r="AA236" s="18" t="s">
        <v>89</v>
      </c>
      <c r="AB236" s="19" t="s">
        <v>89</v>
      </c>
      <c r="AC236" s="17">
        <v>130</v>
      </c>
      <c r="AD236" s="17">
        <v>21</v>
      </c>
      <c r="AE236" s="17">
        <v>80</v>
      </c>
      <c r="AF236" s="21" t="s">
        <v>90</v>
      </c>
      <c r="AH236" s="17" t="s">
        <v>91</v>
      </c>
      <c r="AJ236" s="24" t="s">
        <v>98</v>
      </c>
      <c r="AL236" s="19" t="s">
        <v>94</v>
      </c>
      <c r="AO236">
        <f t="shared" si="26"/>
        <v>2</v>
      </c>
      <c r="AP236">
        <f t="shared" si="27"/>
        <v>60.79</v>
      </c>
      <c r="AR236">
        <f t="shared" si="28"/>
        <v>86.83673469387756</v>
      </c>
    </row>
    <row r="237" spans="1:44">
      <c r="A237" t="s">
        <v>985</v>
      </c>
      <c r="B237">
        <v>235</v>
      </c>
      <c r="C237" s="16" t="s">
        <v>986</v>
      </c>
      <c r="D237" s="16" t="s">
        <v>987</v>
      </c>
      <c r="E237" s="16" t="s">
        <v>988</v>
      </c>
      <c r="F237" s="16" t="s">
        <v>83</v>
      </c>
      <c r="G237" s="16" t="s">
        <v>425</v>
      </c>
      <c r="H237" s="16" t="s">
        <v>266</v>
      </c>
      <c r="I237" s="16" t="s">
        <v>989</v>
      </c>
      <c r="J237" s="16" t="s">
        <v>87</v>
      </c>
      <c r="K237" s="16" t="s">
        <v>268</v>
      </c>
      <c r="L237" s="17">
        <v>1000</v>
      </c>
      <c r="M237" s="17">
        <v>80</v>
      </c>
      <c r="N237" s="16">
        <v>264</v>
      </c>
      <c r="O237" s="16">
        <v>99</v>
      </c>
      <c r="P237" s="16">
        <v>27</v>
      </c>
      <c r="Q237" s="16">
        <v>4.2</v>
      </c>
      <c r="R237" s="16">
        <v>3.6</v>
      </c>
      <c r="S237" s="16">
        <v>2.7</v>
      </c>
      <c r="T237" s="16">
        <v>54</v>
      </c>
      <c r="U237" s="16">
        <v>270</v>
      </c>
      <c r="V237" s="18">
        <v>0.5</v>
      </c>
      <c r="W237" s="16">
        <v>980</v>
      </c>
      <c r="X237" s="16">
        <v>449.334</v>
      </c>
      <c r="Y237" s="16">
        <v>162</v>
      </c>
      <c r="Z237" s="16">
        <v>27</v>
      </c>
      <c r="AA237" s="18">
        <v>0.5</v>
      </c>
      <c r="AB237" s="19" t="s">
        <v>89</v>
      </c>
      <c r="AC237" s="17" t="s">
        <v>90</v>
      </c>
      <c r="AD237" s="17">
        <v>159</v>
      </c>
      <c r="AF237" s="17">
        <v>60</v>
      </c>
      <c r="AG237" s="17">
        <v>2009</v>
      </c>
      <c r="AH237" s="17" t="s">
        <v>91</v>
      </c>
      <c r="AJ237" s="24" t="s">
        <v>686</v>
      </c>
      <c r="AL237" s="19" t="s">
        <v>94</v>
      </c>
      <c r="AM237" s="19">
        <v>0.01</v>
      </c>
      <c r="AN237" s="23">
        <v>1</v>
      </c>
      <c r="AO237">
        <f t="shared" si="26"/>
        <v>3</v>
      </c>
      <c r="AP237">
        <f t="shared" si="27"/>
        <v>64.69</v>
      </c>
      <c r="AR237">
        <f t="shared" si="28"/>
        <v>99.183673469387756</v>
      </c>
    </row>
    <row r="238" spans="1:44">
      <c r="A238" t="s">
        <v>990</v>
      </c>
      <c r="B238">
        <v>236</v>
      </c>
      <c r="C238" s="16" t="s">
        <v>991</v>
      </c>
      <c r="D238" s="16" t="s">
        <v>991</v>
      </c>
      <c r="E238" s="16" t="s">
        <v>670</v>
      </c>
      <c r="F238" s="16" t="s">
        <v>83</v>
      </c>
      <c r="G238" s="16" t="s">
        <v>305</v>
      </c>
      <c r="H238" s="16" t="s">
        <v>88</v>
      </c>
      <c r="I238" s="16" t="s">
        <v>992</v>
      </c>
      <c r="J238" s="16" t="s">
        <v>87</v>
      </c>
      <c r="K238" s="16" t="s">
        <v>88</v>
      </c>
      <c r="L238" s="17">
        <v>600</v>
      </c>
      <c r="M238" s="17">
        <v>70</v>
      </c>
      <c r="N238" s="16">
        <v>423</v>
      </c>
      <c r="O238" s="16">
        <v>175</v>
      </c>
      <c r="P238" s="16">
        <v>4.8</v>
      </c>
      <c r="Q238" s="16">
        <v>4.2</v>
      </c>
      <c r="R238" s="16">
        <v>3.75</v>
      </c>
      <c r="S238" s="16">
        <v>2.5</v>
      </c>
      <c r="T238" s="16">
        <v>1</v>
      </c>
      <c r="U238" s="16">
        <v>10</v>
      </c>
      <c r="V238" s="18">
        <v>0.5</v>
      </c>
      <c r="W238" s="16">
        <v>103</v>
      </c>
      <c r="X238" s="16">
        <v>42.5</v>
      </c>
      <c r="Y238" s="16">
        <v>5</v>
      </c>
      <c r="Z238" s="16">
        <v>1</v>
      </c>
      <c r="AA238" s="18">
        <v>1</v>
      </c>
      <c r="AB238" s="19" t="s">
        <v>89</v>
      </c>
      <c r="AC238" s="17">
        <v>70</v>
      </c>
      <c r="AD238" s="17">
        <v>18.100000000000001</v>
      </c>
      <c r="AE238" s="17">
        <v>45.5</v>
      </c>
      <c r="AF238" s="21" t="s">
        <v>90</v>
      </c>
      <c r="AG238" s="17">
        <v>2009</v>
      </c>
      <c r="AH238" s="17" t="s">
        <v>91</v>
      </c>
      <c r="AJ238" s="24" t="s">
        <v>993</v>
      </c>
      <c r="AL238" s="19" t="s">
        <v>94</v>
      </c>
      <c r="AM238" s="19" t="s">
        <v>89</v>
      </c>
      <c r="AN238" s="23">
        <v>1</v>
      </c>
      <c r="AO238">
        <f t="shared" si="26"/>
        <v>2</v>
      </c>
      <c r="AP238">
        <f t="shared" si="27"/>
        <v>60.79</v>
      </c>
      <c r="AR238">
        <f t="shared" si="28"/>
        <v>174.75728155339806</v>
      </c>
    </row>
    <row r="239" spans="1:44">
      <c r="A239" t="s">
        <v>994</v>
      </c>
      <c r="B239">
        <v>237</v>
      </c>
      <c r="C239" s="16" t="s">
        <v>995</v>
      </c>
      <c r="D239" s="16" t="s">
        <v>995</v>
      </c>
      <c r="E239" s="16" t="s">
        <v>670</v>
      </c>
      <c r="F239" s="16" t="s">
        <v>83</v>
      </c>
      <c r="G239" s="16" t="s">
        <v>305</v>
      </c>
      <c r="H239" s="16" t="s">
        <v>88</v>
      </c>
      <c r="I239" s="16" t="s">
        <v>996</v>
      </c>
      <c r="J239" s="16" t="s">
        <v>87</v>
      </c>
      <c r="K239" s="16" t="s">
        <v>88</v>
      </c>
      <c r="L239" s="17">
        <v>850</v>
      </c>
      <c r="M239" s="17">
        <v>70</v>
      </c>
      <c r="N239" s="16">
        <v>335</v>
      </c>
      <c r="O239" s="16">
        <v>140</v>
      </c>
      <c r="P239" s="16">
        <v>4.8</v>
      </c>
      <c r="Q239" s="16">
        <v>4.0999999999999996</v>
      </c>
      <c r="R239" s="16">
        <v>3.65</v>
      </c>
      <c r="S239" s="16">
        <v>2.5</v>
      </c>
      <c r="T239" s="16">
        <v>1.1000000000000001</v>
      </c>
      <c r="U239" s="16">
        <v>10</v>
      </c>
      <c r="V239" s="18">
        <v>0.5</v>
      </c>
      <c r="W239" s="16">
        <v>124</v>
      </c>
      <c r="X239" s="16">
        <v>52</v>
      </c>
      <c r="Y239" s="16">
        <v>5</v>
      </c>
      <c r="Z239" s="16">
        <v>0.57999999999999996</v>
      </c>
      <c r="AA239" s="18">
        <v>0.5</v>
      </c>
      <c r="AB239" s="19" t="s">
        <v>89</v>
      </c>
      <c r="AC239" s="17">
        <v>65</v>
      </c>
      <c r="AD239" s="17">
        <v>19</v>
      </c>
      <c r="AE239" s="17">
        <v>48</v>
      </c>
      <c r="AF239" s="21" t="s">
        <v>90</v>
      </c>
      <c r="AG239" s="17">
        <v>2007</v>
      </c>
      <c r="AH239" s="17" t="s">
        <v>91</v>
      </c>
      <c r="AJ239" s="24" t="s">
        <v>895</v>
      </c>
      <c r="AL239" s="19" t="s">
        <v>94</v>
      </c>
      <c r="AM239" s="19" t="s">
        <v>89</v>
      </c>
      <c r="AN239" s="23">
        <v>1</v>
      </c>
      <c r="AO239">
        <f t="shared" si="26"/>
        <v>2</v>
      </c>
      <c r="AP239">
        <f t="shared" si="27"/>
        <v>60.79</v>
      </c>
      <c r="AR239">
        <f t="shared" si="28"/>
        <v>141.29032258064515</v>
      </c>
    </row>
    <row r="240" spans="1:44">
      <c r="A240" t="s">
        <v>997</v>
      </c>
      <c r="B240">
        <v>238</v>
      </c>
      <c r="C240" s="16" t="s">
        <v>998</v>
      </c>
      <c r="D240" s="16" t="s">
        <v>998</v>
      </c>
      <c r="E240" s="16" t="s">
        <v>670</v>
      </c>
      <c r="F240" s="16" t="s">
        <v>83</v>
      </c>
      <c r="G240" s="16" t="s">
        <v>305</v>
      </c>
      <c r="H240" s="16" t="s">
        <v>266</v>
      </c>
      <c r="I240" s="16" t="s">
        <v>999</v>
      </c>
      <c r="J240" s="16" t="s">
        <v>87</v>
      </c>
      <c r="K240" s="16" t="s">
        <v>268</v>
      </c>
      <c r="L240" s="17">
        <v>500</v>
      </c>
      <c r="M240" s="17">
        <v>80</v>
      </c>
      <c r="N240" s="16">
        <v>300</v>
      </c>
      <c r="O240" s="16">
        <v>150</v>
      </c>
      <c r="P240" s="16">
        <v>48</v>
      </c>
      <c r="Q240" s="16">
        <v>4.0999999999999996</v>
      </c>
      <c r="R240" s="16">
        <v>3.6</v>
      </c>
      <c r="S240" s="16">
        <v>2.5</v>
      </c>
      <c r="T240" s="16">
        <v>4.8</v>
      </c>
      <c r="U240" s="16">
        <v>100</v>
      </c>
      <c r="V240" s="18" t="s">
        <v>89</v>
      </c>
      <c r="W240" s="16">
        <v>1150</v>
      </c>
      <c r="X240" s="16">
        <v>572.26499999999999</v>
      </c>
      <c r="Y240" s="16">
        <v>48</v>
      </c>
      <c r="Z240" s="16">
        <v>4.8</v>
      </c>
      <c r="AA240" s="18" t="s">
        <v>89</v>
      </c>
      <c r="AB240" s="19" t="s">
        <v>89</v>
      </c>
      <c r="AC240" s="17" t="s">
        <v>90</v>
      </c>
      <c r="AD240" s="17">
        <v>245</v>
      </c>
      <c r="AF240" s="17">
        <v>54</v>
      </c>
      <c r="AG240" s="17">
        <v>2007</v>
      </c>
      <c r="AH240" s="17" t="s">
        <v>91</v>
      </c>
      <c r="AJ240" s="24" t="s">
        <v>910</v>
      </c>
      <c r="AL240" s="19" t="s">
        <v>94</v>
      </c>
      <c r="AM240" s="19" t="s">
        <v>89</v>
      </c>
      <c r="AN240" s="23">
        <v>1</v>
      </c>
      <c r="AO240">
        <f t="shared" si="26"/>
        <v>3</v>
      </c>
      <c r="AP240">
        <f t="shared" si="27"/>
        <v>64.69</v>
      </c>
      <c r="AR240">
        <f t="shared" si="28"/>
        <v>150.2608695652174</v>
      </c>
    </row>
    <row r="241" spans="1:44">
      <c r="A241" t="s">
        <v>1000</v>
      </c>
      <c r="B241">
        <v>239</v>
      </c>
      <c r="C241" s="16" t="s">
        <v>1001</v>
      </c>
      <c r="D241" s="16" t="s">
        <v>1001</v>
      </c>
      <c r="E241" s="16" t="s">
        <v>670</v>
      </c>
      <c r="F241" s="16" t="s">
        <v>129</v>
      </c>
      <c r="G241" s="16" t="s">
        <v>130</v>
      </c>
      <c r="H241" s="16" t="s">
        <v>266</v>
      </c>
      <c r="I241" s="16" t="s">
        <v>1002</v>
      </c>
      <c r="J241" s="16" t="s">
        <v>87</v>
      </c>
      <c r="K241" s="16" t="s">
        <v>268</v>
      </c>
      <c r="L241" s="17">
        <v>600</v>
      </c>
      <c r="M241" s="17">
        <v>80</v>
      </c>
      <c r="N241" s="16">
        <v>128</v>
      </c>
      <c r="O241" s="16">
        <v>54</v>
      </c>
      <c r="P241" s="16">
        <v>10</v>
      </c>
      <c r="Q241" s="16">
        <v>3.65</v>
      </c>
      <c r="R241" s="16">
        <v>3.3</v>
      </c>
      <c r="S241" s="16">
        <v>2.5</v>
      </c>
      <c r="T241" s="16">
        <v>10</v>
      </c>
      <c r="U241" s="16">
        <v>1500</v>
      </c>
      <c r="V241" s="18" t="s">
        <v>89</v>
      </c>
      <c r="W241" s="16">
        <v>600</v>
      </c>
      <c r="X241" s="16">
        <v>270</v>
      </c>
      <c r="Y241" s="16">
        <v>10</v>
      </c>
      <c r="Z241" s="16">
        <v>1</v>
      </c>
      <c r="AA241" s="18" t="s">
        <v>89</v>
      </c>
      <c r="AB241" s="19" t="s">
        <v>89</v>
      </c>
      <c r="AC241" s="17" t="s">
        <v>90</v>
      </c>
      <c r="AD241" s="17">
        <v>173</v>
      </c>
      <c r="AF241" s="17">
        <v>47</v>
      </c>
      <c r="AG241" s="17">
        <v>2007</v>
      </c>
      <c r="AH241" s="17" t="s">
        <v>91</v>
      </c>
      <c r="AJ241" s="24" t="s">
        <v>891</v>
      </c>
      <c r="AL241" s="19" t="s">
        <v>94</v>
      </c>
      <c r="AM241" s="19" t="s">
        <v>89</v>
      </c>
      <c r="AN241" s="19" t="s">
        <v>89</v>
      </c>
      <c r="AO241">
        <f t="shared" si="26"/>
        <v>3</v>
      </c>
      <c r="AP241">
        <f t="shared" si="27"/>
        <v>64.69</v>
      </c>
      <c r="AR241">
        <f t="shared" si="28"/>
        <v>55</v>
      </c>
    </row>
    <row r="242" spans="1:44">
      <c r="A242" t="s">
        <v>1003</v>
      </c>
      <c r="B242">
        <v>240</v>
      </c>
      <c r="C242" s="16" t="s">
        <v>1004</v>
      </c>
      <c r="D242" s="16" t="s">
        <v>1004</v>
      </c>
      <c r="E242" s="16" t="s">
        <v>670</v>
      </c>
      <c r="F242" s="16" t="s">
        <v>129</v>
      </c>
      <c r="G242" s="16" t="s">
        <v>130</v>
      </c>
      <c r="H242" s="16" t="s">
        <v>266</v>
      </c>
      <c r="I242" s="16" t="s">
        <v>1005</v>
      </c>
      <c r="J242" s="16" t="s">
        <v>87</v>
      </c>
      <c r="K242" s="16" t="s">
        <v>268</v>
      </c>
      <c r="L242" s="17">
        <v>2500</v>
      </c>
      <c r="M242" s="17">
        <v>75</v>
      </c>
      <c r="N242" s="16">
        <v>189</v>
      </c>
      <c r="O242" s="16">
        <v>89</v>
      </c>
      <c r="P242" s="16">
        <v>25</v>
      </c>
      <c r="Q242" s="16">
        <v>3.65</v>
      </c>
      <c r="R242" s="16">
        <v>3.3</v>
      </c>
      <c r="S242" s="16">
        <v>2.5</v>
      </c>
      <c r="T242" s="16">
        <v>25</v>
      </c>
      <c r="U242" s="16">
        <v>500</v>
      </c>
      <c r="V242" s="18">
        <v>0.5</v>
      </c>
      <c r="W242" s="16">
        <v>940</v>
      </c>
      <c r="X242" s="16">
        <v>451.34010000000001</v>
      </c>
      <c r="Y242" s="16">
        <v>12.5</v>
      </c>
      <c r="Z242" s="16">
        <v>5</v>
      </c>
      <c r="AA242" s="18">
        <v>0.5</v>
      </c>
      <c r="AB242" s="19" t="s">
        <v>89</v>
      </c>
      <c r="AC242" s="17" t="s">
        <v>90</v>
      </c>
      <c r="AD242" s="17">
        <v>195</v>
      </c>
      <c r="AF242" s="17">
        <v>54</v>
      </c>
      <c r="AG242" s="17">
        <v>2007</v>
      </c>
      <c r="AH242" s="17" t="s">
        <v>91</v>
      </c>
      <c r="AJ242" s="24" t="s">
        <v>1006</v>
      </c>
      <c r="AL242" s="19" t="s">
        <v>94</v>
      </c>
      <c r="AM242" s="19" t="s">
        <v>89</v>
      </c>
      <c r="AN242" s="19" t="s">
        <v>89</v>
      </c>
      <c r="AO242">
        <f t="shared" si="26"/>
        <v>3</v>
      </c>
      <c r="AP242">
        <f t="shared" si="27"/>
        <v>64.69</v>
      </c>
      <c r="AR242">
        <f t="shared" si="28"/>
        <v>87.765957446808514</v>
      </c>
    </row>
    <row r="243" spans="1:44">
      <c r="A243" t="s">
        <v>1007</v>
      </c>
      <c r="B243">
        <v>241</v>
      </c>
      <c r="C243" s="16" t="s">
        <v>1008</v>
      </c>
      <c r="D243" s="16" t="s">
        <v>1008</v>
      </c>
      <c r="E243" s="16" t="s">
        <v>514</v>
      </c>
      <c r="F243" s="16" t="s">
        <v>982</v>
      </c>
      <c r="G243" s="16" t="s">
        <v>1009</v>
      </c>
      <c r="H243" s="16" t="s">
        <v>85</v>
      </c>
      <c r="I243" s="16" t="s">
        <v>1010</v>
      </c>
      <c r="J243" s="16" t="s">
        <v>87</v>
      </c>
      <c r="K243" s="16" t="s">
        <v>88</v>
      </c>
      <c r="L243" s="17">
        <v>500</v>
      </c>
      <c r="M243" s="17">
        <v>80</v>
      </c>
      <c r="N243" s="17" t="s">
        <v>89</v>
      </c>
      <c r="O243" s="17" t="s">
        <v>89</v>
      </c>
      <c r="P243" s="16">
        <v>3.8</v>
      </c>
      <c r="Q243" s="16">
        <v>4.2</v>
      </c>
      <c r="R243" s="16">
        <v>3.7</v>
      </c>
      <c r="S243" s="16">
        <v>2.7</v>
      </c>
      <c r="T243" s="16">
        <v>0.76</v>
      </c>
      <c r="U243" s="16">
        <v>7.6</v>
      </c>
      <c r="V243" s="18">
        <v>0.5</v>
      </c>
      <c r="W243" s="16">
        <v>82</v>
      </c>
      <c r="X243" s="16">
        <v>39.487499999999997</v>
      </c>
      <c r="Y243" s="16">
        <v>1.75</v>
      </c>
      <c r="Z243" s="16">
        <v>0.76</v>
      </c>
      <c r="AA243" s="18">
        <v>0.5</v>
      </c>
      <c r="AB243" s="19" t="s">
        <v>89</v>
      </c>
      <c r="AC243" s="17">
        <v>135</v>
      </c>
      <c r="AD243" s="17">
        <v>6.5</v>
      </c>
      <c r="AE243" s="17">
        <v>45</v>
      </c>
      <c r="AF243" s="21" t="s">
        <v>90</v>
      </c>
      <c r="AH243" s="17" t="s">
        <v>91</v>
      </c>
      <c r="AJ243" s="24" t="s">
        <v>98</v>
      </c>
      <c r="AL243" s="19" t="s">
        <v>94</v>
      </c>
      <c r="AM243" s="19" t="s">
        <v>89</v>
      </c>
      <c r="AN243" s="19" t="s">
        <v>89</v>
      </c>
      <c r="AO243">
        <f t="shared" si="26"/>
        <v>1</v>
      </c>
      <c r="AP243">
        <f t="shared" si="27"/>
        <v>60.25</v>
      </c>
      <c r="AR243">
        <f t="shared" si="28"/>
        <v>171.46341463414635</v>
      </c>
    </row>
    <row r="244" spans="1:44">
      <c r="A244" t="s">
        <v>1011</v>
      </c>
      <c r="B244">
        <v>242</v>
      </c>
      <c r="C244" s="16" t="s">
        <v>1012</v>
      </c>
      <c r="D244" s="16" t="s">
        <v>1013</v>
      </c>
      <c r="E244" s="16" t="s">
        <v>514</v>
      </c>
      <c r="F244" s="16" t="s">
        <v>982</v>
      </c>
      <c r="G244" s="16" t="s">
        <v>1009</v>
      </c>
      <c r="H244" s="16" t="s">
        <v>85</v>
      </c>
      <c r="I244" s="16" t="s">
        <v>1014</v>
      </c>
      <c r="J244" s="16" t="s">
        <v>87</v>
      </c>
      <c r="K244" s="16" t="s">
        <v>88</v>
      </c>
      <c r="L244" s="17">
        <v>500</v>
      </c>
      <c r="M244" s="17">
        <v>80</v>
      </c>
      <c r="N244" s="17" t="s">
        <v>89</v>
      </c>
      <c r="O244" s="17" t="s">
        <v>89</v>
      </c>
      <c r="P244" s="16">
        <v>5.6</v>
      </c>
      <c r="Q244" s="16">
        <v>4.2</v>
      </c>
      <c r="R244" s="16">
        <v>3.7</v>
      </c>
      <c r="S244" s="16">
        <v>2.7</v>
      </c>
      <c r="T244" s="16">
        <v>1.1199999999999999</v>
      </c>
      <c r="U244" s="16">
        <v>11.2</v>
      </c>
      <c r="V244" s="18">
        <v>0.5</v>
      </c>
      <c r="W244" s="16">
        <v>105</v>
      </c>
      <c r="X244" s="16">
        <v>51.637500000000003</v>
      </c>
      <c r="Y244" s="16">
        <v>5.6</v>
      </c>
      <c r="Z244" s="16">
        <v>1.1199999999999999</v>
      </c>
      <c r="AA244" s="18">
        <v>0.5</v>
      </c>
      <c r="AB244" s="19" t="s">
        <v>89</v>
      </c>
      <c r="AC244" s="17">
        <v>135</v>
      </c>
      <c r="AD244" s="17">
        <v>8.5</v>
      </c>
      <c r="AE244" s="17">
        <v>45</v>
      </c>
      <c r="AF244" s="21" t="s">
        <v>90</v>
      </c>
      <c r="AG244" s="17">
        <v>2015</v>
      </c>
      <c r="AH244" s="17" t="s">
        <v>91</v>
      </c>
      <c r="AJ244" s="24" t="s">
        <v>1015</v>
      </c>
      <c r="AL244" s="19" t="s">
        <v>94</v>
      </c>
      <c r="AM244" s="19" t="s">
        <v>89</v>
      </c>
      <c r="AN244" s="19" t="s">
        <v>89</v>
      </c>
      <c r="AO244">
        <f t="shared" si="26"/>
        <v>1</v>
      </c>
      <c r="AP244">
        <f t="shared" si="27"/>
        <v>60.25</v>
      </c>
      <c r="AR244">
        <f t="shared" si="28"/>
        <v>197.33333333333334</v>
      </c>
    </row>
    <row r="245" spans="1:44">
      <c r="A245" t="s">
        <v>1016</v>
      </c>
      <c r="B245">
        <v>243</v>
      </c>
      <c r="C245" s="16" t="s">
        <v>1017</v>
      </c>
      <c r="D245" s="16" t="s">
        <v>1013</v>
      </c>
      <c r="E245" s="16" t="s">
        <v>514</v>
      </c>
      <c r="F245" s="16" t="s">
        <v>982</v>
      </c>
      <c r="G245" s="16" t="s">
        <v>1009</v>
      </c>
      <c r="H245" s="16" t="s">
        <v>85</v>
      </c>
      <c r="I245" s="16" t="s">
        <v>1014</v>
      </c>
      <c r="J245" s="16" t="s">
        <v>87</v>
      </c>
      <c r="K245" s="16" t="s">
        <v>88</v>
      </c>
      <c r="L245" s="17">
        <v>800</v>
      </c>
      <c r="M245" s="17">
        <v>80</v>
      </c>
      <c r="N245" s="17" t="s">
        <v>89</v>
      </c>
      <c r="O245" s="17" t="s">
        <v>89</v>
      </c>
      <c r="P245" s="16">
        <v>5.6</v>
      </c>
      <c r="Q245" s="16">
        <v>4.2</v>
      </c>
      <c r="R245" s="16">
        <v>3.7</v>
      </c>
      <c r="S245" s="16">
        <v>2.7</v>
      </c>
      <c r="T245" s="16">
        <v>1.1199999999999999</v>
      </c>
      <c r="U245" s="16">
        <v>11.2</v>
      </c>
      <c r="V245" s="18">
        <v>0.2</v>
      </c>
      <c r="W245" s="16">
        <v>105</v>
      </c>
      <c r="X245" s="16">
        <v>51.637500000000003</v>
      </c>
      <c r="Y245" s="16">
        <v>5.6</v>
      </c>
      <c r="Z245" s="16">
        <v>1.1199999999999999</v>
      </c>
      <c r="AA245" s="18">
        <v>0.2</v>
      </c>
      <c r="AB245" s="19" t="s">
        <v>89</v>
      </c>
      <c r="AC245" s="17">
        <v>135</v>
      </c>
      <c r="AD245" s="17">
        <v>8.5</v>
      </c>
      <c r="AE245" s="17">
        <v>45</v>
      </c>
      <c r="AF245" s="21" t="s">
        <v>90</v>
      </c>
      <c r="AG245" s="17">
        <v>2015</v>
      </c>
      <c r="AH245" s="17" t="s">
        <v>91</v>
      </c>
      <c r="AJ245" s="24" t="s">
        <v>1015</v>
      </c>
      <c r="AL245" s="19" t="s">
        <v>94</v>
      </c>
      <c r="AM245" s="19" t="s">
        <v>89</v>
      </c>
      <c r="AN245" s="19" t="s">
        <v>89</v>
      </c>
      <c r="AO245">
        <f t="shared" si="26"/>
        <v>1</v>
      </c>
      <c r="AP245">
        <f t="shared" si="27"/>
        <v>60.25</v>
      </c>
      <c r="AR245">
        <f t="shared" si="28"/>
        <v>197.33333333333334</v>
      </c>
    </row>
    <row r="246" spans="1:44">
      <c r="A246" t="s">
        <v>1018</v>
      </c>
      <c r="B246">
        <v>244</v>
      </c>
      <c r="C246" s="16" t="s">
        <v>1019</v>
      </c>
      <c r="D246" s="16" t="s">
        <v>1020</v>
      </c>
      <c r="E246" s="16" t="s">
        <v>514</v>
      </c>
      <c r="F246" s="16" t="s">
        <v>982</v>
      </c>
      <c r="G246" s="16" t="s">
        <v>1009</v>
      </c>
      <c r="H246" s="16" t="s">
        <v>85</v>
      </c>
      <c r="I246" s="16" t="s">
        <v>1021</v>
      </c>
      <c r="J246" s="16" t="s">
        <v>87</v>
      </c>
      <c r="K246" s="16" t="s">
        <v>88</v>
      </c>
      <c r="L246" s="17">
        <v>500</v>
      </c>
      <c r="M246" s="17">
        <v>80</v>
      </c>
      <c r="N246" s="17" t="s">
        <v>89</v>
      </c>
      <c r="O246" s="17" t="s">
        <v>89</v>
      </c>
      <c r="P246" s="16">
        <v>5.6</v>
      </c>
      <c r="Q246" s="16">
        <v>4.2</v>
      </c>
      <c r="R246" s="16">
        <v>3.7</v>
      </c>
      <c r="S246" s="16">
        <v>2.7</v>
      </c>
      <c r="T246" s="16">
        <v>1.1199999999999999</v>
      </c>
      <c r="U246" s="16">
        <v>11.2</v>
      </c>
      <c r="V246" s="18">
        <v>0.5</v>
      </c>
      <c r="W246" s="16">
        <v>112</v>
      </c>
      <c r="X246" s="16">
        <v>51.792000000000002</v>
      </c>
      <c r="Y246" s="16">
        <v>5.6</v>
      </c>
      <c r="Z246" s="16">
        <v>1.1199999999999999</v>
      </c>
      <c r="AA246" s="18">
        <v>0.5</v>
      </c>
      <c r="AB246" s="19" t="s">
        <v>89</v>
      </c>
      <c r="AC246" s="17">
        <v>166</v>
      </c>
      <c r="AD246" s="17">
        <v>6.5</v>
      </c>
      <c r="AE246" s="17">
        <v>48</v>
      </c>
      <c r="AF246" s="21" t="s">
        <v>90</v>
      </c>
      <c r="AG246" s="17">
        <v>2018</v>
      </c>
      <c r="AH246" s="17" t="s">
        <v>91</v>
      </c>
      <c r="AJ246" s="24" t="s">
        <v>1022</v>
      </c>
      <c r="AL246" s="19" t="s">
        <v>94</v>
      </c>
      <c r="AM246" s="19" t="s">
        <v>89</v>
      </c>
      <c r="AN246" s="19" t="s">
        <v>89</v>
      </c>
      <c r="AO246">
        <f t="shared" si="26"/>
        <v>1</v>
      </c>
      <c r="AP246">
        <f t="shared" si="27"/>
        <v>60.25</v>
      </c>
      <c r="AR246">
        <f t="shared" si="28"/>
        <v>185</v>
      </c>
    </row>
    <row r="247" spans="1:44">
      <c r="A247" t="s">
        <v>1023</v>
      </c>
      <c r="B247">
        <v>245</v>
      </c>
      <c r="C247" s="16" t="s">
        <v>1024</v>
      </c>
      <c r="D247" s="16" t="s">
        <v>1025</v>
      </c>
      <c r="E247" s="16" t="s">
        <v>514</v>
      </c>
      <c r="F247" s="16" t="s">
        <v>982</v>
      </c>
      <c r="G247" s="16" t="s">
        <v>1009</v>
      </c>
      <c r="H247" s="16" t="s">
        <v>85</v>
      </c>
      <c r="I247" s="16" t="s">
        <v>1026</v>
      </c>
      <c r="J247" s="16" t="s">
        <v>87</v>
      </c>
      <c r="K247" s="16" t="s">
        <v>88</v>
      </c>
      <c r="L247" s="17">
        <v>500</v>
      </c>
      <c r="M247" s="17">
        <v>80</v>
      </c>
      <c r="N247" s="17" t="s">
        <v>89</v>
      </c>
      <c r="O247" s="17" t="s">
        <v>89</v>
      </c>
      <c r="P247" s="16">
        <v>5.2</v>
      </c>
      <c r="Q247" s="16">
        <v>4.2</v>
      </c>
      <c r="R247" s="16">
        <v>3.7</v>
      </c>
      <c r="S247" s="16">
        <v>2.7</v>
      </c>
      <c r="T247" s="16">
        <v>1.04</v>
      </c>
      <c r="U247" s="16">
        <v>10.4</v>
      </c>
      <c r="V247" s="18">
        <v>0.5</v>
      </c>
      <c r="W247" s="16">
        <v>110</v>
      </c>
      <c r="X247" s="16">
        <v>54.182400000000001</v>
      </c>
      <c r="Y247" s="16">
        <v>5.2</v>
      </c>
      <c r="Z247" s="16">
        <v>1.04</v>
      </c>
      <c r="AA247" s="18">
        <v>0.5</v>
      </c>
      <c r="AB247" s="19" t="s">
        <v>89</v>
      </c>
      <c r="AC247" s="17">
        <v>166</v>
      </c>
      <c r="AD247" s="17">
        <v>6.8</v>
      </c>
      <c r="AE247" s="17">
        <v>48</v>
      </c>
      <c r="AF247" s="21" t="s">
        <v>90</v>
      </c>
      <c r="AG247" s="17">
        <v>2017</v>
      </c>
      <c r="AH247" s="17" t="s">
        <v>91</v>
      </c>
      <c r="AJ247" s="24" t="s">
        <v>1022</v>
      </c>
      <c r="AL247" s="19" t="s">
        <v>94</v>
      </c>
      <c r="AM247" s="19" t="s">
        <v>89</v>
      </c>
      <c r="AN247" s="19" t="s">
        <v>89</v>
      </c>
      <c r="AO247">
        <f t="shared" si="26"/>
        <v>1</v>
      </c>
      <c r="AP247">
        <f t="shared" si="27"/>
        <v>60.25</v>
      </c>
      <c r="AR247">
        <f t="shared" si="28"/>
        <v>174.90909090909093</v>
      </c>
    </row>
    <row r="248" spans="1:44">
      <c r="A248" t="s">
        <v>1027</v>
      </c>
      <c r="B248">
        <v>246</v>
      </c>
      <c r="C248" s="16" t="s">
        <v>1028</v>
      </c>
      <c r="D248" s="16" t="s">
        <v>1029</v>
      </c>
      <c r="E248" s="16" t="s">
        <v>514</v>
      </c>
      <c r="F248" s="16" t="s">
        <v>982</v>
      </c>
      <c r="G248" s="16" t="s">
        <v>1009</v>
      </c>
      <c r="H248" s="16" t="s">
        <v>85</v>
      </c>
      <c r="I248" s="16" t="s">
        <v>1030</v>
      </c>
      <c r="J248" s="16" t="s">
        <v>87</v>
      </c>
      <c r="K248" s="16" t="s">
        <v>88</v>
      </c>
      <c r="L248" s="17">
        <v>500</v>
      </c>
      <c r="M248" s="17">
        <v>80</v>
      </c>
      <c r="N248" s="17" t="s">
        <v>89</v>
      </c>
      <c r="O248" s="17" t="s">
        <v>89</v>
      </c>
      <c r="P248" s="16">
        <v>6.2</v>
      </c>
      <c r="Q248" s="16">
        <v>4.2</v>
      </c>
      <c r="R248" s="16">
        <v>3.7</v>
      </c>
      <c r="S248" s="16">
        <v>2.7</v>
      </c>
      <c r="T248" s="16">
        <v>1.2400000000000002</v>
      </c>
      <c r="U248" s="16">
        <v>12.4</v>
      </c>
      <c r="V248" s="18">
        <v>0.5</v>
      </c>
      <c r="W248" s="16">
        <v>124.5</v>
      </c>
      <c r="X248" s="16">
        <v>59.76</v>
      </c>
      <c r="Y248" s="16">
        <v>6.2</v>
      </c>
      <c r="Z248" s="16">
        <v>1.2400000000000002</v>
      </c>
      <c r="AA248" s="18">
        <v>0.5</v>
      </c>
      <c r="AB248" s="19" t="s">
        <v>89</v>
      </c>
      <c r="AC248" s="17">
        <v>166</v>
      </c>
      <c r="AD248" s="17">
        <v>7.5</v>
      </c>
      <c r="AE248" s="17">
        <v>48</v>
      </c>
      <c r="AF248" s="21" t="s">
        <v>90</v>
      </c>
      <c r="AG248" s="17">
        <v>2017</v>
      </c>
      <c r="AH248" s="17" t="s">
        <v>91</v>
      </c>
      <c r="AJ248" s="24" t="s">
        <v>1031</v>
      </c>
      <c r="AL248" s="19" t="s">
        <v>94</v>
      </c>
      <c r="AM248" s="19" t="s">
        <v>89</v>
      </c>
      <c r="AN248" s="19" t="s">
        <v>89</v>
      </c>
      <c r="AO248">
        <f t="shared" si="26"/>
        <v>1</v>
      </c>
      <c r="AP248">
        <f t="shared" si="27"/>
        <v>60.25</v>
      </c>
      <c r="AR248">
        <f t="shared" si="28"/>
        <v>184.2570281124498</v>
      </c>
    </row>
    <row r="249" spans="1:44">
      <c r="A249" t="s">
        <v>1032</v>
      </c>
      <c r="B249">
        <v>247</v>
      </c>
      <c r="C249" s="16" t="s">
        <v>1033</v>
      </c>
      <c r="D249" s="16" t="s">
        <v>1034</v>
      </c>
      <c r="E249" s="16" t="s">
        <v>514</v>
      </c>
      <c r="F249" s="16" t="s">
        <v>982</v>
      </c>
      <c r="G249" s="16" t="s">
        <v>1009</v>
      </c>
      <c r="H249" s="16" t="s">
        <v>85</v>
      </c>
      <c r="I249" s="16" t="s">
        <v>1035</v>
      </c>
      <c r="J249" s="16" t="s">
        <v>87</v>
      </c>
      <c r="K249" s="16" t="s">
        <v>88</v>
      </c>
      <c r="L249" s="17">
        <v>500</v>
      </c>
      <c r="M249" s="17">
        <v>80</v>
      </c>
      <c r="N249" s="17" t="s">
        <v>89</v>
      </c>
      <c r="O249" s="17" t="s">
        <v>89</v>
      </c>
      <c r="P249" s="16">
        <v>3.9</v>
      </c>
      <c r="Q249" s="16">
        <v>4.2</v>
      </c>
      <c r="R249" s="16">
        <v>3.7</v>
      </c>
      <c r="S249" s="16">
        <v>2.7</v>
      </c>
      <c r="T249" s="16">
        <v>0.78</v>
      </c>
      <c r="U249" s="16">
        <v>7.8</v>
      </c>
      <c r="V249" s="18">
        <v>0.5</v>
      </c>
      <c r="W249" s="16">
        <v>78</v>
      </c>
      <c r="X249" s="16">
        <v>36.125</v>
      </c>
      <c r="Y249" s="16">
        <v>3.9</v>
      </c>
      <c r="Z249" s="16">
        <v>0.78</v>
      </c>
      <c r="AA249" s="18">
        <v>0.5</v>
      </c>
      <c r="AB249" s="19" t="s">
        <v>89</v>
      </c>
      <c r="AC249" s="17">
        <v>85</v>
      </c>
      <c r="AD249" s="17">
        <v>8.5</v>
      </c>
      <c r="AE249" s="17">
        <v>50</v>
      </c>
      <c r="AF249" s="21" t="s">
        <v>90</v>
      </c>
      <c r="AG249" s="17">
        <v>2015</v>
      </c>
      <c r="AH249" s="17" t="s">
        <v>91</v>
      </c>
      <c r="AL249" s="19" t="s">
        <v>94</v>
      </c>
      <c r="AM249" s="19" t="s">
        <v>89</v>
      </c>
      <c r="AN249" s="19" t="s">
        <v>89</v>
      </c>
      <c r="AO249">
        <f t="shared" si="26"/>
        <v>1</v>
      </c>
      <c r="AP249">
        <f t="shared" si="27"/>
        <v>60.25</v>
      </c>
      <c r="AR249">
        <f t="shared" si="28"/>
        <v>185</v>
      </c>
    </row>
    <row r="250" spans="1:44">
      <c r="A250" t="s">
        <v>1036</v>
      </c>
      <c r="B250">
        <v>248</v>
      </c>
      <c r="C250" s="16" t="s">
        <v>1037</v>
      </c>
      <c r="D250" s="16" t="s">
        <v>1038</v>
      </c>
      <c r="E250" s="16" t="s">
        <v>514</v>
      </c>
      <c r="F250" s="16" t="s">
        <v>982</v>
      </c>
      <c r="G250" s="16" t="s">
        <v>1009</v>
      </c>
      <c r="H250" s="16" t="s">
        <v>85</v>
      </c>
      <c r="I250" s="16" t="s">
        <v>1039</v>
      </c>
      <c r="J250" s="16" t="s">
        <v>87</v>
      </c>
      <c r="K250" s="16" t="s">
        <v>88</v>
      </c>
      <c r="L250" s="17">
        <v>500</v>
      </c>
      <c r="M250" s="17">
        <v>80</v>
      </c>
      <c r="N250" s="17" t="s">
        <v>89</v>
      </c>
      <c r="O250" s="17" t="s">
        <v>89</v>
      </c>
      <c r="P250" s="16">
        <v>5.5</v>
      </c>
      <c r="Q250" s="16">
        <v>4.2</v>
      </c>
      <c r="R250" s="16">
        <v>3.7</v>
      </c>
      <c r="S250" s="16">
        <v>2.7</v>
      </c>
      <c r="T250" s="16">
        <v>1.1000000000000001</v>
      </c>
      <c r="U250" s="16">
        <v>11</v>
      </c>
      <c r="V250" s="18">
        <v>0.5</v>
      </c>
      <c r="W250" s="16">
        <v>110</v>
      </c>
      <c r="X250" s="16">
        <v>50.030999999999999</v>
      </c>
      <c r="Y250" s="16">
        <v>5.5</v>
      </c>
      <c r="Z250" s="16">
        <v>1.1000000000000001</v>
      </c>
      <c r="AA250" s="18">
        <v>0.5</v>
      </c>
      <c r="AB250" s="19" t="s">
        <v>89</v>
      </c>
      <c r="AC250" s="17">
        <v>109</v>
      </c>
      <c r="AD250" s="17">
        <v>9</v>
      </c>
      <c r="AE250" s="17">
        <v>51</v>
      </c>
      <c r="AF250" s="21" t="s">
        <v>90</v>
      </c>
      <c r="AG250" s="17">
        <v>2018</v>
      </c>
      <c r="AH250" s="17" t="s">
        <v>91</v>
      </c>
      <c r="AL250" s="19" t="s">
        <v>94</v>
      </c>
      <c r="AM250" s="19" t="s">
        <v>89</v>
      </c>
      <c r="AN250" s="19" t="s">
        <v>89</v>
      </c>
      <c r="AO250">
        <f t="shared" si="26"/>
        <v>1</v>
      </c>
      <c r="AP250">
        <f t="shared" si="27"/>
        <v>60.25</v>
      </c>
      <c r="AR250">
        <f t="shared" si="28"/>
        <v>185</v>
      </c>
    </row>
    <row r="251" spans="1:44">
      <c r="A251" t="s">
        <v>1040</v>
      </c>
      <c r="B251">
        <v>249</v>
      </c>
      <c r="C251" s="16" t="s">
        <v>1041</v>
      </c>
      <c r="D251" s="16" t="s">
        <v>1042</v>
      </c>
      <c r="E251" s="16" t="s">
        <v>514</v>
      </c>
      <c r="F251" s="16" t="s">
        <v>982</v>
      </c>
      <c r="G251" s="16" t="s">
        <v>1009</v>
      </c>
      <c r="H251" s="16" t="s">
        <v>85</v>
      </c>
      <c r="I251" s="16" t="s">
        <v>1043</v>
      </c>
      <c r="J251" s="16" t="s">
        <v>87</v>
      </c>
      <c r="K251" s="16" t="s">
        <v>88</v>
      </c>
      <c r="L251" s="17">
        <v>500</v>
      </c>
      <c r="M251" s="17">
        <v>80</v>
      </c>
      <c r="N251" s="17" t="s">
        <v>89</v>
      </c>
      <c r="O251" s="17" t="s">
        <v>89</v>
      </c>
      <c r="P251" s="16">
        <v>4</v>
      </c>
      <c r="Q251" s="16">
        <v>4.2</v>
      </c>
      <c r="R251" s="16">
        <v>3.7</v>
      </c>
      <c r="S251" s="16">
        <v>2.7</v>
      </c>
      <c r="T251" s="16">
        <v>0.8</v>
      </c>
      <c r="U251" s="16">
        <v>8</v>
      </c>
      <c r="V251" s="18">
        <v>0.5</v>
      </c>
      <c r="W251" s="16">
        <v>72</v>
      </c>
      <c r="X251" s="16">
        <v>36.432000000000002</v>
      </c>
      <c r="Y251" s="16">
        <v>4</v>
      </c>
      <c r="Z251" s="16">
        <v>0.8</v>
      </c>
      <c r="AA251" s="18">
        <v>0.5</v>
      </c>
      <c r="AB251" s="19" t="s">
        <v>89</v>
      </c>
      <c r="AC251" s="17">
        <v>72</v>
      </c>
      <c r="AD251" s="17">
        <v>9.1999999999999993</v>
      </c>
      <c r="AE251" s="17">
        <v>55</v>
      </c>
      <c r="AF251" s="21" t="s">
        <v>90</v>
      </c>
      <c r="AG251" s="17">
        <v>2017</v>
      </c>
      <c r="AH251" s="17" t="s">
        <v>91</v>
      </c>
      <c r="AJ251" s="24" t="s">
        <v>1044</v>
      </c>
      <c r="AL251" s="19" t="s">
        <v>94</v>
      </c>
      <c r="AM251" s="19" t="s">
        <v>89</v>
      </c>
      <c r="AN251" s="19" t="s">
        <v>89</v>
      </c>
      <c r="AO251">
        <f t="shared" si="26"/>
        <v>1</v>
      </c>
      <c r="AP251">
        <f t="shared" si="27"/>
        <v>60.25</v>
      </c>
      <c r="AR251">
        <f t="shared" si="28"/>
        <v>205.55555555555557</v>
      </c>
    </row>
    <row r="252" spans="1:44">
      <c r="A252" t="s">
        <v>1045</v>
      </c>
      <c r="B252">
        <v>250</v>
      </c>
      <c r="C252" s="16" t="s">
        <v>1046</v>
      </c>
      <c r="D252" s="16" t="s">
        <v>1047</v>
      </c>
      <c r="E252" s="16" t="s">
        <v>514</v>
      </c>
      <c r="F252" s="16" t="s">
        <v>982</v>
      </c>
      <c r="G252" s="16" t="s">
        <v>1009</v>
      </c>
      <c r="H252" s="16" t="s">
        <v>85</v>
      </c>
      <c r="I252" s="16" t="s">
        <v>1048</v>
      </c>
      <c r="J252" s="16" t="s">
        <v>87</v>
      </c>
      <c r="K252" s="16" t="s">
        <v>88</v>
      </c>
      <c r="L252" s="17">
        <v>500</v>
      </c>
      <c r="M252" s="17">
        <v>80</v>
      </c>
      <c r="N252" s="17" t="s">
        <v>89</v>
      </c>
      <c r="O252" s="17" t="s">
        <v>89</v>
      </c>
      <c r="P252" s="16">
        <v>4</v>
      </c>
      <c r="Q252" s="16">
        <v>4.2</v>
      </c>
      <c r="R252" s="16">
        <v>3.7</v>
      </c>
      <c r="S252" s="16">
        <v>2.7</v>
      </c>
      <c r="T252" s="16">
        <v>0.8</v>
      </c>
      <c r="U252" s="16">
        <v>8</v>
      </c>
      <c r="V252" s="18">
        <v>0.5</v>
      </c>
      <c r="W252" s="16">
        <v>80</v>
      </c>
      <c r="X252" s="16">
        <v>38.826500000000003</v>
      </c>
      <c r="Y252" s="16">
        <v>4</v>
      </c>
      <c r="Z252" s="16">
        <v>0.8</v>
      </c>
      <c r="AA252" s="18">
        <v>0.5</v>
      </c>
      <c r="AB252" s="19" t="s">
        <v>89</v>
      </c>
      <c r="AC252" s="17">
        <v>67</v>
      </c>
      <c r="AD252" s="17">
        <v>9.5</v>
      </c>
      <c r="AE252" s="17">
        <v>61</v>
      </c>
      <c r="AF252" s="21" t="s">
        <v>90</v>
      </c>
      <c r="AG252" s="17">
        <v>2015</v>
      </c>
      <c r="AH252" s="17" t="s">
        <v>91</v>
      </c>
      <c r="AJ252" s="24" t="s">
        <v>1049</v>
      </c>
      <c r="AL252" s="19" t="s">
        <v>94</v>
      </c>
      <c r="AM252" s="19" t="s">
        <v>89</v>
      </c>
      <c r="AN252" s="19" t="s">
        <v>89</v>
      </c>
      <c r="AO252">
        <f t="shared" si="26"/>
        <v>1</v>
      </c>
      <c r="AP252">
        <f t="shared" si="27"/>
        <v>60.25</v>
      </c>
      <c r="AR252">
        <f t="shared" si="28"/>
        <v>185</v>
      </c>
    </row>
    <row r="253" spans="1:44">
      <c r="A253" t="s">
        <v>1050</v>
      </c>
      <c r="B253">
        <v>251</v>
      </c>
      <c r="C253" s="16" t="s">
        <v>1051</v>
      </c>
      <c r="D253" s="16" t="s">
        <v>1052</v>
      </c>
      <c r="E253" s="16" t="s">
        <v>514</v>
      </c>
      <c r="F253" s="16" t="s">
        <v>982</v>
      </c>
      <c r="G253" s="16" t="s">
        <v>1009</v>
      </c>
      <c r="H253" s="16" t="s">
        <v>85</v>
      </c>
      <c r="I253" s="16" t="s">
        <v>1053</v>
      </c>
      <c r="J253" s="16" t="s">
        <v>87</v>
      </c>
      <c r="K253" s="16" t="s">
        <v>88</v>
      </c>
      <c r="L253" s="17">
        <v>500</v>
      </c>
      <c r="M253" s="17">
        <v>80</v>
      </c>
      <c r="N253" s="17" t="s">
        <v>89</v>
      </c>
      <c r="O253" s="17" t="s">
        <v>89</v>
      </c>
      <c r="P253" s="16">
        <v>4</v>
      </c>
      <c r="Q253" s="16">
        <v>4.2</v>
      </c>
      <c r="R253" s="16">
        <v>3.7</v>
      </c>
      <c r="S253" s="16">
        <v>2.7</v>
      </c>
      <c r="T253" s="16">
        <v>0.8</v>
      </c>
      <c r="U253" s="16">
        <v>8</v>
      </c>
      <c r="V253" s="18">
        <v>0.5</v>
      </c>
      <c r="W253" s="16">
        <v>80</v>
      </c>
      <c r="X253" s="16">
        <v>37.271000000000001</v>
      </c>
      <c r="Y253" s="16">
        <v>4</v>
      </c>
      <c r="Z253" s="16">
        <v>0.8</v>
      </c>
      <c r="AA253" s="18">
        <v>0.5</v>
      </c>
      <c r="AB253" s="19" t="s">
        <v>89</v>
      </c>
      <c r="AC253" s="17">
        <v>94</v>
      </c>
      <c r="AD253" s="17">
        <v>6.5</v>
      </c>
      <c r="AE253" s="17">
        <v>61</v>
      </c>
      <c r="AF253" s="21" t="s">
        <v>90</v>
      </c>
      <c r="AG253" s="17">
        <v>2015</v>
      </c>
      <c r="AH253" s="17" t="s">
        <v>91</v>
      </c>
      <c r="AJ253" s="24" t="s">
        <v>1054</v>
      </c>
      <c r="AL253" s="19" t="s">
        <v>94</v>
      </c>
      <c r="AM253" s="19" t="s">
        <v>89</v>
      </c>
      <c r="AN253" s="19" t="s">
        <v>89</v>
      </c>
      <c r="AO253">
        <f t="shared" si="26"/>
        <v>1</v>
      </c>
      <c r="AP253">
        <f t="shared" si="27"/>
        <v>60.25</v>
      </c>
      <c r="AR253">
        <f t="shared" si="28"/>
        <v>185</v>
      </c>
    </row>
    <row r="254" spans="1:44">
      <c r="A254" t="s">
        <v>1055</v>
      </c>
      <c r="B254">
        <v>252</v>
      </c>
      <c r="C254" s="16" t="s">
        <v>1056</v>
      </c>
      <c r="D254" s="16" t="s">
        <v>1057</v>
      </c>
      <c r="E254" s="16" t="s">
        <v>514</v>
      </c>
      <c r="F254" s="16" t="s">
        <v>982</v>
      </c>
      <c r="G254" s="16" t="s">
        <v>1009</v>
      </c>
      <c r="H254" s="16" t="s">
        <v>85</v>
      </c>
      <c r="I254" s="16" t="s">
        <v>1058</v>
      </c>
      <c r="J254" s="16" t="s">
        <v>87</v>
      </c>
      <c r="K254" s="16" t="s">
        <v>88</v>
      </c>
      <c r="L254" s="17">
        <v>500</v>
      </c>
      <c r="M254" s="17">
        <v>80</v>
      </c>
      <c r="N254" s="17" t="s">
        <v>89</v>
      </c>
      <c r="O254" s="17" t="s">
        <v>89</v>
      </c>
      <c r="P254" s="16">
        <v>3.8</v>
      </c>
      <c r="Q254" s="16">
        <v>4.2</v>
      </c>
      <c r="R254" s="16">
        <v>3.7</v>
      </c>
      <c r="S254" s="16">
        <v>2.7</v>
      </c>
      <c r="T254" s="16">
        <v>0.76</v>
      </c>
      <c r="U254" s="16">
        <v>7.6</v>
      </c>
      <c r="V254" s="18">
        <v>0.5</v>
      </c>
      <c r="W254" s="16">
        <v>71.5</v>
      </c>
      <c r="X254" s="16">
        <v>36.89</v>
      </c>
      <c r="Y254" s="16">
        <v>3.8</v>
      </c>
      <c r="Z254" s="16">
        <v>0.76</v>
      </c>
      <c r="AA254" s="18">
        <v>0.5</v>
      </c>
      <c r="AB254" s="19" t="s">
        <v>89</v>
      </c>
      <c r="AC254" s="17">
        <v>70</v>
      </c>
      <c r="AD254" s="17">
        <v>8.5</v>
      </c>
      <c r="AE254" s="17">
        <v>62</v>
      </c>
      <c r="AF254" s="21" t="s">
        <v>90</v>
      </c>
      <c r="AG254" s="17">
        <v>2015</v>
      </c>
      <c r="AH254" s="17" t="s">
        <v>91</v>
      </c>
      <c r="AJ254" s="24" t="s">
        <v>1059</v>
      </c>
      <c r="AL254" s="19" t="s">
        <v>94</v>
      </c>
      <c r="AM254" s="19" t="s">
        <v>89</v>
      </c>
      <c r="AN254" s="19" t="s">
        <v>89</v>
      </c>
      <c r="AO254">
        <f t="shared" si="26"/>
        <v>1</v>
      </c>
      <c r="AP254">
        <f t="shared" si="27"/>
        <v>60.25</v>
      </c>
      <c r="AR254">
        <f t="shared" si="28"/>
        <v>196.64335664335667</v>
      </c>
    </row>
    <row r="255" spans="1:44">
      <c r="A255" t="s">
        <v>1060</v>
      </c>
      <c r="B255">
        <v>253</v>
      </c>
      <c r="C255" s="16" t="s">
        <v>1061</v>
      </c>
      <c r="D255" s="16" t="s">
        <v>1062</v>
      </c>
      <c r="E255" s="16" t="s">
        <v>514</v>
      </c>
      <c r="F255" s="16" t="s">
        <v>982</v>
      </c>
      <c r="G255" s="16" t="s">
        <v>1009</v>
      </c>
      <c r="H255" s="16" t="s">
        <v>85</v>
      </c>
      <c r="I255" s="16" t="s">
        <v>1063</v>
      </c>
      <c r="J255" s="16" t="s">
        <v>87</v>
      </c>
      <c r="K255" s="16" t="s">
        <v>88</v>
      </c>
      <c r="L255" s="17">
        <v>500</v>
      </c>
      <c r="M255" s="17">
        <v>80</v>
      </c>
      <c r="N255" s="17" t="s">
        <v>89</v>
      </c>
      <c r="O255" s="17" t="s">
        <v>89</v>
      </c>
      <c r="P255" s="16">
        <v>4.8</v>
      </c>
      <c r="Q255" s="16">
        <v>4.2</v>
      </c>
      <c r="R255" s="16">
        <v>3.7</v>
      </c>
      <c r="S255" s="16">
        <v>2.7</v>
      </c>
      <c r="T255" s="16">
        <v>0.96</v>
      </c>
      <c r="U255" s="16">
        <v>9.6</v>
      </c>
      <c r="V255" s="18">
        <v>0.5</v>
      </c>
      <c r="W255" s="16">
        <v>96</v>
      </c>
      <c r="X255" s="16">
        <v>50</v>
      </c>
      <c r="Y255" s="16">
        <v>4.8</v>
      </c>
      <c r="Z255" s="16">
        <v>0.96</v>
      </c>
      <c r="AA255" s="18">
        <v>0.5</v>
      </c>
      <c r="AB255" s="19" t="s">
        <v>89</v>
      </c>
      <c r="AC255" s="17">
        <v>100</v>
      </c>
      <c r="AD255" s="17">
        <v>5</v>
      </c>
      <c r="AE255" s="17">
        <v>100</v>
      </c>
      <c r="AF255" s="21" t="s">
        <v>90</v>
      </c>
      <c r="AG255" s="17">
        <v>2018</v>
      </c>
      <c r="AH255" s="17" t="s">
        <v>91</v>
      </c>
      <c r="AJ255" s="24" t="s">
        <v>1064</v>
      </c>
      <c r="AL255" s="19" t="s">
        <v>94</v>
      </c>
      <c r="AM255" s="19" t="s">
        <v>89</v>
      </c>
      <c r="AN255" s="19" t="s">
        <v>89</v>
      </c>
      <c r="AO255">
        <f t="shared" si="26"/>
        <v>1</v>
      </c>
      <c r="AP255">
        <f t="shared" si="27"/>
        <v>60.25</v>
      </c>
      <c r="AR255">
        <f t="shared" si="28"/>
        <v>185</v>
      </c>
    </row>
    <row r="256" spans="1:44">
      <c r="A256" t="s">
        <v>1065</v>
      </c>
      <c r="B256">
        <v>254</v>
      </c>
      <c r="C256" s="16" t="s">
        <v>1066</v>
      </c>
      <c r="D256" s="16" t="s">
        <v>1066</v>
      </c>
      <c r="E256" s="16" t="s">
        <v>514</v>
      </c>
      <c r="F256" s="16" t="s">
        <v>982</v>
      </c>
      <c r="G256" s="16" t="s">
        <v>1009</v>
      </c>
      <c r="H256" s="16" t="s">
        <v>85</v>
      </c>
      <c r="I256" s="16" t="s">
        <v>1067</v>
      </c>
      <c r="J256" s="16" t="s">
        <v>87</v>
      </c>
      <c r="K256" s="16" t="s">
        <v>88</v>
      </c>
      <c r="L256" s="17">
        <v>500</v>
      </c>
      <c r="M256" s="17">
        <v>80</v>
      </c>
      <c r="N256" s="17" t="s">
        <v>89</v>
      </c>
      <c r="O256" s="17" t="s">
        <v>89</v>
      </c>
      <c r="P256" s="16">
        <v>6.8</v>
      </c>
      <c r="Q256" s="16">
        <v>4.2</v>
      </c>
      <c r="R256" s="16">
        <v>3.7</v>
      </c>
      <c r="S256" s="16">
        <v>2.7</v>
      </c>
      <c r="T256" s="16">
        <v>1.36</v>
      </c>
      <c r="U256" s="16">
        <v>13.6</v>
      </c>
      <c r="V256" s="18">
        <v>0.5</v>
      </c>
      <c r="W256" s="16">
        <v>124</v>
      </c>
      <c r="X256" s="16">
        <v>61</v>
      </c>
      <c r="Y256" s="16">
        <v>6.4</v>
      </c>
      <c r="Z256" s="16">
        <v>1.36</v>
      </c>
      <c r="AA256" s="18">
        <v>0.5</v>
      </c>
      <c r="AB256" s="19" t="s">
        <v>89</v>
      </c>
      <c r="AC256" s="17">
        <v>100</v>
      </c>
      <c r="AD256" s="17">
        <v>6.1</v>
      </c>
      <c r="AE256" s="17">
        <v>100</v>
      </c>
      <c r="AF256" s="21" t="s">
        <v>90</v>
      </c>
      <c r="AH256" s="17" t="s">
        <v>91</v>
      </c>
      <c r="AJ256" s="24" t="s">
        <v>98</v>
      </c>
      <c r="AL256" s="19" t="s">
        <v>94</v>
      </c>
      <c r="AM256" s="19" t="s">
        <v>89</v>
      </c>
      <c r="AN256" s="19" t="s">
        <v>89</v>
      </c>
      <c r="AO256">
        <f t="shared" si="26"/>
        <v>1</v>
      </c>
      <c r="AP256">
        <f t="shared" si="27"/>
        <v>60.25</v>
      </c>
      <c r="AR256">
        <f t="shared" si="28"/>
        <v>202.90322580645162</v>
      </c>
    </row>
    <row r="257" spans="1:44">
      <c r="A257" t="s">
        <v>1068</v>
      </c>
      <c r="B257">
        <v>255</v>
      </c>
      <c r="C257" s="16" t="s">
        <v>1069</v>
      </c>
      <c r="D257" s="16" t="s">
        <v>1070</v>
      </c>
      <c r="E257" s="16" t="s">
        <v>514</v>
      </c>
      <c r="F257" s="16" t="s">
        <v>982</v>
      </c>
      <c r="G257" s="16" t="s">
        <v>1009</v>
      </c>
      <c r="H257" s="16" t="s">
        <v>85</v>
      </c>
      <c r="I257" s="16" t="s">
        <v>1071</v>
      </c>
      <c r="J257" s="16" t="s">
        <v>87</v>
      </c>
      <c r="K257" s="16" t="s">
        <v>88</v>
      </c>
      <c r="L257" s="17">
        <v>500</v>
      </c>
      <c r="M257" s="17">
        <v>80</v>
      </c>
      <c r="N257" s="17" t="s">
        <v>89</v>
      </c>
      <c r="O257" s="17" t="s">
        <v>89</v>
      </c>
      <c r="P257" s="16">
        <v>5.2</v>
      </c>
      <c r="Q257" s="16">
        <v>4.2</v>
      </c>
      <c r="R257" s="16">
        <v>3.7</v>
      </c>
      <c r="S257" s="16">
        <v>2.7</v>
      </c>
      <c r="T257" s="16">
        <v>1.04</v>
      </c>
      <c r="U257" s="16">
        <v>10.4</v>
      </c>
      <c r="V257" s="18">
        <v>0.5</v>
      </c>
      <c r="W257" s="16">
        <v>104</v>
      </c>
      <c r="X257" s="16">
        <v>47.750799999999998</v>
      </c>
      <c r="Y257" s="16">
        <v>5.2</v>
      </c>
      <c r="Z257" s="16">
        <v>1.04</v>
      </c>
      <c r="AA257" s="18">
        <v>0.5</v>
      </c>
      <c r="AB257" s="19" t="s">
        <v>89</v>
      </c>
      <c r="AC257" s="17">
        <v>122</v>
      </c>
      <c r="AD257" s="17">
        <v>3.8</v>
      </c>
      <c r="AE257" s="17">
        <v>103</v>
      </c>
      <c r="AF257" s="21" t="s">
        <v>90</v>
      </c>
      <c r="AG257" s="17">
        <v>2014</v>
      </c>
      <c r="AH257" s="17" t="s">
        <v>91</v>
      </c>
      <c r="AJ257" s="24" t="s">
        <v>1072</v>
      </c>
      <c r="AL257" s="19" t="s">
        <v>94</v>
      </c>
      <c r="AM257" s="19" t="s">
        <v>89</v>
      </c>
      <c r="AN257" s="19" t="s">
        <v>89</v>
      </c>
      <c r="AO257">
        <f t="shared" si="26"/>
        <v>1</v>
      </c>
      <c r="AP257">
        <f t="shared" si="27"/>
        <v>60.25</v>
      </c>
      <c r="AR257">
        <f t="shared" si="28"/>
        <v>185.00000000000003</v>
      </c>
    </row>
    <row r="258" spans="1:44">
      <c r="A258" t="s">
        <v>1073</v>
      </c>
      <c r="B258">
        <v>256</v>
      </c>
      <c r="C258" s="16" t="s">
        <v>1074</v>
      </c>
      <c r="D258" s="16" t="s">
        <v>1074</v>
      </c>
      <c r="E258" s="16" t="s">
        <v>514</v>
      </c>
      <c r="F258" s="16" t="s">
        <v>982</v>
      </c>
      <c r="G258" s="16" t="s">
        <v>1009</v>
      </c>
      <c r="H258" s="16" t="s">
        <v>85</v>
      </c>
      <c r="I258" s="16" t="s">
        <v>1075</v>
      </c>
      <c r="J258" s="16" t="s">
        <v>87</v>
      </c>
      <c r="K258" s="16" t="s">
        <v>88</v>
      </c>
      <c r="L258" s="17">
        <v>500</v>
      </c>
      <c r="M258" s="17">
        <v>80</v>
      </c>
      <c r="N258" s="17" t="s">
        <v>89</v>
      </c>
      <c r="O258" s="17" t="s">
        <v>89</v>
      </c>
      <c r="P258" s="16">
        <v>6.6</v>
      </c>
      <c r="Q258" s="16">
        <v>4.2</v>
      </c>
      <c r="R258" s="16">
        <v>3.7</v>
      </c>
      <c r="S258" s="16">
        <v>2.7</v>
      </c>
      <c r="T258" s="16">
        <v>1.32</v>
      </c>
      <c r="U258" s="16">
        <v>13.2</v>
      </c>
      <c r="V258" s="18">
        <v>0.5</v>
      </c>
      <c r="W258" s="16">
        <v>134</v>
      </c>
      <c r="X258" s="16">
        <v>69.113</v>
      </c>
      <c r="Y258" s="16">
        <v>3.3</v>
      </c>
      <c r="Z258" s="16">
        <v>1.32</v>
      </c>
      <c r="AA258" s="18">
        <v>0.5</v>
      </c>
      <c r="AB258" s="19" t="s">
        <v>89</v>
      </c>
      <c r="AC258" s="17">
        <v>122</v>
      </c>
      <c r="AD258" s="17">
        <v>5.5</v>
      </c>
      <c r="AE258" s="17">
        <v>103</v>
      </c>
      <c r="AF258" s="21" t="s">
        <v>90</v>
      </c>
      <c r="AH258" s="17" t="s">
        <v>91</v>
      </c>
      <c r="AJ258" s="24" t="s">
        <v>98</v>
      </c>
      <c r="AL258" s="19" t="s">
        <v>94</v>
      </c>
      <c r="AM258" s="19" t="s">
        <v>89</v>
      </c>
      <c r="AN258" s="19" t="s">
        <v>89</v>
      </c>
      <c r="AO258">
        <f t="shared" si="26"/>
        <v>1</v>
      </c>
      <c r="AP258">
        <f t="shared" si="27"/>
        <v>60.25</v>
      </c>
      <c r="AR258">
        <f t="shared" si="28"/>
        <v>182.23880597014923</v>
      </c>
    </row>
    <row r="259" spans="1:44">
      <c r="A259" t="s">
        <v>1076</v>
      </c>
      <c r="B259">
        <v>257</v>
      </c>
      <c r="C259" s="16" t="s">
        <v>1077</v>
      </c>
      <c r="D259" s="16" t="s">
        <v>1077</v>
      </c>
      <c r="E259" s="16" t="s">
        <v>514</v>
      </c>
      <c r="F259" s="16" t="s">
        <v>982</v>
      </c>
      <c r="G259" s="16" t="s">
        <v>1009</v>
      </c>
      <c r="H259" s="16" t="s">
        <v>85</v>
      </c>
      <c r="I259" s="16" t="s">
        <v>1078</v>
      </c>
      <c r="J259" s="16" t="s">
        <v>87</v>
      </c>
      <c r="K259" s="16" t="s">
        <v>88</v>
      </c>
      <c r="L259" s="17">
        <v>500</v>
      </c>
      <c r="M259" s="17">
        <v>80</v>
      </c>
      <c r="N259" s="17" t="s">
        <v>89</v>
      </c>
      <c r="O259" s="17" t="s">
        <v>89</v>
      </c>
      <c r="P259" s="16">
        <v>8.6999999999999993</v>
      </c>
      <c r="Q259" s="16">
        <v>4.2</v>
      </c>
      <c r="R259" s="16">
        <v>3.7</v>
      </c>
      <c r="S259" s="16">
        <v>2.7</v>
      </c>
      <c r="T259" s="16">
        <v>1.74</v>
      </c>
      <c r="U259" s="16">
        <v>17.399999999999999</v>
      </c>
      <c r="V259" s="18">
        <v>0.5</v>
      </c>
      <c r="W259" s="16">
        <v>173</v>
      </c>
      <c r="X259" s="16">
        <v>87.962000000000003</v>
      </c>
      <c r="Y259" s="16">
        <v>4.0999999999999996</v>
      </c>
      <c r="Z259" s="16">
        <v>1.74</v>
      </c>
      <c r="AA259" s="18">
        <v>0.5</v>
      </c>
      <c r="AB259" s="19" t="s">
        <v>89</v>
      </c>
      <c r="AC259" s="17">
        <v>122</v>
      </c>
      <c r="AD259" s="17">
        <v>7</v>
      </c>
      <c r="AE259" s="17">
        <v>103</v>
      </c>
      <c r="AF259" s="21" t="s">
        <v>90</v>
      </c>
      <c r="AH259" s="17" t="s">
        <v>91</v>
      </c>
      <c r="AJ259" s="24" t="s">
        <v>98</v>
      </c>
      <c r="AL259" s="19" t="s">
        <v>94</v>
      </c>
      <c r="AM259" s="19" t="s">
        <v>89</v>
      </c>
      <c r="AN259" s="19" t="s">
        <v>89</v>
      </c>
      <c r="AO259">
        <f t="shared" si="26"/>
        <v>1</v>
      </c>
      <c r="AP259">
        <f t="shared" si="27"/>
        <v>60.25</v>
      </c>
      <c r="AR259">
        <f t="shared" si="28"/>
        <v>186.06936416184971</v>
      </c>
    </row>
    <row r="260" spans="1:44">
      <c r="A260" t="s">
        <v>1079</v>
      </c>
      <c r="B260">
        <v>258</v>
      </c>
      <c r="C260" s="16" t="s">
        <v>1080</v>
      </c>
      <c r="D260" s="16" t="s">
        <v>1081</v>
      </c>
      <c r="E260" s="16" t="s">
        <v>514</v>
      </c>
      <c r="F260" s="16" t="s">
        <v>982</v>
      </c>
      <c r="G260" s="16" t="s">
        <v>1009</v>
      </c>
      <c r="H260" s="16" t="s">
        <v>85</v>
      </c>
      <c r="I260" s="16" t="s">
        <v>1026</v>
      </c>
      <c r="J260" s="16" t="s">
        <v>87</v>
      </c>
      <c r="K260" s="16" t="s">
        <v>88</v>
      </c>
      <c r="L260" s="17">
        <v>500</v>
      </c>
      <c r="M260" s="17">
        <v>80</v>
      </c>
      <c r="N260" s="17" t="s">
        <v>89</v>
      </c>
      <c r="O260" s="17" t="s">
        <v>89</v>
      </c>
      <c r="P260" s="16">
        <v>5.2</v>
      </c>
      <c r="Q260" s="16">
        <v>4.2</v>
      </c>
      <c r="R260" s="16">
        <v>3.7</v>
      </c>
      <c r="S260" s="16">
        <v>2.7</v>
      </c>
      <c r="T260" s="16">
        <v>1.04</v>
      </c>
      <c r="U260" s="16">
        <v>10.4</v>
      </c>
      <c r="V260" s="18">
        <v>0.5</v>
      </c>
      <c r="W260" s="16">
        <v>115</v>
      </c>
      <c r="X260" s="16">
        <v>54.182400000000001</v>
      </c>
      <c r="Y260" s="16">
        <v>5.2</v>
      </c>
      <c r="Z260" s="16">
        <v>1.04</v>
      </c>
      <c r="AA260" s="18">
        <v>0.5</v>
      </c>
      <c r="AB260" s="19" t="s">
        <v>89</v>
      </c>
      <c r="AC260" s="17">
        <v>166</v>
      </c>
      <c r="AD260" s="17">
        <v>6.8</v>
      </c>
      <c r="AE260" s="17">
        <v>48</v>
      </c>
      <c r="AF260" s="21" t="s">
        <v>90</v>
      </c>
      <c r="AG260" s="17">
        <v>2017</v>
      </c>
      <c r="AH260" s="17" t="s">
        <v>91</v>
      </c>
      <c r="AJ260" s="24" t="s">
        <v>1031</v>
      </c>
      <c r="AL260" s="19" t="s">
        <v>94</v>
      </c>
      <c r="AM260" s="19" t="s">
        <v>89</v>
      </c>
      <c r="AN260" s="19" t="s">
        <v>89</v>
      </c>
      <c r="AO260">
        <f t="shared" ref="AO260:AO323" si="29">IF(H260="Pouch",1,IF(H260="Prismatic",2,IF(H260="Cylindrical",3,"")))</f>
        <v>1</v>
      </c>
      <c r="AP260">
        <f t="shared" ref="AP260:AP323" si="30">IF(AO260=1, 60.25, IF(AO260=2, 60.79, IF(AO260=3, 64.69, 0)))</f>
        <v>60.25</v>
      </c>
      <c r="AR260">
        <f t="shared" ref="AR260:AR323" si="31">P260*R260/(W260/1000)</f>
        <v>167.30434782608697</v>
      </c>
    </row>
    <row r="261" spans="1:44">
      <c r="A261" t="s">
        <v>1082</v>
      </c>
      <c r="B261">
        <v>259</v>
      </c>
      <c r="C261" s="16" t="s">
        <v>1083</v>
      </c>
      <c r="D261" s="16" t="s">
        <v>1083</v>
      </c>
      <c r="E261" s="16" t="s">
        <v>514</v>
      </c>
      <c r="F261" s="16" t="s">
        <v>982</v>
      </c>
      <c r="G261" s="16" t="s">
        <v>1009</v>
      </c>
      <c r="H261" s="16" t="s">
        <v>85</v>
      </c>
      <c r="I261" s="16" t="s">
        <v>1084</v>
      </c>
      <c r="J261" s="16" t="s">
        <v>87</v>
      </c>
      <c r="K261" s="16" t="s">
        <v>88</v>
      </c>
      <c r="L261" s="17">
        <v>800</v>
      </c>
      <c r="M261" s="17">
        <v>80</v>
      </c>
      <c r="N261" s="17" t="s">
        <v>89</v>
      </c>
      <c r="O261" s="17" t="s">
        <v>89</v>
      </c>
      <c r="P261" s="16">
        <v>10</v>
      </c>
      <c r="Q261" s="16">
        <v>4.2</v>
      </c>
      <c r="R261" s="16">
        <v>3.7</v>
      </c>
      <c r="S261" s="16">
        <v>2.7</v>
      </c>
      <c r="T261" s="16">
        <v>2</v>
      </c>
      <c r="U261" s="16">
        <v>20</v>
      </c>
      <c r="V261" s="18">
        <v>1</v>
      </c>
      <c r="W261" s="16">
        <v>200</v>
      </c>
      <c r="X261" s="16">
        <v>129.71199999999999</v>
      </c>
      <c r="Y261" s="16">
        <v>10</v>
      </c>
      <c r="Z261" s="16">
        <v>2</v>
      </c>
      <c r="AA261" s="18">
        <v>1</v>
      </c>
      <c r="AB261" s="19" t="s">
        <v>89</v>
      </c>
      <c r="AC261" s="17">
        <v>220</v>
      </c>
      <c r="AD261" s="17">
        <v>8.8000000000000007</v>
      </c>
      <c r="AE261" s="17">
        <v>67</v>
      </c>
      <c r="AF261" s="21" t="s">
        <v>90</v>
      </c>
      <c r="AG261" s="17">
        <v>2015</v>
      </c>
      <c r="AH261" s="17" t="s">
        <v>91</v>
      </c>
      <c r="AJ261" s="24" t="s">
        <v>1085</v>
      </c>
      <c r="AL261" s="19" t="s">
        <v>94</v>
      </c>
      <c r="AM261" s="19" t="s">
        <v>89</v>
      </c>
      <c r="AN261" s="19" t="s">
        <v>89</v>
      </c>
      <c r="AO261">
        <f t="shared" si="29"/>
        <v>1</v>
      </c>
      <c r="AP261">
        <f t="shared" si="30"/>
        <v>60.25</v>
      </c>
      <c r="AR261">
        <f t="shared" si="31"/>
        <v>185</v>
      </c>
    </row>
    <row r="262" spans="1:44">
      <c r="A262" t="s">
        <v>1086</v>
      </c>
      <c r="B262">
        <v>260</v>
      </c>
      <c r="C262" s="16" t="s">
        <v>1087</v>
      </c>
      <c r="D262" s="16" t="s">
        <v>1087</v>
      </c>
      <c r="E262" s="16" t="s">
        <v>1088</v>
      </c>
      <c r="H262" s="16" t="s">
        <v>85</v>
      </c>
      <c r="I262" s="16" t="s">
        <v>1089</v>
      </c>
      <c r="J262" s="16" t="s">
        <v>87</v>
      </c>
      <c r="K262" s="16" t="s">
        <v>88</v>
      </c>
      <c r="L262" s="17">
        <v>400</v>
      </c>
      <c r="M262" s="17">
        <v>80</v>
      </c>
      <c r="N262" s="17" t="s">
        <v>89</v>
      </c>
      <c r="O262" s="17" t="s">
        <v>89</v>
      </c>
      <c r="P262" s="16">
        <v>20</v>
      </c>
      <c r="Q262" s="16">
        <v>4.2</v>
      </c>
      <c r="R262" s="16">
        <v>3.8</v>
      </c>
      <c r="S262" s="16">
        <v>3</v>
      </c>
      <c r="T262" s="16">
        <v>4</v>
      </c>
      <c r="U262" s="16">
        <v>20</v>
      </c>
      <c r="V262" s="18">
        <v>1</v>
      </c>
      <c r="W262" s="16">
        <v>550</v>
      </c>
      <c r="X262" s="16">
        <v>380.25</v>
      </c>
      <c r="Y262" s="16">
        <v>20</v>
      </c>
      <c r="Z262" s="16">
        <v>4</v>
      </c>
      <c r="AA262" s="18">
        <v>1</v>
      </c>
      <c r="AB262" s="19" t="s">
        <v>89</v>
      </c>
      <c r="AC262" s="17">
        <v>325</v>
      </c>
      <c r="AD262" s="17">
        <v>7.5</v>
      </c>
      <c r="AE262" s="17">
        <v>156</v>
      </c>
      <c r="AF262" s="21" t="s">
        <v>90</v>
      </c>
      <c r="AG262" s="17">
        <v>2007</v>
      </c>
      <c r="AH262" s="17" t="s">
        <v>91</v>
      </c>
      <c r="AJ262" s="22" t="s">
        <v>1090</v>
      </c>
      <c r="AL262" s="19" t="s">
        <v>94</v>
      </c>
      <c r="AM262" s="19" t="s">
        <v>89</v>
      </c>
      <c r="AN262" s="19" t="s">
        <v>89</v>
      </c>
      <c r="AO262">
        <f t="shared" si="29"/>
        <v>1</v>
      </c>
      <c r="AP262">
        <f t="shared" si="30"/>
        <v>60.25</v>
      </c>
      <c r="AR262">
        <f t="shared" si="31"/>
        <v>138.18181818181816</v>
      </c>
    </row>
    <row r="263" spans="1:44">
      <c r="A263" t="s">
        <v>1091</v>
      </c>
      <c r="B263">
        <v>261</v>
      </c>
      <c r="C263" s="16" t="s">
        <v>1092</v>
      </c>
      <c r="D263" s="16" t="s">
        <v>1092</v>
      </c>
      <c r="E263" s="16" t="s">
        <v>1088</v>
      </c>
      <c r="H263" s="16" t="s">
        <v>85</v>
      </c>
      <c r="I263" s="16" t="s">
        <v>1093</v>
      </c>
      <c r="J263" s="16" t="s">
        <v>87</v>
      </c>
      <c r="K263" s="16" t="s">
        <v>88</v>
      </c>
      <c r="L263" s="17">
        <v>400</v>
      </c>
      <c r="M263" s="17">
        <v>80</v>
      </c>
      <c r="N263" s="17" t="s">
        <v>89</v>
      </c>
      <c r="O263" s="17" t="s">
        <v>89</v>
      </c>
      <c r="P263" s="16">
        <v>8</v>
      </c>
      <c r="Q263" s="16">
        <v>4.2</v>
      </c>
      <c r="R263" s="16">
        <v>3.8</v>
      </c>
      <c r="S263" s="16">
        <v>3</v>
      </c>
      <c r="T263" s="16">
        <v>1.66</v>
      </c>
      <c r="U263" s="16">
        <v>8</v>
      </c>
      <c r="V263" s="18">
        <v>1</v>
      </c>
      <c r="W263" s="16">
        <v>220</v>
      </c>
      <c r="X263" s="16">
        <v>141.68</v>
      </c>
      <c r="Y263" s="16">
        <v>8</v>
      </c>
      <c r="Z263" s="16">
        <v>1.66</v>
      </c>
      <c r="AA263" s="18">
        <v>1</v>
      </c>
      <c r="AB263" s="19" t="s">
        <v>89</v>
      </c>
      <c r="AC263" s="17">
        <v>161</v>
      </c>
      <c r="AD263" s="17">
        <v>5.5</v>
      </c>
      <c r="AE263" s="17">
        <v>160</v>
      </c>
      <c r="AF263" s="21" t="s">
        <v>90</v>
      </c>
      <c r="AG263" s="17">
        <v>2008</v>
      </c>
      <c r="AH263" s="17" t="s">
        <v>91</v>
      </c>
      <c r="AJ263" s="22" t="s">
        <v>1094</v>
      </c>
      <c r="AL263" s="19" t="s">
        <v>94</v>
      </c>
      <c r="AM263" s="19" t="s">
        <v>89</v>
      </c>
      <c r="AN263" s="19" t="s">
        <v>89</v>
      </c>
      <c r="AO263">
        <f t="shared" si="29"/>
        <v>1</v>
      </c>
      <c r="AP263">
        <f t="shared" si="30"/>
        <v>60.25</v>
      </c>
      <c r="AR263">
        <f t="shared" si="31"/>
        <v>138.18181818181819</v>
      </c>
    </row>
    <row r="264" spans="1:44">
      <c r="A264" t="s">
        <v>1095</v>
      </c>
      <c r="B264">
        <v>262</v>
      </c>
      <c r="C264" s="16" t="s">
        <v>1096</v>
      </c>
      <c r="D264" s="16" t="s">
        <v>1096</v>
      </c>
      <c r="E264" s="16" t="s">
        <v>1088</v>
      </c>
      <c r="H264" s="16" t="s">
        <v>85</v>
      </c>
      <c r="I264" s="16" t="s">
        <v>1097</v>
      </c>
      <c r="J264" s="16" t="s">
        <v>87</v>
      </c>
      <c r="K264" s="16" t="s">
        <v>88</v>
      </c>
      <c r="L264" s="17">
        <v>400</v>
      </c>
      <c r="M264" s="17">
        <v>80</v>
      </c>
      <c r="N264" s="17" t="s">
        <v>89</v>
      </c>
      <c r="O264" s="17" t="s">
        <v>89</v>
      </c>
      <c r="P264" s="16">
        <v>3.6</v>
      </c>
      <c r="Q264" s="16">
        <v>4.2</v>
      </c>
      <c r="R264" s="16">
        <v>3.7</v>
      </c>
      <c r="S264" s="16">
        <v>3</v>
      </c>
      <c r="T264" s="16">
        <v>0.72</v>
      </c>
      <c r="U264" s="16">
        <v>3.6</v>
      </c>
      <c r="V264" s="18">
        <v>1</v>
      </c>
      <c r="W264" s="16">
        <v>105</v>
      </c>
      <c r="X264" s="16">
        <v>75.680000000000007</v>
      </c>
      <c r="Y264" s="16">
        <v>3.6</v>
      </c>
      <c r="Z264" s="16">
        <v>0.78</v>
      </c>
      <c r="AA264" s="18">
        <v>1</v>
      </c>
      <c r="AB264" s="19" t="s">
        <v>89</v>
      </c>
      <c r="AC264" s="17">
        <v>160</v>
      </c>
      <c r="AD264" s="17">
        <v>5.5</v>
      </c>
      <c r="AE264" s="17">
        <v>86</v>
      </c>
      <c r="AF264" s="21" t="s">
        <v>90</v>
      </c>
      <c r="AG264" s="17">
        <v>2009</v>
      </c>
      <c r="AH264" s="17" t="s">
        <v>91</v>
      </c>
      <c r="AJ264" s="22" t="s">
        <v>1098</v>
      </c>
      <c r="AL264" s="19" t="s">
        <v>94</v>
      </c>
      <c r="AM264" s="19" t="s">
        <v>89</v>
      </c>
      <c r="AN264" s="19" t="s">
        <v>89</v>
      </c>
      <c r="AO264">
        <f t="shared" si="29"/>
        <v>1</v>
      </c>
      <c r="AP264">
        <f t="shared" si="30"/>
        <v>60.25</v>
      </c>
      <c r="AR264">
        <f t="shared" si="31"/>
        <v>126.85714285714286</v>
      </c>
    </row>
    <row r="265" spans="1:44">
      <c r="A265" t="s">
        <v>1099</v>
      </c>
      <c r="B265">
        <v>263</v>
      </c>
      <c r="C265" s="16" t="s">
        <v>1100</v>
      </c>
      <c r="D265" s="16" t="s">
        <v>1100</v>
      </c>
      <c r="E265" s="16" t="s">
        <v>1101</v>
      </c>
      <c r="F265" s="16" t="s">
        <v>83</v>
      </c>
      <c r="G265" s="16" t="s">
        <v>305</v>
      </c>
      <c r="H265" s="16" t="s">
        <v>85</v>
      </c>
      <c r="I265" s="16" t="s">
        <v>1102</v>
      </c>
      <c r="J265" s="16" t="s">
        <v>87</v>
      </c>
      <c r="K265" s="16" t="s">
        <v>88</v>
      </c>
      <c r="L265" s="17">
        <v>1000</v>
      </c>
      <c r="M265" s="17">
        <v>80</v>
      </c>
      <c r="N265" s="17" t="s">
        <v>89</v>
      </c>
      <c r="O265" s="17" t="s">
        <v>89</v>
      </c>
      <c r="P265" s="16">
        <v>4.9000000000000004</v>
      </c>
      <c r="Q265" s="16">
        <v>4.2</v>
      </c>
      <c r="R265" s="16">
        <v>3.7</v>
      </c>
      <c r="S265" s="16">
        <v>3</v>
      </c>
      <c r="T265" s="16">
        <v>0.98</v>
      </c>
      <c r="U265" s="16">
        <v>4.9000000000000004</v>
      </c>
      <c r="V265" s="18">
        <v>0.2</v>
      </c>
      <c r="W265" s="16">
        <v>90</v>
      </c>
      <c r="X265" s="16">
        <v>40.04</v>
      </c>
      <c r="Y265" s="16">
        <v>4.9000000000000004</v>
      </c>
      <c r="Z265" s="16">
        <v>0.98</v>
      </c>
      <c r="AA265" s="18">
        <v>0.5</v>
      </c>
      <c r="AB265" s="19" t="s">
        <v>89</v>
      </c>
      <c r="AC265" s="17">
        <v>130</v>
      </c>
      <c r="AD265" s="17">
        <v>8.8000000000000007</v>
      </c>
      <c r="AE265" s="17">
        <v>35</v>
      </c>
      <c r="AF265" s="21" t="s">
        <v>90</v>
      </c>
      <c r="AH265" s="17" t="s">
        <v>91</v>
      </c>
      <c r="AJ265" s="24" t="s">
        <v>98</v>
      </c>
      <c r="AL265" s="19" t="s">
        <v>94</v>
      </c>
      <c r="AM265" s="19" t="s">
        <v>89</v>
      </c>
      <c r="AN265" s="23">
        <v>0.8</v>
      </c>
      <c r="AO265">
        <f t="shared" si="29"/>
        <v>1</v>
      </c>
      <c r="AP265">
        <f t="shared" si="30"/>
        <v>60.25</v>
      </c>
      <c r="AR265">
        <f t="shared" si="31"/>
        <v>201.44444444444449</v>
      </c>
    </row>
    <row r="266" spans="1:44">
      <c r="A266" t="s">
        <v>1103</v>
      </c>
      <c r="B266">
        <v>264</v>
      </c>
      <c r="C266" s="16" t="s">
        <v>1104</v>
      </c>
      <c r="D266" s="16" t="s">
        <v>1104</v>
      </c>
      <c r="E266" s="16" t="s">
        <v>1101</v>
      </c>
      <c r="F266" s="16" t="s">
        <v>83</v>
      </c>
      <c r="G266" s="16" t="s">
        <v>305</v>
      </c>
      <c r="H266" s="16" t="s">
        <v>85</v>
      </c>
      <c r="I266" s="16" t="s">
        <v>1105</v>
      </c>
      <c r="J266" s="16" t="s">
        <v>87</v>
      </c>
      <c r="K266" s="16" t="s">
        <v>88</v>
      </c>
      <c r="L266" s="17">
        <v>1000</v>
      </c>
      <c r="M266" s="17">
        <v>80</v>
      </c>
      <c r="N266" s="17" t="s">
        <v>89</v>
      </c>
      <c r="O266" s="17" t="s">
        <v>89</v>
      </c>
      <c r="P266" s="16">
        <v>4.5</v>
      </c>
      <c r="Q266" s="16">
        <v>4.2</v>
      </c>
      <c r="R266" s="16">
        <v>3.7</v>
      </c>
      <c r="S266" s="16">
        <v>3</v>
      </c>
      <c r="T266" s="16">
        <v>0.9</v>
      </c>
      <c r="U266" s="16">
        <v>4.5</v>
      </c>
      <c r="V266" s="18">
        <v>0.5</v>
      </c>
      <c r="W266" s="16">
        <v>90</v>
      </c>
      <c r="X266" s="16">
        <v>40.04</v>
      </c>
      <c r="Y266" s="16">
        <v>4.5</v>
      </c>
      <c r="Z266" s="16">
        <v>0.9</v>
      </c>
      <c r="AA266" s="18">
        <v>0.5</v>
      </c>
      <c r="AB266" s="19" t="s">
        <v>89</v>
      </c>
      <c r="AC266" s="17">
        <v>130</v>
      </c>
      <c r="AD266" s="17">
        <v>8.8000000000000007</v>
      </c>
      <c r="AE266" s="17">
        <v>35</v>
      </c>
      <c r="AF266" s="21" t="s">
        <v>90</v>
      </c>
      <c r="AH266" s="17" t="s">
        <v>91</v>
      </c>
      <c r="AJ266" s="24" t="s">
        <v>98</v>
      </c>
      <c r="AL266" s="19" t="s">
        <v>94</v>
      </c>
      <c r="AM266" s="19" t="s">
        <v>89</v>
      </c>
      <c r="AN266" s="23">
        <v>0.8</v>
      </c>
      <c r="AO266">
        <f t="shared" si="29"/>
        <v>1</v>
      </c>
      <c r="AP266">
        <f t="shared" si="30"/>
        <v>60.25</v>
      </c>
      <c r="AR266">
        <f t="shared" si="31"/>
        <v>185.00000000000003</v>
      </c>
    </row>
    <row r="267" spans="1:44" ht="15.6" customHeight="1">
      <c r="A267" t="s">
        <v>1106</v>
      </c>
      <c r="B267">
        <v>265</v>
      </c>
      <c r="C267" s="16" t="s">
        <v>1107</v>
      </c>
      <c r="D267" s="16" t="s">
        <v>1107</v>
      </c>
      <c r="E267" s="16" t="s">
        <v>1101</v>
      </c>
      <c r="F267" s="16" t="s">
        <v>83</v>
      </c>
      <c r="G267" s="16" t="s">
        <v>305</v>
      </c>
      <c r="H267" s="16" t="s">
        <v>85</v>
      </c>
      <c r="I267" s="16" t="s">
        <v>1108</v>
      </c>
      <c r="J267" s="16" t="s">
        <v>87</v>
      </c>
      <c r="K267" s="16" t="s">
        <v>88</v>
      </c>
      <c r="L267" s="17">
        <v>1000</v>
      </c>
      <c r="M267" s="17">
        <v>80</v>
      </c>
      <c r="N267" s="17" t="s">
        <v>89</v>
      </c>
      <c r="O267" s="17" t="s">
        <v>89</v>
      </c>
      <c r="P267" s="16">
        <v>5</v>
      </c>
      <c r="Q267" s="16">
        <v>4.2</v>
      </c>
      <c r="R267" s="16">
        <v>3.7</v>
      </c>
      <c r="S267" s="16">
        <v>3</v>
      </c>
      <c r="T267" s="16">
        <v>1</v>
      </c>
      <c r="U267" s="16">
        <v>5</v>
      </c>
      <c r="V267" s="18">
        <v>0.2</v>
      </c>
      <c r="W267" s="16">
        <v>100</v>
      </c>
      <c r="X267" s="16">
        <v>40.950000000000003</v>
      </c>
      <c r="Y267" s="16">
        <v>5</v>
      </c>
      <c r="Z267" s="16">
        <v>1</v>
      </c>
      <c r="AA267" s="18">
        <v>0.5</v>
      </c>
      <c r="AB267" s="19" t="s">
        <v>89</v>
      </c>
      <c r="AC267" s="17">
        <v>195</v>
      </c>
      <c r="AD267" s="17">
        <v>6</v>
      </c>
      <c r="AE267" s="17">
        <v>35</v>
      </c>
      <c r="AF267" s="21" t="s">
        <v>90</v>
      </c>
      <c r="AH267" s="17" t="s">
        <v>91</v>
      </c>
      <c r="AJ267" s="24" t="s">
        <v>98</v>
      </c>
      <c r="AL267" s="19" t="s">
        <v>94</v>
      </c>
      <c r="AM267" s="19" t="s">
        <v>89</v>
      </c>
      <c r="AN267" s="23">
        <v>0.8</v>
      </c>
      <c r="AO267">
        <f t="shared" si="29"/>
        <v>1</v>
      </c>
      <c r="AP267">
        <f t="shared" si="30"/>
        <v>60.25</v>
      </c>
      <c r="AR267">
        <f t="shared" si="31"/>
        <v>185</v>
      </c>
    </row>
    <row r="268" spans="1:44">
      <c r="A268" t="s">
        <v>1109</v>
      </c>
      <c r="B268">
        <v>266</v>
      </c>
      <c r="C268" s="16" t="s">
        <v>1110</v>
      </c>
      <c r="D268" s="16" t="s">
        <v>1110</v>
      </c>
      <c r="E268" s="16" t="s">
        <v>1101</v>
      </c>
      <c r="F268" s="16" t="s">
        <v>83</v>
      </c>
      <c r="G268" s="16" t="s">
        <v>305</v>
      </c>
      <c r="H268" s="16" t="s">
        <v>85</v>
      </c>
      <c r="I268" s="16" t="s">
        <v>1111</v>
      </c>
      <c r="J268" s="16" t="s">
        <v>87</v>
      </c>
      <c r="K268" s="16" t="s">
        <v>88</v>
      </c>
      <c r="L268" s="17">
        <v>1000</v>
      </c>
      <c r="M268" s="17">
        <v>80</v>
      </c>
      <c r="N268" s="17" t="s">
        <v>89</v>
      </c>
      <c r="O268" s="17" t="s">
        <v>89</v>
      </c>
      <c r="P268" s="16">
        <v>4.5999999999999996</v>
      </c>
      <c r="Q268" s="16">
        <v>4.2</v>
      </c>
      <c r="R268" s="16">
        <v>3.7</v>
      </c>
      <c r="S268" s="16">
        <v>3</v>
      </c>
      <c r="T268" s="16">
        <v>0.92</v>
      </c>
      <c r="U268" s="16">
        <v>4.5999999999999996</v>
      </c>
      <c r="V268" s="18">
        <v>0.5</v>
      </c>
      <c r="W268" s="16">
        <v>100</v>
      </c>
      <c r="X268" s="16">
        <v>40.950000000000003</v>
      </c>
      <c r="Y268" s="16">
        <v>4.5999999999999996</v>
      </c>
      <c r="Z268" s="16">
        <v>0.92</v>
      </c>
      <c r="AA268" s="18">
        <v>0.5</v>
      </c>
      <c r="AB268" s="19" t="s">
        <v>89</v>
      </c>
      <c r="AC268" s="17">
        <v>195</v>
      </c>
      <c r="AD268" s="17">
        <v>6</v>
      </c>
      <c r="AE268" s="17">
        <v>35</v>
      </c>
      <c r="AF268" s="21" t="s">
        <v>90</v>
      </c>
      <c r="AH268" s="17" t="s">
        <v>91</v>
      </c>
      <c r="AJ268" s="24" t="s">
        <v>98</v>
      </c>
      <c r="AL268" s="19" t="s">
        <v>94</v>
      </c>
      <c r="AM268" s="19" t="s">
        <v>89</v>
      </c>
      <c r="AN268" s="23">
        <v>0.8</v>
      </c>
      <c r="AO268">
        <f t="shared" si="29"/>
        <v>1</v>
      </c>
      <c r="AP268">
        <f t="shared" si="30"/>
        <v>60.25</v>
      </c>
      <c r="AR268">
        <f t="shared" si="31"/>
        <v>170.2</v>
      </c>
    </row>
    <row r="269" spans="1:44">
      <c r="A269" t="s">
        <v>1112</v>
      </c>
      <c r="B269">
        <v>267</v>
      </c>
      <c r="C269" s="16" t="s">
        <v>1113</v>
      </c>
      <c r="D269" s="16" t="s">
        <v>1113</v>
      </c>
      <c r="E269" s="16" t="s">
        <v>1101</v>
      </c>
      <c r="F269" s="16" t="s">
        <v>83</v>
      </c>
      <c r="G269" s="16" t="s">
        <v>305</v>
      </c>
      <c r="H269" s="16" t="s">
        <v>85</v>
      </c>
      <c r="I269" s="16" t="s">
        <v>1114</v>
      </c>
      <c r="J269" s="16" t="s">
        <v>87</v>
      </c>
      <c r="K269" s="16" t="s">
        <v>88</v>
      </c>
      <c r="L269" s="17">
        <v>500</v>
      </c>
      <c r="M269" s="17">
        <v>80</v>
      </c>
      <c r="N269" s="17" t="s">
        <v>89</v>
      </c>
      <c r="O269" s="17" t="s">
        <v>89</v>
      </c>
      <c r="P269" s="16">
        <v>5.0999999999999996</v>
      </c>
      <c r="Q269" s="16">
        <v>4.2</v>
      </c>
      <c r="R269" s="16">
        <v>3.7</v>
      </c>
      <c r="S269" s="16">
        <v>3</v>
      </c>
      <c r="T269" s="16">
        <v>1.02</v>
      </c>
      <c r="U269" s="16">
        <v>5.0999999999999996</v>
      </c>
      <c r="V269" s="18">
        <v>0.5</v>
      </c>
      <c r="W269" s="16">
        <v>95</v>
      </c>
      <c r="X269" s="16">
        <v>42.12</v>
      </c>
      <c r="Y269" s="16">
        <v>5.0999999999999996</v>
      </c>
      <c r="Z269" s="16">
        <v>1.02</v>
      </c>
      <c r="AA269" s="18">
        <v>0.5</v>
      </c>
      <c r="AB269" s="19" t="s">
        <v>89</v>
      </c>
      <c r="AC269" s="17">
        <v>108</v>
      </c>
      <c r="AD269" s="17">
        <v>6</v>
      </c>
      <c r="AE269" s="17">
        <v>65</v>
      </c>
      <c r="AF269" s="21" t="s">
        <v>90</v>
      </c>
      <c r="AH269" s="17" t="s">
        <v>91</v>
      </c>
      <c r="AJ269" s="24" t="s">
        <v>98</v>
      </c>
      <c r="AL269" s="19" t="s">
        <v>94</v>
      </c>
      <c r="AM269" s="19" t="s">
        <v>89</v>
      </c>
      <c r="AN269" s="23">
        <v>0.8</v>
      </c>
      <c r="AO269">
        <f t="shared" si="29"/>
        <v>1</v>
      </c>
      <c r="AP269">
        <f t="shared" si="30"/>
        <v>60.25</v>
      </c>
      <c r="AR269">
        <f t="shared" si="31"/>
        <v>198.63157894736844</v>
      </c>
    </row>
    <row r="270" spans="1:44">
      <c r="A270" t="s">
        <v>1115</v>
      </c>
      <c r="B270">
        <v>268</v>
      </c>
      <c r="C270" s="16" t="s">
        <v>1116</v>
      </c>
      <c r="D270" s="16" t="s">
        <v>1116</v>
      </c>
      <c r="E270" s="16" t="s">
        <v>1101</v>
      </c>
      <c r="F270" s="16" t="s">
        <v>83</v>
      </c>
      <c r="G270" s="16" t="s">
        <v>305</v>
      </c>
      <c r="H270" s="16" t="s">
        <v>85</v>
      </c>
      <c r="I270" s="16" t="s">
        <v>1117</v>
      </c>
      <c r="J270" s="16" t="s">
        <v>87</v>
      </c>
      <c r="K270" s="16" t="s">
        <v>88</v>
      </c>
      <c r="L270" s="17">
        <v>500</v>
      </c>
      <c r="M270" s="17">
        <v>80</v>
      </c>
      <c r="N270" s="17" t="s">
        <v>89</v>
      </c>
      <c r="O270" s="17" t="s">
        <v>89</v>
      </c>
      <c r="P270" s="16">
        <v>4.7</v>
      </c>
      <c r="Q270" s="16">
        <v>4.2</v>
      </c>
      <c r="R270" s="16">
        <v>3.7</v>
      </c>
      <c r="S270" s="16">
        <v>3</v>
      </c>
      <c r="T270" s="16">
        <v>0.94</v>
      </c>
      <c r="U270" s="16">
        <v>4.7</v>
      </c>
      <c r="V270" s="18">
        <v>0.5</v>
      </c>
      <c r="W270" s="16">
        <v>95</v>
      </c>
      <c r="X270" s="16">
        <v>42.12</v>
      </c>
      <c r="Y270" s="16">
        <v>4.7</v>
      </c>
      <c r="Z270" s="16">
        <v>0.94</v>
      </c>
      <c r="AA270" s="18">
        <v>0.5</v>
      </c>
      <c r="AB270" s="19" t="s">
        <v>89</v>
      </c>
      <c r="AC270" s="17">
        <v>108</v>
      </c>
      <c r="AD270" s="17">
        <v>6</v>
      </c>
      <c r="AE270" s="17">
        <v>65</v>
      </c>
      <c r="AF270" s="21" t="s">
        <v>90</v>
      </c>
      <c r="AH270" s="17" t="s">
        <v>91</v>
      </c>
      <c r="AJ270" s="24" t="s">
        <v>98</v>
      </c>
      <c r="AL270" s="19" t="s">
        <v>94</v>
      </c>
      <c r="AM270" s="19" t="s">
        <v>89</v>
      </c>
      <c r="AN270" s="23">
        <v>0.8</v>
      </c>
      <c r="AO270">
        <f t="shared" si="29"/>
        <v>1</v>
      </c>
      <c r="AP270">
        <f t="shared" si="30"/>
        <v>60.25</v>
      </c>
      <c r="AR270">
        <f t="shared" si="31"/>
        <v>183.05263157894737</v>
      </c>
    </row>
    <row r="271" spans="1:44">
      <c r="A271" t="s">
        <v>1118</v>
      </c>
      <c r="B271">
        <v>269</v>
      </c>
      <c r="C271" s="16" t="s">
        <v>1119</v>
      </c>
      <c r="D271" s="16" t="s">
        <v>1119</v>
      </c>
      <c r="E271" s="16" t="s">
        <v>1101</v>
      </c>
      <c r="F271" s="16" t="s">
        <v>83</v>
      </c>
      <c r="G271" s="16" t="s">
        <v>305</v>
      </c>
      <c r="H271" s="16" t="s">
        <v>85</v>
      </c>
      <c r="I271" s="16" t="s">
        <v>1120</v>
      </c>
      <c r="J271" s="16" t="s">
        <v>87</v>
      </c>
      <c r="K271" s="16" t="s">
        <v>88</v>
      </c>
      <c r="L271" s="17">
        <v>1000</v>
      </c>
      <c r="M271" s="17">
        <v>80</v>
      </c>
      <c r="N271" s="17" t="s">
        <v>89</v>
      </c>
      <c r="O271" s="17" t="s">
        <v>89</v>
      </c>
      <c r="P271" s="16">
        <v>5</v>
      </c>
      <c r="Q271" s="16">
        <v>4.2</v>
      </c>
      <c r="R271" s="16">
        <v>3.7</v>
      </c>
      <c r="S271" s="16">
        <v>3</v>
      </c>
      <c r="T271" s="16">
        <v>1</v>
      </c>
      <c r="U271" s="16">
        <v>5</v>
      </c>
      <c r="V271" s="18">
        <v>0.5</v>
      </c>
      <c r="W271" s="16">
        <v>125</v>
      </c>
      <c r="X271" s="16">
        <v>42.12</v>
      </c>
      <c r="Y271" s="16">
        <v>5</v>
      </c>
      <c r="Z271" s="16">
        <v>1</v>
      </c>
      <c r="AA271" s="18">
        <v>0.5</v>
      </c>
      <c r="AB271" s="19" t="s">
        <v>89</v>
      </c>
      <c r="AC271" s="17">
        <v>144</v>
      </c>
      <c r="AD271" s="17">
        <v>4.5</v>
      </c>
      <c r="AE271" s="17">
        <v>65</v>
      </c>
      <c r="AF271" s="21" t="s">
        <v>90</v>
      </c>
      <c r="AH271" s="17" t="s">
        <v>91</v>
      </c>
      <c r="AJ271" s="24" t="s">
        <v>98</v>
      </c>
      <c r="AL271" s="19" t="s">
        <v>94</v>
      </c>
      <c r="AM271" s="19" t="s">
        <v>89</v>
      </c>
      <c r="AN271" s="23">
        <v>0.8</v>
      </c>
      <c r="AO271">
        <f t="shared" si="29"/>
        <v>1</v>
      </c>
      <c r="AP271">
        <f t="shared" si="30"/>
        <v>60.25</v>
      </c>
      <c r="AR271">
        <f t="shared" si="31"/>
        <v>148</v>
      </c>
    </row>
    <row r="272" spans="1:44">
      <c r="A272" t="s">
        <v>1121</v>
      </c>
      <c r="B272">
        <v>270</v>
      </c>
      <c r="C272" s="16" t="s">
        <v>1122</v>
      </c>
      <c r="D272" s="16" t="s">
        <v>1122</v>
      </c>
      <c r="E272" s="16" t="s">
        <v>1101</v>
      </c>
      <c r="F272" s="16" t="s">
        <v>83</v>
      </c>
      <c r="G272" s="16" t="s">
        <v>305</v>
      </c>
      <c r="H272" s="16" t="s">
        <v>85</v>
      </c>
      <c r="I272" s="16" t="s">
        <v>1123</v>
      </c>
      <c r="J272" s="16" t="s">
        <v>87</v>
      </c>
      <c r="K272" s="16" t="s">
        <v>88</v>
      </c>
      <c r="L272" s="17">
        <v>500</v>
      </c>
      <c r="M272" s="17">
        <v>80</v>
      </c>
      <c r="N272" s="17" t="s">
        <v>89</v>
      </c>
      <c r="O272" s="17" t="s">
        <v>89</v>
      </c>
      <c r="P272" s="16">
        <v>4.5999999999999996</v>
      </c>
      <c r="Q272" s="16">
        <v>4.2</v>
      </c>
      <c r="R272" s="16">
        <v>3.7</v>
      </c>
      <c r="S272" s="16">
        <v>3</v>
      </c>
      <c r="T272" s="16">
        <v>0.92</v>
      </c>
      <c r="U272" s="16">
        <v>4.5999999999999996</v>
      </c>
      <c r="V272" s="18">
        <v>0.5</v>
      </c>
      <c r="W272" s="16">
        <v>125</v>
      </c>
      <c r="X272" s="16">
        <v>42.12</v>
      </c>
      <c r="Y272" s="16">
        <v>4.5999999999999996</v>
      </c>
      <c r="Z272" s="16">
        <v>0.92</v>
      </c>
      <c r="AA272" s="18">
        <v>0.5</v>
      </c>
      <c r="AB272" s="19" t="s">
        <v>89</v>
      </c>
      <c r="AC272" s="17">
        <v>144</v>
      </c>
      <c r="AD272" s="17">
        <v>4.5</v>
      </c>
      <c r="AE272" s="17">
        <v>65</v>
      </c>
      <c r="AF272" s="21" t="s">
        <v>90</v>
      </c>
      <c r="AH272" s="17" t="s">
        <v>91</v>
      </c>
      <c r="AJ272" s="24" t="s">
        <v>98</v>
      </c>
      <c r="AL272" s="19" t="s">
        <v>94</v>
      </c>
      <c r="AM272" s="19" t="s">
        <v>89</v>
      </c>
      <c r="AN272" s="23">
        <v>0.8</v>
      </c>
      <c r="AO272">
        <f t="shared" si="29"/>
        <v>1</v>
      </c>
      <c r="AP272">
        <f t="shared" si="30"/>
        <v>60.25</v>
      </c>
      <c r="AR272">
        <f t="shared" si="31"/>
        <v>136.16</v>
      </c>
    </row>
    <row r="273" spans="1:44">
      <c r="A273" t="s">
        <v>1124</v>
      </c>
      <c r="B273">
        <v>271</v>
      </c>
      <c r="C273" s="16" t="s">
        <v>1125</v>
      </c>
      <c r="D273" s="16" t="s">
        <v>1125</v>
      </c>
      <c r="E273" s="16" t="s">
        <v>388</v>
      </c>
      <c r="F273" s="16" t="s">
        <v>83</v>
      </c>
      <c r="G273" s="16" t="s">
        <v>84</v>
      </c>
      <c r="H273" s="16" t="s">
        <v>85</v>
      </c>
      <c r="I273" s="16" t="s">
        <v>1126</v>
      </c>
      <c r="J273" s="16" t="s">
        <v>87</v>
      </c>
      <c r="K273" s="16" t="s">
        <v>88</v>
      </c>
      <c r="L273" s="17">
        <v>500</v>
      </c>
      <c r="M273" s="17">
        <v>80</v>
      </c>
      <c r="N273" s="16">
        <v>273</v>
      </c>
      <c r="O273" s="16">
        <v>125</v>
      </c>
      <c r="P273" s="16">
        <v>22</v>
      </c>
      <c r="Q273" s="16">
        <v>4.2</v>
      </c>
      <c r="R273" s="16">
        <v>3.7</v>
      </c>
      <c r="S273" s="16">
        <v>3</v>
      </c>
      <c r="T273" s="16">
        <v>4.4000000000000004</v>
      </c>
      <c r="U273" s="16">
        <v>66</v>
      </c>
      <c r="V273" s="18" t="s">
        <v>89</v>
      </c>
      <c r="W273" s="16">
        <v>650</v>
      </c>
      <c r="X273" s="16">
        <v>297.38940000000002</v>
      </c>
      <c r="Y273" s="16">
        <v>22</v>
      </c>
      <c r="Z273" s="16">
        <v>4.4000000000000004</v>
      </c>
      <c r="AA273" s="18" t="s">
        <v>89</v>
      </c>
      <c r="AB273" s="19" t="s">
        <v>89</v>
      </c>
      <c r="AC273" s="17">
        <v>157</v>
      </c>
      <c r="AD273" s="17">
        <v>12.3</v>
      </c>
      <c r="AE273" s="17">
        <v>154</v>
      </c>
      <c r="AF273" s="21" t="s">
        <v>90</v>
      </c>
      <c r="AH273" s="17" t="s">
        <v>91</v>
      </c>
      <c r="AJ273" s="24" t="s">
        <v>1127</v>
      </c>
      <c r="AL273" s="19" t="s">
        <v>94</v>
      </c>
      <c r="AM273" s="19" t="s">
        <v>89</v>
      </c>
      <c r="AN273" s="19" t="s">
        <v>89</v>
      </c>
      <c r="AO273">
        <f t="shared" si="29"/>
        <v>1</v>
      </c>
      <c r="AP273">
        <f t="shared" si="30"/>
        <v>60.25</v>
      </c>
      <c r="AR273">
        <f t="shared" si="31"/>
        <v>125.23076923076924</v>
      </c>
    </row>
    <row r="274" spans="1:44">
      <c r="A274" t="s">
        <v>1128</v>
      </c>
      <c r="B274">
        <v>272</v>
      </c>
      <c r="C274" s="16" t="s">
        <v>1129</v>
      </c>
      <c r="D274" s="16" t="s">
        <v>1129</v>
      </c>
      <c r="E274" s="16" t="s">
        <v>981</v>
      </c>
      <c r="F274" s="16" t="s">
        <v>83</v>
      </c>
      <c r="G274" s="16" t="s">
        <v>84</v>
      </c>
      <c r="H274" s="16" t="s">
        <v>88</v>
      </c>
      <c r="I274" s="16" t="s">
        <v>1130</v>
      </c>
      <c r="J274" s="16" t="s">
        <v>87</v>
      </c>
      <c r="K274" s="16" t="s">
        <v>88</v>
      </c>
      <c r="L274" s="17">
        <v>500</v>
      </c>
      <c r="M274" s="17">
        <v>80</v>
      </c>
      <c r="N274" s="16">
        <v>232</v>
      </c>
      <c r="O274" s="16">
        <v>101</v>
      </c>
      <c r="P274" s="16">
        <v>75</v>
      </c>
      <c r="Q274" s="16">
        <v>4.2</v>
      </c>
      <c r="R274" s="16">
        <v>3.7</v>
      </c>
      <c r="S274" s="16">
        <v>3</v>
      </c>
      <c r="T274" s="16">
        <v>15</v>
      </c>
      <c r="U274" s="16">
        <v>325</v>
      </c>
      <c r="V274" s="18" t="s">
        <v>89</v>
      </c>
      <c r="W274" s="16">
        <v>2750</v>
      </c>
      <c r="X274" s="16">
        <v>1174.8</v>
      </c>
      <c r="Y274" s="16">
        <v>75</v>
      </c>
      <c r="Z274" s="16">
        <v>15</v>
      </c>
      <c r="AA274" s="18" t="s">
        <v>89</v>
      </c>
      <c r="AB274" s="19" t="s">
        <v>89</v>
      </c>
      <c r="AC274" s="17">
        <v>178</v>
      </c>
      <c r="AD274" s="17">
        <v>50</v>
      </c>
      <c r="AE274" s="17">
        <v>132</v>
      </c>
      <c r="AF274" s="21" t="s">
        <v>90</v>
      </c>
      <c r="AH274" s="17" t="s">
        <v>91</v>
      </c>
      <c r="AJ274" s="24" t="s">
        <v>98</v>
      </c>
      <c r="AL274" s="19" t="s">
        <v>94</v>
      </c>
      <c r="AM274" s="19" t="s">
        <v>89</v>
      </c>
      <c r="AN274" s="19" t="s">
        <v>89</v>
      </c>
      <c r="AO274">
        <f t="shared" si="29"/>
        <v>2</v>
      </c>
      <c r="AP274">
        <f t="shared" si="30"/>
        <v>60.79</v>
      </c>
      <c r="AR274">
        <f t="shared" si="31"/>
        <v>100.90909090909091</v>
      </c>
    </row>
    <row r="275" spans="1:44">
      <c r="A275" t="s">
        <v>1131</v>
      </c>
      <c r="B275">
        <v>273</v>
      </c>
      <c r="C275" s="16" t="s">
        <v>1132</v>
      </c>
      <c r="D275" s="16" t="s">
        <v>1133</v>
      </c>
      <c r="E275" s="16" t="s">
        <v>988</v>
      </c>
      <c r="F275" s="16" t="s">
        <v>83</v>
      </c>
      <c r="G275" s="16" t="s">
        <v>425</v>
      </c>
      <c r="H275" s="16" t="s">
        <v>266</v>
      </c>
      <c r="I275" s="16" t="s">
        <v>1134</v>
      </c>
      <c r="J275" s="16" t="s">
        <v>87</v>
      </c>
      <c r="K275" s="16" t="s">
        <v>268</v>
      </c>
      <c r="L275" s="17">
        <v>1000</v>
      </c>
      <c r="M275" s="17">
        <v>80</v>
      </c>
      <c r="N275" s="17" t="s">
        <v>89</v>
      </c>
      <c r="O275" s="17" t="s">
        <v>89</v>
      </c>
      <c r="P275" s="16">
        <v>55</v>
      </c>
      <c r="Q275" s="16">
        <v>4.2</v>
      </c>
      <c r="R275" s="16">
        <v>3.6</v>
      </c>
      <c r="S275" s="16">
        <v>3</v>
      </c>
      <c r="T275" s="16">
        <v>27.5</v>
      </c>
      <c r="U275" s="16">
        <v>110</v>
      </c>
      <c r="V275" s="18">
        <v>0.5</v>
      </c>
      <c r="W275" s="16">
        <v>1500</v>
      </c>
      <c r="X275" s="16">
        <v>573.678</v>
      </c>
      <c r="Y275" s="16">
        <v>110</v>
      </c>
      <c r="Z275" s="16">
        <v>11</v>
      </c>
      <c r="AA275" s="18">
        <v>0.5</v>
      </c>
      <c r="AB275" s="19" t="s">
        <v>89</v>
      </c>
      <c r="AC275" s="17" t="s">
        <v>90</v>
      </c>
      <c r="AD275" s="17">
        <v>203</v>
      </c>
      <c r="AF275" s="17">
        <v>60</v>
      </c>
      <c r="AG275" s="17">
        <v>2016</v>
      </c>
      <c r="AH275" s="17" t="s">
        <v>91</v>
      </c>
      <c r="AJ275" s="24" t="s">
        <v>1135</v>
      </c>
      <c r="AL275" s="19" t="s">
        <v>94</v>
      </c>
      <c r="AM275" s="19" t="s">
        <v>89</v>
      </c>
      <c r="AN275" s="23">
        <v>1</v>
      </c>
      <c r="AO275">
        <f t="shared" si="29"/>
        <v>3</v>
      </c>
      <c r="AP275">
        <f t="shared" si="30"/>
        <v>64.69</v>
      </c>
      <c r="AR275">
        <f t="shared" si="31"/>
        <v>132</v>
      </c>
    </row>
    <row r="276" spans="1:44">
      <c r="A276" t="s">
        <v>1136</v>
      </c>
      <c r="B276">
        <v>274</v>
      </c>
      <c r="C276" s="16" t="s">
        <v>1137</v>
      </c>
      <c r="D276" s="16" t="s">
        <v>1133</v>
      </c>
      <c r="E276" s="16" t="s">
        <v>988</v>
      </c>
      <c r="F276" s="16" t="s">
        <v>83</v>
      </c>
      <c r="G276" s="16" t="s">
        <v>425</v>
      </c>
      <c r="H276" s="16" t="s">
        <v>266</v>
      </c>
      <c r="I276" s="16" t="s">
        <v>1134</v>
      </c>
      <c r="J276" s="16" t="s">
        <v>87</v>
      </c>
      <c r="K276" s="16" t="s">
        <v>268</v>
      </c>
      <c r="L276" s="17">
        <v>2000</v>
      </c>
      <c r="M276" s="17">
        <v>60</v>
      </c>
      <c r="N276" s="17" t="s">
        <v>89</v>
      </c>
      <c r="O276" s="17" t="s">
        <v>89</v>
      </c>
      <c r="P276" s="16">
        <v>55</v>
      </c>
      <c r="Q276" s="16">
        <v>4.2</v>
      </c>
      <c r="R276" s="16">
        <v>3.6</v>
      </c>
      <c r="S276" s="16">
        <v>3</v>
      </c>
      <c r="T276" s="16">
        <v>27.5</v>
      </c>
      <c r="U276" s="16">
        <v>110</v>
      </c>
      <c r="V276" s="18">
        <v>0.5</v>
      </c>
      <c r="W276" s="16">
        <v>1500</v>
      </c>
      <c r="X276" s="16">
        <v>573.678</v>
      </c>
      <c r="Y276" s="16">
        <v>110</v>
      </c>
      <c r="Z276" s="16">
        <v>11</v>
      </c>
      <c r="AA276" s="18">
        <v>0.5</v>
      </c>
      <c r="AB276" s="19" t="s">
        <v>89</v>
      </c>
      <c r="AC276" s="17" t="s">
        <v>90</v>
      </c>
      <c r="AD276" s="17">
        <v>203</v>
      </c>
      <c r="AF276" s="17">
        <v>60</v>
      </c>
      <c r="AG276" s="17">
        <v>2016</v>
      </c>
      <c r="AH276" s="17" t="s">
        <v>91</v>
      </c>
      <c r="AJ276" s="24" t="s">
        <v>1138</v>
      </c>
      <c r="AL276" s="19" t="s">
        <v>94</v>
      </c>
      <c r="AM276" s="19" t="s">
        <v>89</v>
      </c>
      <c r="AN276" s="23">
        <v>0.8</v>
      </c>
      <c r="AO276">
        <f t="shared" si="29"/>
        <v>3</v>
      </c>
      <c r="AP276">
        <f t="shared" si="30"/>
        <v>64.69</v>
      </c>
      <c r="AR276">
        <f t="shared" si="31"/>
        <v>132</v>
      </c>
    </row>
    <row r="277" spans="1:44">
      <c r="A277" t="s">
        <v>1139</v>
      </c>
      <c r="B277">
        <v>275</v>
      </c>
      <c r="C277" s="16" t="s">
        <v>1140</v>
      </c>
      <c r="D277" s="16" t="s">
        <v>1140</v>
      </c>
      <c r="E277" s="16" t="s">
        <v>670</v>
      </c>
      <c r="F277" s="16" t="s">
        <v>129</v>
      </c>
      <c r="G277" s="16" t="s">
        <v>130</v>
      </c>
      <c r="H277" s="16" t="s">
        <v>266</v>
      </c>
      <c r="I277" s="16" t="s">
        <v>1141</v>
      </c>
      <c r="J277" s="16" t="s">
        <v>87</v>
      </c>
      <c r="K277" s="16" t="s">
        <v>268</v>
      </c>
      <c r="L277" s="17">
        <v>2500</v>
      </c>
      <c r="M277" s="17">
        <v>75</v>
      </c>
      <c r="N277" s="17" t="s">
        <v>89</v>
      </c>
      <c r="O277" s="17" t="s">
        <v>89</v>
      </c>
      <c r="P277" s="16">
        <v>44</v>
      </c>
      <c r="Q277" s="16">
        <v>3.65</v>
      </c>
      <c r="R277" s="16">
        <v>3.3</v>
      </c>
      <c r="S277" s="16">
        <v>2.5</v>
      </c>
      <c r="T277" s="16">
        <v>6.2857142857142856</v>
      </c>
      <c r="U277" s="16">
        <v>50</v>
      </c>
      <c r="V277" s="18">
        <v>1.2</v>
      </c>
      <c r="W277" s="16">
        <v>900</v>
      </c>
      <c r="X277" s="16">
        <v>476.12450000000001</v>
      </c>
      <c r="Y277" s="16">
        <v>25</v>
      </c>
      <c r="Z277" s="16">
        <v>6.2857142857142856</v>
      </c>
      <c r="AA277" s="18">
        <v>0.15</v>
      </c>
      <c r="AB277" s="19" t="s">
        <v>89</v>
      </c>
      <c r="AC277" s="17" t="s">
        <v>90</v>
      </c>
      <c r="AD277" s="17">
        <v>208</v>
      </c>
      <c r="AF277" s="17">
        <v>54</v>
      </c>
      <c r="AG277" s="17">
        <v>2010</v>
      </c>
      <c r="AH277" s="17" t="s">
        <v>91</v>
      </c>
      <c r="AL277" s="19" t="s">
        <v>94</v>
      </c>
      <c r="AM277" s="19" t="s">
        <v>89</v>
      </c>
      <c r="AN277" s="19" t="s">
        <v>89</v>
      </c>
      <c r="AO277">
        <f t="shared" si="29"/>
        <v>3</v>
      </c>
      <c r="AP277">
        <f t="shared" si="30"/>
        <v>64.69</v>
      </c>
      <c r="AR277">
        <f t="shared" si="31"/>
        <v>161.33333333333331</v>
      </c>
    </row>
    <row r="278" spans="1:44">
      <c r="A278" t="s">
        <v>1142</v>
      </c>
      <c r="B278">
        <v>276</v>
      </c>
      <c r="C278" s="16" t="s">
        <v>1143</v>
      </c>
      <c r="D278" s="16" t="s">
        <v>1143</v>
      </c>
      <c r="E278" s="16" t="s">
        <v>670</v>
      </c>
      <c r="F278" s="16" t="s">
        <v>83</v>
      </c>
      <c r="G278" s="16" t="s">
        <v>305</v>
      </c>
      <c r="H278" s="16" t="s">
        <v>266</v>
      </c>
      <c r="I278" s="16" t="s">
        <v>1144</v>
      </c>
      <c r="J278" s="16" t="s">
        <v>87</v>
      </c>
      <c r="K278" s="16" t="s">
        <v>268</v>
      </c>
      <c r="L278" s="17">
        <v>500</v>
      </c>
      <c r="M278" s="17">
        <v>80</v>
      </c>
      <c r="N278" s="17" t="s">
        <v>89</v>
      </c>
      <c r="O278" s="17" t="s">
        <v>89</v>
      </c>
      <c r="P278" s="16">
        <v>5</v>
      </c>
      <c r="Q278" s="16">
        <v>4.0999999999999996</v>
      </c>
      <c r="R278" s="16">
        <v>3.65</v>
      </c>
      <c r="S278" s="16">
        <v>2</v>
      </c>
      <c r="T278" s="16">
        <v>1</v>
      </c>
      <c r="U278" s="16">
        <v>2</v>
      </c>
      <c r="V278" s="18">
        <v>1</v>
      </c>
      <c r="W278" s="16">
        <v>350</v>
      </c>
      <c r="X278" s="16">
        <v>158.80549999999999</v>
      </c>
      <c r="Y278" s="16">
        <v>5</v>
      </c>
      <c r="Z278" s="16">
        <v>1</v>
      </c>
      <c r="AA278" s="18">
        <v>1</v>
      </c>
      <c r="AB278" s="19" t="s">
        <v>89</v>
      </c>
      <c r="AC278" s="17" t="s">
        <v>90</v>
      </c>
      <c r="AD278" s="17">
        <v>175</v>
      </c>
      <c r="AF278" s="17">
        <v>34</v>
      </c>
      <c r="AG278" s="17">
        <v>2009</v>
      </c>
      <c r="AH278" s="17" t="s">
        <v>91</v>
      </c>
      <c r="AJ278" s="24" t="s">
        <v>1145</v>
      </c>
      <c r="AL278" s="19" t="s">
        <v>94</v>
      </c>
      <c r="AM278" s="19" t="s">
        <v>89</v>
      </c>
      <c r="AN278" s="19" t="s">
        <v>89</v>
      </c>
      <c r="AO278">
        <f t="shared" si="29"/>
        <v>3</v>
      </c>
      <c r="AP278">
        <f t="shared" si="30"/>
        <v>64.69</v>
      </c>
      <c r="AR278">
        <f t="shared" si="31"/>
        <v>52.142857142857146</v>
      </c>
    </row>
    <row r="279" spans="1:44">
      <c r="A279" t="s">
        <v>1146</v>
      </c>
      <c r="B279">
        <v>277</v>
      </c>
      <c r="C279" s="16" t="s">
        <v>1147</v>
      </c>
      <c r="D279" s="16" t="s">
        <v>1148</v>
      </c>
      <c r="E279" s="16" t="s">
        <v>988</v>
      </c>
      <c r="F279" s="16" t="s">
        <v>83</v>
      </c>
      <c r="G279" s="16" t="s">
        <v>425</v>
      </c>
      <c r="H279" s="16" t="s">
        <v>266</v>
      </c>
      <c r="I279" s="16" t="s">
        <v>1149</v>
      </c>
      <c r="J279" s="16" t="s">
        <v>87</v>
      </c>
      <c r="K279" s="16" t="s">
        <v>268</v>
      </c>
      <c r="L279" s="17">
        <v>1000</v>
      </c>
      <c r="M279" s="17">
        <v>80</v>
      </c>
      <c r="N279" s="17" t="s">
        <v>89</v>
      </c>
      <c r="O279" s="17" t="s">
        <v>89</v>
      </c>
      <c r="P279" s="16">
        <v>7.5</v>
      </c>
      <c r="Q279" s="16">
        <v>4.2</v>
      </c>
      <c r="R279" s="16">
        <v>3.6</v>
      </c>
      <c r="S279" s="16">
        <v>3</v>
      </c>
      <c r="T279" s="16">
        <v>1.5</v>
      </c>
      <c r="U279" s="16">
        <v>75</v>
      </c>
      <c r="V279" s="18">
        <v>0.2</v>
      </c>
      <c r="W279" s="16">
        <v>320</v>
      </c>
      <c r="X279" s="16">
        <v>130.67420000000001</v>
      </c>
      <c r="Y279" s="16">
        <v>75</v>
      </c>
      <c r="Z279" s="16">
        <v>3.8</v>
      </c>
      <c r="AA279" s="18">
        <v>0.2</v>
      </c>
      <c r="AB279" s="19" t="s">
        <v>89</v>
      </c>
      <c r="AC279" s="17" t="s">
        <v>90</v>
      </c>
      <c r="AD279" s="17">
        <v>144</v>
      </c>
      <c r="AF279" s="17">
        <v>34</v>
      </c>
      <c r="AG279" s="17">
        <v>2008</v>
      </c>
      <c r="AI279" s="17" t="s">
        <v>91</v>
      </c>
      <c r="AJ279" s="24" t="s">
        <v>1150</v>
      </c>
      <c r="AL279" s="19" t="s">
        <v>94</v>
      </c>
      <c r="AM279" s="19" t="s">
        <v>89</v>
      </c>
      <c r="AN279" s="23">
        <v>1</v>
      </c>
      <c r="AO279">
        <f t="shared" si="29"/>
        <v>3</v>
      </c>
      <c r="AP279">
        <f t="shared" si="30"/>
        <v>64.69</v>
      </c>
      <c r="AR279">
        <f t="shared" si="31"/>
        <v>84.375</v>
      </c>
    </row>
    <row r="280" spans="1:44">
      <c r="A280" t="s">
        <v>1151</v>
      </c>
      <c r="B280">
        <v>278</v>
      </c>
      <c r="C280" s="16" t="s">
        <v>1152</v>
      </c>
      <c r="D280" s="16" t="s">
        <v>1152</v>
      </c>
      <c r="E280" s="16" t="s">
        <v>1153</v>
      </c>
      <c r="H280" s="16" t="s">
        <v>85</v>
      </c>
      <c r="I280" s="16" t="s">
        <v>1154</v>
      </c>
      <c r="J280" s="16" t="s">
        <v>87</v>
      </c>
      <c r="K280" s="16" t="s">
        <v>88</v>
      </c>
      <c r="L280" s="17">
        <v>500</v>
      </c>
      <c r="M280" s="17">
        <v>70</v>
      </c>
      <c r="N280" s="16">
        <v>460</v>
      </c>
      <c r="O280" s="16">
        <v>215</v>
      </c>
      <c r="P280" s="16">
        <v>12.6</v>
      </c>
      <c r="Q280" s="16">
        <v>4.2</v>
      </c>
      <c r="R280" s="16">
        <v>3.7</v>
      </c>
      <c r="S280" s="16">
        <v>3</v>
      </c>
      <c r="T280" s="16">
        <v>2.52</v>
      </c>
      <c r="U280" s="16">
        <v>25.2</v>
      </c>
      <c r="V280" s="18">
        <v>0.5</v>
      </c>
      <c r="W280" s="16">
        <v>217</v>
      </c>
      <c r="X280" s="16">
        <v>101.15</v>
      </c>
      <c r="Y280" s="16">
        <v>12.6</v>
      </c>
      <c r="Z280" s="16">
        <v>2.52</v>
      </c>
      <c r="AA280" s="18">
        <v>0.5</v>
      </c>
      <c r="AB280" s="19" t="s">
        <v>89</v>
      </c>
      <c r="AC280" s="17">
        <v>170</v>
      </c>
      <c r="AD280" s="17">
        <v>8.5</v>
      </c>
      <c r="AE280" s="17">
        <v>70</v>
      </c>
      <c r="AF280" s="21" t="s">
        <v>90</v>
      </c>
      <c r="AG280" s="17">
        <v>2009</v>
      </c>
      <c r="AH280" s="17" t="s">
        <v>91</v>
      </c>
      <c r="AJ280" s="24" t="s">
        <v>1155</v>
      </c>
      <c r="AL280" s="19" t="s">
        <v>94</v>
      </c>
      <c r="AM280" s="19" t="s">
        <v>89</v>
      </c>
      <c r="AN280" s="23">
        <v>0.7</v>
      </c>
      <c r="AO280">
        <f t="shared" si="29"/>
        <v>1</v>
      </c>
      <c r="AP280">
        <f t="shared" si="30"/>
        <v>60.25</v>
      </c>
      <c r="AR280">
        <f t="shared" si="31"/>
        <v>214.83870967741933</v>
      </c>
    </row>
    <row r="281" spans="1:44">
      <c r="A281" t="s">
        <v>1156</v>
      </c>
      <c r="B281">
        <v>279</v>
      </c>
      <c r="C281" s="16" t="s">
        <v>1157</v>
      </c>
      <c r="D281" s="16" t="s">
        <v>1158</v>
      </c>
      <c r="E281" s="16" t="s">
        <v>1159</v>
      </c>
      <c r="F281" s="16" t="s">
        <v>129</v>
      </c>
      <c r="G281" s="16" t="s">
        <v>130</v>
      </c>
      <c r="H281" s="16" t="s">
        <v>88</v>
      </c>
      <c r="I281" s="16" t="s">
        <v>1160</v>
      </c>
      <c r="J281" s="16" t="s">
        <v>87</v>
      </c>
      <c r="K281" s="16" t="s">
        <v>88</v>
      </c>
      <c r="L281" s="17">
        <v>5000</v>
      </c>
      <c r="M281" s="17">
        <v>80</v>
      </c>
      <c r="N281" s="17" t="s">
        <v>89</v>
      </c>
      <c r="O281" s="17" t="s">
        <v>89</v>
      </c>
      <c r="P281" s="16">
        <v>40</v>
      </c>
      <c r="Q281" s="16">
        <v>3.65</v>
      </c>
      <c r="R281" s="16">
        <v>3.3</v>
      </c>
      <c r="S281" s="16">
        <v>2.5</v>
      </c>
      <c r="T281" s="16">
        <v>12</v>
      </c>
      <c r="U281" s="16">
        <v>120</v>
      </c>
      <c r="V281" s="18">
        <v>0.5</v>
      </c>
      <c r="W281" s="16">
        <v>1500</v>
      </c>
      <c r="X281" s="16">
        <v>976.48800000000006</v>
      </c>
      <c r="Y281" s="16">
        <v>120</v>
      </c>
      <c r="Z281" s="16">
        <v>20</v>
      </c>
      <c r="AA281" s="18">
        <v>0.5</v>
      </c>
      <c r="AB281" s="19" t="s">
        <v>89</v>
      </c>
      <c r="AC281" s="17">
        <v>183</v>
      </c>
      <c r="AD281" s="17">
        <v>46</v>
      </c>
      <c r="AE281" s="17">
        <v>116</v>
      </c>
      <c r="AF281" s="21" t="s">
        <v>90</v>
      </c>
      <c r="AH281" s="17" t="s">
        <v>91</v>
      </c>
      <c r="AJ281" s="24" t="s">
        <v>98</v>
      </c>
      <c r="AL281" s="19" t="s">
        <v>94</v>
      </c>
      <c r="AM281" s="19" t="s">
        <v>89</v>
      </c>
      <c r="AN281" s="23">
        <v>0.8</v>
      </c>
      <c r="AO281">
        <f t="shared" si="29"/>
        <v>2</v>
      </c>
      <c r="AP281">
        <f t="shared" si="30"/>
        <v>60.79</v>
      </c>
      <c r="AR281">
        <f t="shared" si="31"/>
        <v>88</v>
      </c>
    </row>
    <row r="282" spans="1:44">
      <c r="A282" t="s">
        <v>1161</v>
      </c>
      <c r="B282">
        <v>280</v>
      </c>
      <c r="C282" s="16" t="s">
        <v>1162</v>
      </c>
      <c r="D282" s="16" t="s">
        <v>1163</v>
      </c>
      <c r="E282" s="16" t="s">
        <v>1159</v>
      </c>
      <c r="F282" s="16" t="s">
        <v>129</v>
      </c>
      <c r="G282" s="16" t="s">
        <v>130</v>
      </c>
      <c r="H282" s="16" t="s">
        <v>88</v>
      </c>
      <c r="I282" s="16" t="s">
        <v>1164</v>
      </c>
      <c r="J282" s="16" t="s">
        <v>87</v>
      </c>
      <c r="K282" s="16" t="s">
        <v>88</v>
      </c>
      <c r="L282" s="17">
        <v>5000</v>
      </c>
      <c r="M282" s="17">
        <v>80</v>
      </c>
      <c r="N282" s="17" t="s">
        <v>89</v>
      </c>
      <c r="O282" s="17" t="s">
        <v>89</v>
      </c>
      <c r="P282" s="16">
        <v>60</v>
      </c>
      <c r="Q282" s="16">
        <v>3.65</v>
      </c>
      <c r="R282" s="16">
        <v>3.3</v>
      </c>
      <c r="S282" s="16">
        <v>2.5</v>
      </c>
      <c r="T282" s="16">
        <v>30</v>
      </c>
      <c r="U282" s="16">
        <v>180</v>
      </c>
      <c r="V282" s="18">
        <v>0.5</v>
      </c>
      <c r="W282" s="16">
        <v>2100</v>
      </c>
      <c r="X282" s="16">
        <v>1424.0450000000001</v>
      </c>
      <c r="Y282" s="16">
        <v>180</v>
      </c>
      <c r="Z282" s="16">
        <v>30</v>
      </c>
      <c r="AA282" s="18">
        <v>0.5</v>
      </c>
      <c r="AB282" s="19" t="s">
        <v>89</v>
      </c>
      <c r="AC282" s="17">
        <v>203</v>
      </c>
      <c r="AD282" s="17">
        <v>61</v>
      </c>
      <c r="AE282" s="17">
        <v>115</v>
      </c>
      <c r="AF282" s="21" t="s">
        <v>90</v>
      </c>
      <c r="AH282" s="17" t="s">
        <v>91</v>
      </c>
      <c r="AJ282" s="24" t="s">
        <v>98</v>
      </c>
      <c r="AL282" s="19" t="s">
        <v>94</v>
      </c>
      <c r="AM282" s="19" t="s">
        <v>89</v>
      </c>
      <c r="AN282" s="23">
        <v>0.8</v>
      </c>
      <c r="AO282">
        <f t="shared" si="29"/>
        <v>2</v>
      </c>
      <c r="AP282">
        <f t="shared" si="30"/>
        <v>60.79</v>
      </c>
      <c r="AR282">
        <f t="shared" si="31"/>
        <v>94.285714285714278</v>
      </c>
    </row>
    <row r="283" spans="1:44">
      <c r="A283" t="s">
        <v>1165</v>
      </c>
      <c r="B283">
        <v>281</v>
      </c>
      <c r="C283" s="16" t="s">
        <v>1166</v>
      </c>
      <c r="D283" s="16" t="s">
        <v>1167</v>
      </c>
      <c r="E283" s="16" t="s">
        <v>1159</v>
      </c>
      <c r="F283" s="16" t="s">
        <v>129</v>
      </c>
      <c r="G283" s="16" t="s">
        <v>130</v>
      </c>
      <c r="H283" s="16" t="s">
        <v>88</v>
      </c>
      <c r="I283" s="16" t="s">
        <v>1168</v>
      </c>
      <c r="J283" s="16" t="s">
        <v>87</v>
      </c>
      <c r="K283" s="16" t="s">
        <v>88</v>
      </c>
      <c r="L283" s="17">
        <v>5000</v>
      </c>
      <c r="M283" s="17">
        <v>80</v>
      </c>
      <c r="N283" s="17" t="s">
        <v>89</v>
      </c>
      <c r="O283" s="17" t="s">
        <v>89</v>
      </c>
      <c r="P283" s="16">
        <v>90</v>
      </c>
      <c r="Q283" s="16">
        <v>3.65</v>
      </c>
      <c r="R283" s="16">
        <v>3.3</v>
      </c>
      <c r="S283" s="16">
        <v>2.5</v>
      </c>
      <c r="T283" s="16">
        <v>45</v>
      </c>
      <c r="U283" s="16">
        <v>270</v>
      </c>
      <c r="V283" s="18">
        <v>0.5</v>
      </c>
      <c r="W283" s="16">
        <v>2900</v>
      </c>
      <c r="X283" s="16">
        <v>1901.614</v>
      </c>
      <c r="Y283" s="16">
        <v>270</v>
      </c>
      <c r="Z283" s="16">
        <v>45</v>
      </c>
      <c r="AA283" s="18">
        <v>0.5</v>
      </c>
      <c r="AB283" s="19" t="s">
        <v>89</v>
      </c>
      <c r="AC283" s="17">
        <v>218</v>
      </c>
      <c r="AD283" s="17">
        <v>61</v>
      </c>
      <c r="AE283" s="17">
        <v>143</v>
      </c>
      <c r="AF283" s="21" t="s">
        <v>90</v>
      </c>
      <c r="AH283" s="17" t="s">
        <v>91</v>
      </c>
      <c r="AJ283" s="24" t="s">
        <v>98</v>
      </c>
      <c r="AL283" s="19" t="s">
        <v>94</v>
      </c>
      <c r="AM283" s="19" t="s">
        <v>89</v>
      </c>
      <c r="AN283" s="23">
        <v>0.8</v>
      </c>
      <c r="AO283">
        <f t="shared" si="29"/>
        <v>2</v>
      </c>
      <c r="AP283">
        <f t="shared" si="30"/>
        <v>60.79</v>
      </c>
      <c r="AR283">
        <f t="shared" si="31"/>
        <v>102.41379310344828</v>
      </c>
    </row>
    <row r="284" spans="1:44">
      <c r="A284" t="s">
        <v>1169</v>
      </c>
      <c r="B284">
        <v>282</v>
      </c>
      <c r="C284" s="16" t="s">
        <v>1170</v>
      </c>
      <c r="D284" s="16" t="s">
        <v>1171</v>
      </c>
      <c r="E284" s="16" t="s">
        <v>1159</v>
      </c>
      <c r="F284" s="16" t="s">
        <v>129</v>
      </c>
      <c r="G284" s="16" t="s">
        <v>130</v>
      </c>
      <c r="H284" s="16" t="s">
        <v>88</v>
      </c>
      <c r="I284" s="16" t="s">
        <v>1172</v>
      </c>
      <c r="J284" s="16" t="s">
        <v>87</v>
      </c>
      <c r="K284" s="16" t="s">
        <v>88</v>
      </c>
      <c r="L284" s="17">
        <v>5000</v>
      </c>
      <c r="M284" s="17">
        <v>80</v>
      </c>
      <c r="N284" s="17" t="s">
        <v>89</v>
      </c>
      <c r="O284" s="17" t="s">
        <v>89</v>
      </c>
      <c r="P284" s="16">
        <v>100</v>
      </c>
      <c r="Q284" s="16">
        <v>3.65</v>
      </c>
      <c r="R284" s="16">
        <v>3.3</v>
      </c>
      <c r="S284" s="16">
        <v>2.5</v>
      </c>
      <c r="T284" s="16">
        <v>50</v>
      </c>
      <c r="U284" s="16">
        <v>300</v>
      </c>
      <c r="V284" s="18">
        <v>0.5</v>
      </c>
      <c r="W284" s="16">
        <v>3500</v>
      </c>
      <c r="X284" s="16">
        <v>1945.9</v>
      </c>
      <c r="Y284" s="16">
        <v>300</v>
      </c>
      <c r="Z284" s="16">
        <v>50</v>
      </c>
      <c r="AA284" s="18">
        <v>0.5</v>
      </c>
      <c r="AB284" s="19" t="s">
        <v>89</v>
      </c>
      <c r="AC284" s="17">
        <v>220</v>
      </c>
      <c r="AD284" s="17">
        <v>61</v>
      </c>
      <c r="AE284" s="17">
        <v>145</v>
      </c>
      <c r="AF284" s="21" t="s">
        <v>90</v>
      </c>
      <c r="AH284" s="17" t="s">
        <v>91</v>
      </c>
      <c r="AJ284" s="24" t="s">
        <v>98</v>
      </c>
      <c r="AL284" s="19" t="s">
        <v>94</v>
      </c>
      <c r="AM284" s="19" t="s">
        <v>89</v>
      </c>
      <c r="AN284" s="23">
        <v>0.8</v>
      </c>
      <c r="AO284">
        <f t="shared" si="29"/>
        <v>2</v>
      </c>
      <c r="AP284">
        <f t="shared" si="30"/>
        <v>60.79</v>
      </c>
      <c r="AR284">
        <f t="shared" si="31"/>
        <v>94.285714285714292</v>
      </c>
    </row>
    <row r="285" spans="1:44">
      <c r="A285" t="s">
        <v>1173</v>
      </c>
      <c r="B285">
        <v>283</v>
      </c>
      <c r="C285" s="16" t="s">
        <v>1174</v>
      </c>
      <c r="D285" s="16" t="s">
        <v>1175</v>
      </c>
      <c r="E285" s="16" t="s">
        <v>1159</v>
      </c>
      <c r="F285" s="16" t="s">
        <v>129</v>
      </c>
      <c r="G285" s="16" t="s">
        <v>130</v>
      </c>
      <c r="H285" s="16" t="s">
        <v>88</v>
      </c>
      <c r="I285" s="16" t="s">
        <v>1176</v>
      </c>
      <c r="J285" s="16" t="s">
        <v>87</v>
      </c>
      <c r="K285" s="16" t="s">
        <v>88</v>
      </c>
      <c r="L285" s="17">
        <v>5000</v>
      </c>
      <c r="M285" s="17">
        <v>80</v>
      </c>
      <c r="N285" s="17" t="s">
        <v>89</v>
      </c>
      <c r="O285" s="17" t="s">
        <v>89</v>
      </c>
      <c r="P285" s="16">
        <v>160</v>
      </c>
      <c r="Q285" s="16">
        <v>3.65</v>
      </c>
      <c r="R285" s="16">
        <v>3.3</v>
      </c>
      <c r="S285" s="16">
        <v>2.5</v>
      </c>
      <c r="T285" s="16">
        <v>80</v>
      </c>
      <c r="U285" s="16">
        <v>480</v>
      </c>
      <c r="V285" s="18">
        <v>0.5</v>
      </c>
      <c r="W285" s="16">
        <v>5600</v>
      </c>
      <c r="X285" s="16">
        <v>3803.8</v>
      </c>
      <c r="Y285" s="16">
        <v>480</v>
      </c>
      <c r="Z285" s="16">
        <v>80</v>
      </c>
      <c r="AA285" s="18">
        <v>0.5</v>
      </c>
      <c r="AB285" s="19" t="s">
        <v>89</v>
      </c>
      <c r="AC285" s="17">
        <v>280</v>
      </c>
      <c r="AD285" s="17">
        <v>65</v>
      </c>
      <c r="AE285" s="17">
        <v>209</v>
      </c>
      <c r="AF285" s="21" t="s">
        <v>90</v>
      </c>
      <c r="AH285" s="17" t="s">
        <v>91</v>
      </c>
      <c r="AL285" s="19" t="s">
        <v>94</v>
      </c>
      <c r="AM285" s="19" t="s">
        <v>89</v>
      </c>
      <c r="AN285" s="23">
        <v>0.8</v>
      </c>
      <c r="AO285">
        <f t="shared" si="29"/>
        <v>2</v>
      </c>
      <c r="AP285">
        <f t="shared" si="30"/>
        <v>60.79</v>
      </c>
      <c r="AR285">
        <f t="shared" si="31"/>
        <v>94.285714285714292</v>
      </c>
    </row>
    <row r="286" spans="1:44">
      <c r="A286" t="s">
        <v>1177</v>
      </c>
      <c r="B286">
        <v>284</v>
      </c>
      <c r="C286" s="16" t="s">
        <v>1178</v>
      </c>
      <c r="D286" s="16" t="s">
        <v>1179</v>
      </c>
      <c r="E286" s="16" t="s">
        <v>1159</v>
      </c>
      <c r="F286" s="16" t="s">
        <v>129</v>
      </c>
      <c r="G286" s="16" t="s">
        <v>130</v>
      </c>
      <c r="H286" s="16" t="s">
        <v>88</v>
      </c>
      <c r="I286" s="16" t="s">
        <v>1180</v>
      </c>
      <c r="J286" s="16" t="s">
        <v>87</v>
      </c>
      <c r="K286" s="16" t="s">
        <v>88</v>
      </c>
      <c r="L286" s="17">
        <v>5000</v>
      </c>
      <c r="M286" s="17">
        <v>80</v>
      </c>
      <c r="N286" s="17" t="s">
        <v>89</v>
      </c>
      <c r="O286" s="17" t="s">
        <v>89</v>
      </c>
      <c r="P286" s="16">
        <v>200</v>
      </c>
      <c r="Q286" s="16">
        <v>3.65</v>
      </c>
      <c r="R286" s="16">
        <v>3.3</v>
      </c>
      <c r="S286" s="16">
        <v>2.5</v>
      </c>
      <c r="T286" s="16">
        <v>100</v>
      </c>
      <c r="U286" s="16">
        <v>600</v>
      </c>
      <c r="V286" s="18">
        <v>0.5</v>
      </c>
      <c r="W286" s="16">
        <v>7900</v>
      </c>
      <c r="X286" s="16">
        <v>5001.1332000000002</v>
      </c>
      <c r="Y286" s="16">
        <v>600</v>
      </c>
      <c r="Z286" s="16">
        <v>100</v>
      </c>
      <c r="AA286" s="18">
        <v>0.5</v>
      </c>
      <c r="AB286" s="19" t="s">
        <v>89</v>
      </c>
      <c r="AC286" s="17">
        <v>362</v>
      </c>
      <c r="AD286" s="17">
        <v>55.55</v>
      </c>
      <c r="AE286" s="17">
        <v>248.7</v>
      </c>
      <c r="AF286" s="21" t="s">
        <v>90</v>
      </c>
      <c r="AH286" s="17" t="s">
        <v>91</v>
      </c>
      <c r="AJ286" s="24" t="s">
        <v>98</v>
      </c>
      <c r="AL286" s="19" t="s">
        <v>94</v>
      </c>
      <c r="AM286" s="19" t="s">
        <v>89</v>
      </c>
      <c r="AN286" s="23">
        <v>0.8</v>
      </c>
      <c r="AO286">
        <f t="shared" si="29"/>
        <v>2</v>
      </c>
      <c r="AP286">
        <f t="shared" si="30"/>
        <v>60.79</v>
      </c>
      <c r="AR286">
        <f t="shared" si="31"/>
        <v>83.544303797468345</v>
      </c>
    </row>
    <row r="287" spans="1:44">
      <c r="A287" t="s">
        <v>1181</v>
      </c>
      <c r="B287">
        <v>285</v>
      </c>
      <c r="C287" s="16" t="s">
        <v>1182</v>
      </c>
      <c r="D287" s="16" t="s">
        <v>1183</v>
      </c>
      <c r="E287" s="16" t="s">
        <v>1159</v>
      </c>
      <c r="F287" s="16" t="s">
        <v>129</v>
      </c>
      <c r="G287" s="16" t="s">
        <v>130</v>
      </c>
      <c r="H287" s="16" t="s">
        <v>88</v>
      </c>
      <c r="I287" s="16" t="s">
        <v>1184</v>
      </c>
      <c r="J287" s="16" t="s">
        <v>87</v>
      </c>
      <c r="K287" s="16" t="s">
        <v>88</v>
      </c>
      <c r="L287" s="17">
        <v>5000</v>
      </c>
      <c r="M287" s="17">
        <v>80</v>
      </c>
      <c r="N287" s="17" t="s">
        <v>89</v>
      </c>
      <c r="O287" s="17" t="s">
        <v>89</v>
      </c>
      <c r="P287" s="16">
        <v>260</v>
      </c>
      <c r="Q287" s="16">
        <v>3.65</v>
      </c>
      <c r="R287" s="16">
        <v>3.3</v>
      </c>
      <c r="S287" s="16">
        <v>2.5</v>
      </c>
      <c r="T287" s="16">
        <v>130</v>
      </c>
      <c r="U287" s="16">
        <v>780</v>
      </c>
      <c r="V287" s="18">
        <v>0.5</v>
      </c>
      <c r="W287" s="16">
        <v>8700</v>
      </c>
      <c r="X287" s="16">
        <v>5525.0249999999996</v>
      </c>
      <c r="Y287" s="16">
        <v>780</v>
      </c>
      <c r="Z287" s="16">
        <v>130</v>
      </c>
      <c r="AA287" s="18">
        <v>0.5</v>
      </c>
      <c r="AB287" s="19" t="s">
        <v>89</v>
      </c>
      <c r="AC287" s="17">
        <v>362</v>
      </c>
      <c r="AD287" s="17">
        <v>55.5</v>
      </c>
      <c r="AE287" s="17">
        <v>275</v>
      </c>
      <c r="AF287" s="21" t="s">
        <v>90</v>
      </c>
      <c r="AH287" s="17" t="s">
        <v>91</v>
      </c>
      <c r="AJ287" s="24" t="s">
        <v>98</v>
      </c>
      <c r="AL287" s="19" t="s">
        <v>94</v>
      </c>
      <c r="AM287" s="19" t="s">
        <v>89</v>
      </c>
      <c r="AN287" s="23">
        <v>0.8</v>
      </c>
      <c r="AO287">
        <f t="shared" si="29"/>
        <v>2</v>
      </c>
      <c r="AP287">
        <f t="shared" si="30"/>
        <v>60.79</v>
      </c>
      <c r="AR287">
        <f t="shared" si="31"/>
        <v>98.620689655172427</v>
      </c>
    </row>
    <row r="288" spans="1:44">
      <c r="A288" t="s">
        <v>1185</v>
      </c>
      <c r="B288">
        <v>286</v>
      </c>
      <c r="C288" s="16" t="s">
        <v>1186</v>
      </c>
      <c r="D288" s="16" t="s">
        <v>1187</v>
      </c>
      <c r="E288" s="16" t="s">
        <v>1159</v>
      </c>
      <c r="F288" s="16" t="s">
        <v>129</v>
      </c>
      <c r="G288" s="16" t="s">
        <v>130</v>
      </c>
      <c r="H288" s="16" t="s">
        <v>88</v>
      </c>
      <c r="I288" s="16" t="s">
        <v>1188</v>
      </c>
      <c r="J288" s="16" t="s">
        <v>87</v>
      </c>
      <c r="K288" s="16" t="s">
        <v>88</v>
      </c>
      <c r="L288" s="17">
        <v>5000</v>
      </c>
      <c r="M288" s="17">
        <v>80</v>
      </c>
      <c r="N288" s="17" t="s">
        <v>89</v>
      </c>
      <c r="O288" s="17" t="s">
        <v>89</v>
      </c>
      <c r="P288" s="16">
        <v>300</v>
      </c>
      <c r="Q288" s="16">
        <v>3.65</v>
      </c>
      <c r="R288" s="16">
        <v>3.3</v>
      </c>
      <c r="S288" s="16">
        <v>2.5</v>
      </c>
      <c r="T288" s="16">
        <v>150</v>
      </c>
      <c r="U288" s="16">
        <v>900</v>
      </c>
      <c r="V288" s="18">
        <v>0.5</v>
      </c>
      <c r="W288" s="16">
        <v>9500</v>
      </c>
      <c r="X288" s="16">
        <v>6147.8459999999995</v>
      </c>
      <c r="Y288" s="16">
        <v>900</v>
      </c>
      <c r="Z288" s="16">
        <v>150</v>
      </c>
      <c r="AA288" s="18">
        <v>0.5</v>
      </c>
      <c r="AB288" s="19" t="s">
        <v>89</v>
      </c>
      <c r="AC288" s="17">
        <v>362</v>
      </c>
      <c r="AD288" s="17">
        <v>55.5</v>
      </c>
      <c r="AE288" s="17">
        <v>306</v>
      </c>
      <c r="AF288" s="21" t="s">
        <v>90</v>
      </c>
      <c r="AH288" s="17" t="s">
        <v>91</v>
      </c>
      <c r="AJ288" s="24" t="s">
        <v>98</v>
      </c>
      <c r="AL288" s="19" t="s">
        <v>94</v>
      </c>
      <c r="AM288" s="19" t="s">
        <v>89</v>
      </c>
      <c r="AN288" s="23">
        <v>0.8</v>
      </c>
      <c r="AO288">
        <f t="shared" si="29"/>
        <v>2</v>
      </c>
      <c r="AP288">
        <f t="shared" si="30"/>
        <v>60.79</v>
      </c>
      <c r="AR288">
        <f t="shared" si="31"/>
        <v>104.21052631578948</v>
      </c>
    </row>
    <row r="289" spans="1:44">
      <c r="A289" t="s">
        <v>1189</v>
      </c>
      <c r="B289">
        <v>287</v>
      </c>
      <c r="C289" s="16" t="s">
        <v>1190</v>
      </c>
      <c r="D289" s="16" t="s">
        <v>1191</v>
      </c>
      <c r="E289" s="16" t="s">
        <v>1159</v>
      </c>
      <c r="F289" s="16" t="s">
        <v>129</v>
      </c>
      <c r="G289" s="16" t="s">
        <v>130</v>
      </c>
      <c r="H289" s="16" t="s">
        <v>88</v>
      </c>
      <c r="I289" s="16" t="s">
        <v>1192</v>
      </c>
      <c r="J289" s="16" t="s">
        <v>87</v>
      </c>
      <c r="K289" s="16" t="s">
        <v>88</v>
      </c>
      <c r="L289" s="17">
        <v>5000</v>
      </c>
      <c r="M289" s="17">
        <v>80</v>
      </c>
      <c r="N289" s="17" t="s">
        <v>89</v>
      </c>
      <c r="O289" s="17" t="s">
        <v>89</v>
      </c>
      <c r="P289" s="16">
        <v>400</v>
      </c>
      <c r="Q289" s="16">
        <v>3.65</v>
      </c>
      <c r="R289" s="16">
        <v>3.3</v>
      </c>
      <c r="S289" s="16">
        <v>2.5</v>
      </c>
      <c r="T289" s="16">
        <v>200</v>
      </c>
      <c r="U289" s="16">
        <v>1200</v>
      </c>
      <c r="V289" s="18">
        <v>0.5</v>
      </c>
      <c r="W289" s="16">
        <v>13100</v>
      </c>
      <c r="X289" s="16">
        <v>8540.0249999999996</v>
      </c>
      <c r="Y289" s="16">
        <v>1200</v>
      </c>
      <c r="Z289" s="16">
        <v>200</v>
      </c>
      <c r="AA289" s="18">
        <v>0.5</v>
      </c>
      <c r="AB289" s="19" t="s">
        <v>89</v>
      </c>
      <c r="AC289" s="17">
        <v>461</v>
      </c>
      <c r="AD289" s="17">
        <v>65</v>
      </c>
      <c r="AE289" s="17">
        <v>285</v>
      </c>
      <c r="AF289" s="21" t="s">
        <v>90</v>
      </c>
      <c r="AH289" s="17" t="s">
        <v>91</v>
      </c>
      <c r="AL289" s="19" t="s">
        <v>94</v>
      </c>
      <c r="AM289" s="19" t="s">
        <v>89</v>
      </c>
      <c r="AN289" s="23">
        <v>0.8</v>
      </c>
      <c r="AO289">
        <f t="shared" si="29"/>
        <v>2</v>
      </c>
      <c r="AP289">
        <f t="shared" si="30"/>
        <v>60.79</v>
      </c>
      <c r="AR289">
        <f t="shared" si="31"/>
        <v>100.76335877862596</v>
      </c>
    </row>
    <row r="290" spans="1:44">
      <c r="A290" t="s">
        <v>1193</v>
      </c>
      <c r="B290">
        <v>288</v>
      </c>
      <c r="C290" s="16" t="s">
        <v>1194</v>
      </c>
      <c r="D290" s="16" t="s">
        <v>1195</v>
      </c>
      <c r="E290" s="16" t="s">
        <v>1159</v>
      </c>
      <c r="F290" s="16" t="s">
        <v>129</v>
      </c>
      <c r="G290" s="16" t="s">
        <v>130</v>
      </c>
      <c r="H290" s="16" t="s">
        <v>88</v>
      </c>
      <c r="I290" s="16" t="s">
        <v>1196</v>
      </c>
      <c r="J290" s="16" t="s">
        <v>87</v>
      </c>
      <c r="K290" s="16" t="s">
        <v>88</v>
      </c>
      <c r="L290" s="17">
        <v>5000</v>
      </c>
      <c r="M290" s="17">
        <v>80</v>
      </c>
      <c r="N290" s="17" t="s">
        <v>89</v>
      </c>
      <c r="O290" s="17" t="s">
        <v>89</v>
      </c>
      <c r="P290" s="16">
        <v>700</v>
      </c>
      <c r="Q290" s="16">
        <v>3.65</v>
      </c>
      <c r="R290" s="16">
        <v>3.3</v>
      </c>
      <c r="S290" s="16">
        <v>2.5</v>
      </c>
      <c r="T290" s="16">
        <v>350</v>
      </c>
      <c r="U290" s="16">
        <v>2100</v>
      </c>
      <c r="V290" s="18">
        <v>0.5</v>
      </c>
      <c r="W290" s="16">
        <v>21000</v>
      </c>
      <c r="X290" s="16">
        <v>12854.754000000001</v>
      </c>
      <c r="Y290" s="16">
        <v>2100</v>
      </c>
      <c r="Z290" s="16">
        <v>350</v>
      </c>
      <c r="AA290" s="18">
        <v>0.5</v>
      </c>
      <c r="AB290" s="19" t="s">
        <v>89</v>
      </c>
      <c r="AC290" s="17">
        <v>627</v>
      </c>
      <c r="AD290" s="17">
        <v>67</v>
      </c>
      <c r="AE290" s="17">
        <v>306</v>
      </c>
      <c r="AF290" s="21" t="s">
        <v>90</v>
      </c>
      <c r="AH290" s="17" t="s">
        <v>91</v>
      </c>
      <c r="AJ290" s="24" t="s">
        <v>98</v>
      </c>
      <c r="AL290" s="19" t="s">
        <v>94</v>
      </c>
      <c r="AM290" s="19" t="s">
        <v>89</v>
      </c>
      <c r="AN290" s="23">
        <v>0.8</v>
      </c>
      <c r="AO290">
        <f t="shared" si="29"/>
        <v>2</v>
      </c>
      <c r="AP290">
        <f t="shared" si="30"/>
        <v>60.79</v>
      </c>
      <c r="AR290">
        <f t="shared" si="31"/>
        <v>110</v>
      </c>
    </row>
    <row r="291" spans="1:44">
      <c r="A291" t="s">
        <v>1197</v>
      </c>
      <c r="B291">
        <v>289</v>
      </c>
      <c r="C291" s="16" t="s">
        <v>1198</v>
      </c>
      <c r="D291" s="16" t="s">
        <v>1199</v>
      </c>
      <c r="E291" s="16" t="s">
        <v>1159</v>
      </c>
      <c r="F291" s="16" t="s">
        <v>129</v>
      </c>
      <c r="G291" s="16" t="s">
        <v>130</v>
      </c>
      <c r="H291" s="16" t="s">
        <v>88</v>
      </c>
      <c r="I291" s="16" t="s">
        <v>1200</v>
      </c>
      <c r="J291" s="16" t="s">
        <v>87</v>
      </c>
      <c r="K291" s="16" t="s">
        <v>88</v>
      </c>
      <c r="L291" s="17">
        <v>5000</v>
      </c>
      <c r="M291" s="17">
        <v>80</v>
      </c>
      <c r="N291" s="17" t="s">
        <v>89</v>
      </c>
      <c r="O291" s="17" t="s">
        <v>89</v>
      </c>
      <c r="P291" s="16">
        <v>1000</v>
      </c>
      <c r="Q291" s="16">
        <v>3.65</v>
      </c>
      <c r="R291" s="16">
        <v>3.3</v>
      </c>
      <c r="S291" s="16">
        <v>2.5</v>
      </c>
      <c r="T291" s="16">
        <v>500</v>
      </c>
      <c r="U291" s="16">
        <v>3000</v>
      </c>
      <c r="V291" s="18">
        <v>0.5</v>
      </c>
      <c r="W291" s="16">
        <v>35000</v>
      </c>
      <c r="X291" s="16">
        <v>22631.25</v>
      </c>
      <c r="Y291" s="16">
        <v>3000</v>
      </c>
      <c r="Z291" s="16">
        <v>500</v>
      </c>
      <c r="AA291" s="18">
        <v>0.5</v>
      </c>
      <c r="AB291" s="19" t="s">
        <v>89</v>
      </c>
      <c r="AC291" s="17">
        <v>850</v>
      </c>
      <c r="AD291" s="17">
        <v>71</v>
      </c>
      <c r="AE291" s="17">
        <v>375</v>
      </c>
      <c r="AF291" s="21" t="s">
        <v>90</v>
      </c>
      <c r="AH291" s="17" t="s">
        <v>91</v>
      </c>
      <c r="AJ291" s="24" t="s">
        <v>98</v>
      </c>
      <c r="AL291" s="19" t="s">
        <v>94</v>
      </c>
      <c r="AM291" s="19" t="s">
        <v>89</v>
      </c>
      <c r="AN291" s="23">
        <v>0.8</v>
      </c>
      <c r="AO291">
        <f t="shared" si="29"/>
        <v>2</v>
      </c>
      <c r="AP291">
        <f t="shared" si="30"/>
        <v>60.79</v>
      </c>
      <c r="AR291">
        <f t="shared" si="31"/>
        <v>94.285714285714292</v>
      </c>
    </row>
    <row r="292" spans="1:44">
      <c r="A292" t="s">
        <v>1201</v>
      </c>
      <c r="B292">
        <v>290</v>
      </c>
      <c r="C292" s="16" t="s">
        <v>1202</v>
      </c>
      <c r="D292" s="16" t="s">
        <v>1203</v>
      </c>
      <c r="E292" s="16" t="s">
        <v>1159</v>
      </c>
      <c r="F292" s="16" t="s">
        <v>129</v>
      </c>
      <c r="G292" s="16" t="s">
        <v>130</v>
      </c>
      <c r="H292" s="16" t="s">
        <v>88</v>
      </c>
      <c r="I292" s="16" t="s">
        <v>1204</v>
      </c>
      <c r="J292" s="16" t="s">
        <v>87</v>
      </c>
      <c r="K292" s="16" t="s">
        <v>88</v>
      </c>
      <c r="L292" s="17">
        <v>5000</v>
      </c>
      <c r="M292" s="17">
        <v>80</v>
      </c>
      <c r="N292" s="17" t="s">
        <v>89</v>
      </c>
      <c r="O292" s="17" t="s">
        <v>89</v>
      </c>
      <c r="P292" s="16">
        <v>1000</v>
      </c>
      <c r="Q292" s="16">
        <v>3.65</v>
      </c>
      <c r="R292" s="16">
        <v>3.2</v>
      </c>
      <c r="S292" s="16">
        <v>2.5</v>
      </c>
      <c r="T292" s="16">
        <v>500</v>
      </c>
      <c r="U292" s="16">
        <v>3000</v>
      </c>
      <c r="V292" s="18">
        <v>0.5</v>
      </c>
      <c r="W292" s="16">
        <v>41000</v>
      </c>
      <c r="X292" s="16">
        <v>25916.799999999999</v>
      </c>
      <c r="Y292" s="16">
        <v>3000</v>
      </c>
      <c r="Z292" s="16">
        <v>500</v>
      </c>
      <c r="AA292" s="18">
        <v>0.5</v>
      </c>
      <c r="AB292" s="19" t="s">
        <v>89</v>
      </c>
      <c r="AC292" s="17">
        <v>560</v>
      </c>
      <c r="AD292" s="17">
        <v>130</v>
      </c>
      <c r="AE292" s="17">
        <v>356</v>
      </c>
      <c r="AF292" s="21" t="s">
        <v>90</v>
      </c>
      <c r="AH292" s="17" t="s">
        <v>91</v>
      </c>
      <c r="AJ292" s="24" t="s">
        <v>98</v>
      </c>
      <c r="AL292" s="19" t="s">
        <v>94</v>
      </c>
      <c r="AM292" s="19" t="s">
        <v>89</v>
      </c>
      <c r="AN292" s="23">
        <v>0.8</v>
      </c>
      <c r="AO292">
        <f t="shared" si="29"/>
        <v>2</v>
      </c>
      <c r="AP292">
        <f t="shared" si="30"/>
        <v>60.79</v>
      </c>
      <c r="AR292">
        <f t="shared" si="31"/>
        <v>78.048780487804876</v>
      </c>
    </row>
    <row r="293" spans="1:44">
      <c r="A293" t="s">
        <v>1205</v>
      </c>
      <c r="B293">
        <v>291</v>
      </c>
      <c r="C293" s="16" t="s">
        <v>1206</v>
      </c>
      <c r="D293" s="16" t="s">
        <v>1206</v>
      </c>
      <c r="E293" s="16" t="s">
        <v>1207</v>
      </c>
      <c r="F293" s="16" t="s">
        <v>129</v>
      </c>
      <c r="G293" s="16" t="s">
        <v>130</v>
      </c>
      <c r="H293" s="16" t="s">
        <v>266</v>
      </c>
      <c r="I293" s="16" t="s">
        <v>1208</v>
      </c>
      <c r="J293" s="16" t="s">
        <v>87</v>
      </c>
      <c r="K293" s="16" t="s">
        <v>268</v>
      </c>
      <c r="L293" s="17">
        <v>2000</v>
      </c>
      <c r="M293" s="17">
        <v>80</v>
      </c>
      <c r="N293" s="17" t="s">
        <v>89</v>
      </c>
      <c r="O293" s="17" t="s">
        <v>89</v>
      </c>
      <c r="P293" s="16">
        <v>5</v>
      </c>
      <c r="Q293" s="16">
        <v>3.65</v>
      </c>
      <c r="R293" s="16">
        <v>3.2</v>
      </c>
      <c r="S293" s="16">
        <v>2.5</v>
      </c>
      <c r="T293" s="16">
        <v>5</v>
      </c>
      <c r="U293" s="16">
        <v>10</v>
      </c>
      <c r="V293" s="18">
        <v>1</v>
      </c>
      <c r="W293" s="16">
        <v>145</v>
      </c>
      <c r="X293" s="16">
        <v>54.369799999999998</v>
      </c>
      <c r="Y293" s="16">
        <v>5</v>
      </c>
      <c r="Z293" s="16">
        <v>1</v>
      </c>
      <c r="AA293" s="18">
        <v>1</v>
      </c>
      <c r="AB293" s="19" t="s">
        <v>89</v>
      </c>
      <c r="AC293" s="17" t="s">
        <v>90</v>
      </c>
      <c r="AD293" s="17">
        <v>70</v>
      </c>
      <c r="AF293" s="17">
        <v>32.200000000000003</v>
      </c>
      <c r="AH293" s="17" t="s">
        <v>91</v>
      </c>
      <c r="AJ293" s="24" t="s">
        <v>98</v>
      </c>
      <c r="AL293" s="19" t="s">
        <v>94</v>
      </c>
      <c r="AM293" s="19" t="s">
        <v>89</v>
      </c>
      <c r="AN293" s="19" t="s">
        <v>89</v>
      </c>
      <c r="AO293">
        <f t="shared" si="29"/>
        <v>3</v>
      </c>
      <c r="AP293">
        <f t="shared" si="30"/>
        <v>64.69</v>
      </c>
      <c r="AR293">
        <f t="shared" si="31"/>
        <v>110.3448275862069</v>
      </c>
    </row>
    <row r="294" spans="1:44">
      <c r="A294" t="s">
        <v>1209</v>
      </c>
      <c r="B294">
        <v>292</v>
      </c>
      <c r="C294" s="16" t="s">
        <v>1210</v>
      </c>
      <c r="D294" s="16" t="s">
        <v>1210</v>
      </c>
      <c r="E294" s="16" t="s">
        <v>1211</v>
      </c>
      <c r="F294" s="16" t="s">
        <v>982</v>
      </c>
      <c r="G294" s="16" t="s">
        <v>983</v>
      </c>
      <c r="H294" s="16" t="s">
        <v>266</v>
      </c>
      <c r="I294" s="16" t="s">
        <v>1212</v>
      </c>
      <c r="J294" s="16" t="s">
        <v>87</v>
      </c>
      <c r="K294" s="16" t="s">
        <v>268</v>
      </c>
      <c r="L294" s="17">
        <v>300</v>
      </c>
      <c r="M294" s="17">
        <v>80</v>
      </c>
      <c r="N294" s="17" t="s">
        <v>89</v>
      </c>
      <c r="O294" s="17" t="s">
        <v>89</v>
      </c>
      <c r="P294" s="16">
        <v>4</v>
      </c>
      <c r="Q294" s="16">
        <v>4.2</v>
      </c>
      <c r="R294" s="16">
        <v>3.7</v>
      </c>
      <c r="S294" s="16">
        <v>3</v>
      </c>
      <c r="T294" s="16">
        <v>0.64</v>
      </c>
      <c r="U294" s="16">
        <v>4</v>
      </c>
      <c r="V294" s="18" t="s">
        <v>89</v>
      </c>
      <c r="W294" s="16">
        <v>90</v>
      </c>
      <c r="X294" s="16">
        <v>34.492899999999999</v>
      </c>
      <c r="Y294" s="16">
        <v>4</v>
      </c>
      <c r="Z294" s="16">
        <v>0.8</v>
      </c>
      <c r="AA294" s="18" t="s">
        <v>89</v>
      </c>
      <c r="AB294" s="32" t="s">
        <v>89</v>
      </c>
      <c r="AC294" s="17" t="s">
        <v>90</v>
      </c>
      <c r="AD294" s="17">
        <v>65</v>
      </c>
      <c r="AF294" s="17">
        <v>26</v>
      </c>
      <c r="AG294" s="17">
        <v>2015</v>
      </c>
      <c r="AI294" s="17" t="s">
        <v>91</v>
      </c>
      <c r="AJ294" s="24" t="s">
        <v>1213</v>
      </c>
      <c r="AL294" s="19" t="s">
        <v>94</v>
      </c>
      <c r="AM294" s="19" t="s">
        <v>89</v>
      </c>
      <c r="AN294" s="19" t="s">
        <v>89</v>
      </c>
      <c r="AO294">
        <f t="shared" si="29"/>
        <v>3</v>
      </c>
      <c r="AP294">
        <f t="shared" si="30"/>
        <v>64.69</v>
      </c>
      <c r="AR294">
        <f t="shared" si="31"/>
        <v>164.44444444444446</v>
      </c>
    </row>
    <row r="295" spans="1:44">
      <c r="A295" t="s">
        <v>1214</v>
      </c>
      <c r="B295">
        <v>293</v>
      </c>
      <c r="C295" s="16" t="s">
        <v>1215</v>
      </c>
      <c r="D295" s="16" t="s">
        <v>1215</v>
      </c>
      <c r="E295" s="16" t="s">
        <v>82</v>
      </c>
      <c r="F295" s="16" t="s">
        <v>83</v>
      </c>
      <c r="G295" s="16" t="s">
        <v>84</v>
      </c>
      <c r="H295" s="16" t="s">
        <v>85</v>
      </c>
      <c r="I295" s="16" t="s">
        <v>1216</v>
      </c>
      <c r="J295" s="16" t="s">
        <v>87</v>
      </c>
      <c r="K295" s="16" t="s">
        <v>88</v>
      </c>
      <c r="L295" s="17">
        <v>800</v>
      </c>
      <c r="M295" s="17">
        <v>80</v>
      </c>
      <c r="N295" s="17" t="s">
        <v>89</v>
      </c>
      <c r="O295" s="16">
        <v>140</v>
      </c>
      <c r="P295" s="16">
        <v>5</v>
      </c>
      <c r="Q295" s="16">
        <v>4.2</v>
      </c>
      <c r="R295" s="16">
        <v>3.7</v>
      </c>
      <c r="S295" s="16">
        <v>2.7</v>
      </c>
      <c r="T295" s="16">
        <v>2.5</v>
      </c>
      <c r="U295" s="16">
        <v>150</v>
      </c>
      <c r="V295" s="18">
        <v>1</v>
      </c>
      <c r="W295" s="16">
        <v>128</v>
      </c>
      <c r="X295" s="16">
        <v>72.525400000000005</v>
      </c>
      <c r="Y295" s="16">
        <v>10.4</v>
      </c>
      <c r="Z295" s="16">
        <v>2</v>
      </c>
      <c r="AA295" s="18">
        <v>1</v>
      </c>
      <c r="AB295" s="32" t="s">
        <v>89</v>
      </c>
      <c r="AC295" s="17">
        <v>142.5</v>
      </c>
      <c r="AD295" s="17">
        <v>11.7</v>
      </c>
      <c r="AE295" s="17">
        <v>43.5</v>
      </c>
      <c r="AF295" s="21" t="s">
        <v>90</v>
      </c>
      <c r="AG295" s="17">
        <v>2017</v>
      </c>
      <c r="AI295" s="17" t="s">
        <v>91</v>
      </c>
      <c r="AJ295" s="24" t="s">
        <v>98</v>
      </c>
      <c r="AK295" s="17" t="s">
        <v>1217</v>
      </c>
      <c r="AL295" s="19" t="s">
        <v>94</v>
      </c>
      <c r="AM295" s="19" t="s">
        <v>89</v>
      </c>
      <c r="AN295" s="19" t="s">
        <v>89</v>
      </c>
      <c r="AO295">
        <f t="shared" si="29"/>
        <v>1</v>
      </c>
      <c r="AP295">
        <f t="shared" si="30"/>
        <v>60.25</v>
      </c>
      <c r="AR295">
        <f t="shared" si="31"/>
        <v>144.53125</v>
      </c>
    </row>
    <row r="296" spans="1:44">
      <c r="A296" t="s">
        <v>1218</v>
      </c>
      <c r="B296">
        <v>294</v>
      </c>
      <c r="C296" s="16" t="s">
        <v>1219</v>
      </c>
      <c r="D296" s="16" t="s">
        <v>1219</v>
      </c>
      <c r="E296" s="16" t="s">
        <v>1220</v>
      </c>
      <c r="F296" s="16" t="s">
        <v>389</v>
      </c>
      <c r="G296" s="16" t="s">
        <v>390</v>
      </c>
      <c r="H296" s="16" t="s">
        <v>266</v>
      </c>
      <c r="I296" s="16" t="s">
        <v>1221</v>
      </c>
      <c r="J296" s="16" t="s">
        <v>87</v>
      </c>
      <c r="K296" s="16" t="s">
        <v>268</v>
      </c>
      <c r="L296" s="17">
        <v>2000</v>
      </c>
      <c r="M296" s="17">
        <v>80</v>
      </c>
      <c r="N296" s="17" t="s">
        <v>89</v>
      </c>
      <c r="O296" s="17" t="s">
        <v>89</v>
      </c>
      <c r="P296" s="16">
        <v>40</v>
      </c>
      <c r="Q296" s="16">
        <v>2.7</v>
      </c>
      <c r="R296" s="16">
        <v>2.4</v>
      </c>
      <c r="S296" s="16">
        <v>1.5</v>
      </c>
      <c r="T296" s="16">
        <v>65</v>
      </c>
      <c r="U296" s="16">
        <v>120</v>
      </c>
      <c r="V296" s="18" t="s">
        <v>89</v>
      </c>
      <c r="W296" s="16">
        <v>1650</v>
      </c>
      <c r="X296" s="16">
        <v>902.35749999999996</v>
      </c>
      <c r="Y296" s="16">
        <v>120</v>
      </c>
      <c r="Z296" s="16">
        <v>8</v>
      </c>
      <c r="AA296" s="18" t="s">
        <v>89</v>
      </c>
      <c r="AB296" s="32" t="s">
        <v>89</v>
      </c>
      <c r="AC296" s="17" t="s">
        <v>90</v>
      </c>
      <c r="AD296" s="17">
        <v>380</v>
      </c>
      <c r="AF296" s="17">
        <v>55</v>
      </c>
      <c r="AG296" s="17">
        <v>2013</v>
      </c>
      <c r="AH296" s="17" t="s">
        <v>91</v>
      </c>
      <c r="AL296" s="19" t="s">
        <v>94</v>
      </c>
      <c r="AM296" s="19" t="s">
        <v>89</v>
      </c>
      <c r="AN296" s="19" t="s">
        <v>89</v>
      </c>
      <c r="AO296">
        <f t="shared" si="29"/>
        <v>3</v>
      </c>
      <c r="AP296">
        <f t="shared" si="30"/>
        <v>64.69</v>
      </c>
      <c r="AR296">
        <f t="shared" si="31"/>
        <v>58.181818181818187</v>
      </c>
    </row>
    <row r="297" spans="1:44">
      <c r="A297" t="s">
        <v>1222</v>
      </c>
      <c r="B297">
        <v>295</v>
      </c>
      <c r="C297" s="16" t="s">
        <v>1223</v>
      </c>
      <c r="D297" s="16" t="s">
        <v>1223</v>
      </c>
      <c r="E297" s="16" t="s">
        <v>1224</v>
      </c>
      <c r="H297" s="16" t="s">
        <v>85</v>
      </c>
      <c r="I297" s="16" t="s">
        <v>1225</v>
      </c>
      <c r="J297" s="16" t="s">
        <v>87</v>
      </c>
      <c r="K297" s="16" t="s">
        <v>88</v>
      </c>
      <c r="L297" s="17">
        <v>1000</v>
      </c>
      <c r="M297" s="17">
        <v>80</v>
      </c>
      <c r="N297" s="17" t="s">
        <v>89</v>
      </c>
      <c r="O297" s="17" t="s">
        <v>89</v>
      </c>
      <c r="P297" s="16">
        <v>16</v>
      </c>
      <c r="Q297" s="16">
        <v>4.0999999999999996</v>
      </c>
      <c r="R297" s="16">
        <v>3.6</v>
      </c>
      <c r="S297" s="16">
        <v>2.5</v>
      </c>
      <c r="T297" s="16">
        <v>3.5</v>
      </c>
      <c r="U297" s="16">
        <v>80</v>
      </c>
      <c r="V297" s="18" t="s">
        <v>89</v>
      </c>
      <c r="W297" s="16">
        <v>446</v>
      </c>
      <c r="X297" s="16">
        <v>293.27760000000001</v>
      </c>
      <c r="Y297" s="16">
        <v>80</v>
      </c>
      <c r="Z297" s="16">
        <v>3.5</v>
      </c>
      <c r="AA297" s="18" t="s">
        <v>89</v>
      </c>
      <c r="AB297" s="32" t="s">
        <v>89</v>
      </c>
      <c r="AC297" s="17">
        <v>253</v>
      </c>
      <c r="AD297" s="17">
        <v>6.3</v>
      </c>
      <c r="AE297" s="17">
        <v>184</v>
      </c>
      <c r="AF297" s="21" t="s">
        <v>90</v>
      </c>
      <c r="AG297" s="17">
        <v>2012</v>
      </c>
      <c r="AH297" s="17" t="s">
        <v>91</v>
      </c>
      <c r="AJ297" s="24" t="s">
        <v>1226</v>
      </c>
      <c r="AL297" s="19" t="s">
        <v>94</v>
      </c>
      <c r="AM297" s="19" t="s">
        <v>89</v>
      </c>
      <c r="AN297" s="19" t="s">
        <v>89</v>
      </c>
      <c r="AO297">
        <f t="shared" si="29"/>
        <v>1</v>
      </c>
      <c r="AP297">
        <f t="shared" si="30"/>
        <v>60.25</v>
      </c>
      <c r="AR297">
        <f t="shared" si="31"/>
        <v>129.14798206278027</v>
      </c>
    </row>
    <row r="298" spans="1:44">
      <c r="A298" t="s">
        <v>1227</v>
      </c>
      <c r="B298">
        <v>296</v>
      </c>
      <c r="C298" s="16" t="s">
        <v>1228</v>
      </c>
      <c r="D298" s="16" t="s">
        <v>1229</v>
      </c>
      <c r="E298" s="16" t="s">
        <v>1230</v>
      </c>
      <c r="F298" s="16" t="s">
        <v>129</v>
      </c>
      <c r="G298" s="16" t="s">
        <v>130</v>
      </c>
      <c r="H298" s="16" t="s">
        <v>266</v>
      </c>
      <c r="I298" s="16" t="s">
        <v>1231</v>
      </c>
      <c r="J298" s="16" t="s">
        <v>87</v>
      </c>
      <c r="K298" s="16" t="s">
        <v>268</v>
      </c>
      <c r="L298" s="17">
        <v>2000</v>
      </c>
      <c r="M298" s="17">
        <v>80</v>
      </c>
      <c r="N298" s="17" t="s">
        <v>89</v>
      </c>
      <c r="O298" s="17" t="s">
        <v>89</v>
      </c>
      <c r="P298" s="16">
        <v>10</v>
      </c>
      <c r="Q298" s="16">
        <v>3.65</v>
      </c>
      <c r="R298" s="16">
        <v>3.2</v>
      </c>
      <c r="S298" s="16">
        <v>2</v>
      </c>
      <c r="T298" s="16">
        <v>10</v>
      </c>
      <c r="U298" s="16">
        <v>30</v>
      </c>
      <c r="V298" s="18">
        <v>1</v>
      </c>
      <c r="W298" s="16">
        <v>330</v>
      </c>
      <c r="X298" s="16">
        <v>138.2919</v>
      </c>
      <c r="Y298" s="16">
        <v>20</v>
      </c>
      <c r="Z298" s="16">
        <v>10</v>
      </c>
      <c r="AA298" s="18">
        <v>1</v>
      </c>
      <c r="AB298" s="32" t="s">
        <v>89</v>
      </c>
      <c r="AC298" s="17" t="s">
        <v>90</v>
      </c>
      <c r="AD298" s="17">
        <v>122</v>
      </c>
      <c r="AF298" s="17">
        <v>38</v>
      </c>
      <c r="AH298" s="17" t="s">
        <v>91</v>
      </c>
      <c r="AJ298" s="24" t="s">
        <v>98</v>
      </c>
      <c r="AL298" s="19" t="s">
        <v>94</v>
      </c>
      <c r="AM298" s="19" t="s">
        <v>89</v>
      </c>
      <c r="AN298" s="19" t="s">
        <v>89</v>
      </c>
      <c r="AO298">
        <f t="shared" si="29"/>
        <v>3</v>
      </c>
      <c r="AP298">
        <f t="shared" si="30"/>
        <v>64.69</v>
      </c>
      <c r="AR298">
        <f t="shared" si="31"/>
        <v>96.969696969696969</v>
      </c>
    </row>
    <row r="299" spans="1:44">
      <c r="A299" t="s">
        <v>1232</v>
      </c>
      <c r="B299">
        <v>297</v>
      </c>
      <c r="C299" s="16" t="s">
        <v>1233</v>
      </c>
      <c r="D299" s="16" t="s">
        <v>1234</v>
      </c>
      <c r="E299" s="16" t="s">
        <v>1230</v>
      </c>
      <c r="F299" s="16" t="s">
        <v>129</v>
      </c>
      <c r="G299" s="16" t="s">
        <v>130</v>
      </c>
      <c r="H299" s="16" t="s">
        <v>266</v>
      </c>
      <c r="I299" s="16" t="s">
        <v>1235</v>
      </c>
      <c r="J299" s="16" t="s">
        <v>87</v>
      </c>
      <c r="K299" s="16" t="s">
        <v>268</v>
      </c>
      <c r="L299" s="17">
        <v>2000</v>
      </c>
      <c r="M299" s="17">
        <v>80</v>
      </c>
      <c r="N299" s="17" t="s">
        <v>89</v>
      </c>
      <c r="O299" s="17" t="s">
        <v>89</v>
      </c>
      <c r="P299" s="16">
        <v>12</v>
      </c>
      <c r="Q299" s="16">
        <v>3.65</v>
      </c>
      <c r="R299" s="16">
        <v>3.2</v>
      </c>
      <c r="S299" s="16">
        <v>2</v>
      </c>
      <c r="T299" s="16">
        <v>12</v>
      </c>
      <c r="U299" s="16">
        <v>36</v>
      </c>
      <c r="V299" s="18">
        <v>1</v>
      </c>
      <c r="W299" s="16">
        <v>395</v>
      </c>
      <c r="X299" s="16">
        <v>160.96270000000001</v>
      </c>
      <c r="Y299" s="16">
        <v>24</v>
      </c>
      <c r="Z299" s="16">
        <v>12</v>
      </c>
      <c r="AA299" s="18">
        <v>1</v>
      </c>
      <c r="AB299" s="32" t="s">
        <v>89</v>
      </c>
      <c r="AC299" s="17" t="s">
        <v>90</v>
      </c>
      <c r="AD299" s="17">
        <v>142</v>
      </c>
      <c r="AF299" s="17">
        <v>38</v>
      </c>
      <c r="AH299" s="17" t="s">
        <v>91</v>
      </c>
      <c r="AJ299" s="24" t="s">
        <v>98</v>
      </c>
      <c r="AL299" s="19" t="s">
        <v>94</v>
      </c>
      <c r="AM299" s="19" t="s">
        <v>89</v>
      </c>
      <c r="AN299" s="19" t="s">
        <v>89</v>
      </c>
      <c r="AO299">
        <f t="shared" si="29"/>
        <v>3</v>
      </c>
      <c r="AP299">
        <f t="shared" si="30"/>
        <v>64.69</v>
      </c>
      <c r="AR299">
        <f t="shared" si="31"/>
        <v>97.215189873417728</v>
      </c>
    </row>
    <row r="300" spans="1:44">
      <c r="A300" t="s">
        <v>1236</v>
      </c>
      <c r="B300">
        <v>298</v>
      </c>
      <c r="C300" s="16" t="s">
        <v>1237</v>
      </c>
      <c r="D300" s="16" t="s">
        <v>1238</v>
      </c>
      <c r="E300" s="16" t="s">
        <v>1230</v>
      </c>
      <c r="F300" s="16" t="s">
        <v>129</v>
      </c>
      <c r="G300" s="16" t="s">
        <v>130</v>
      </c>
      <c r="H300" s="16" t="s">
        <v>266</v>
      </c>
      <c r="I300" s="16" t="s">
        <v>1239</v>
      </c>
      <c r="J300" s="16" t="s">
        <v>87</v>
      </c>
      <c r="K300" s="16" t="s">
        <v>268</v>
      </c>
      <c r="L300" s="17">
        <v>2000</v>
      </c>
      <c r="M300" s="17">
        <v>80</v>
      </c>
      <c r="N300" s="17" t="s">
        <v>89</v>
      </c>
      <c r="O300" s="17" t="s">
        <v>89</v>
      </c>
      <c r="P300" s="16">
        <v>15</v>
      </c>
      <c r="Q300" s="16">
        <v>3.65</v>
      </c>
      <c r="R300" s="16">
        <v>3.2</v>
      </c>
      <c r="S300" s="16">
        <v>2</v>
      </c>
      <c r="T300" s="16">
        <v>15</v>
      </c>
      <c r="U300" s="16">
        <v>45</v>
      </c>
      <c r="V300" s="18">
        <v>1</v>
      </c>
      <c r="W300" s="16">
        <v>475</v>
      </c>
      <c r="X300" s="16">
        <v>207.24</v>
      </c>
      <c r="Y300" s="16">
        <v>30</v>
      </c>
      <c r="Z300" s="16">
        <v>7.5</v>
      </c>
      <c r="AA300" s="18">
        <v>1</v>
      </c>
      <c r="AB300" s="32" t="s">
        <v>89</v>
      </c>
      <c r="AC300" s="17" t="s">
        <v>90</v>
      </c>
      <c r="AD300" s="17">
        <v>165</v>
      </c>
      <c r="AF300" s="17">
        <v>40</v>
      </c>
      <c r="AH300" s="17" t="s">
        <v>91</v>
      </c>
      <c r="AJ300" s="24" t="s">
        <v>98</v>
      </c>
      <c r="AL300" s="19" t="s">
        <v>94</v>
      </c>
      <c r="AM300" s="19" t="s">
        <v>89</v>
      </c>
      <c r="AN300" s="19" t="s">
        <v>89</v>
      </c>
      <c r="AO300">
        <f t="shared" si="29"/>
        <v>3</v>
      </c>
      <c r="AP300">
        <f t="shared" si="30"/>
        <v>64.69</v>
      </c>
      <c r="AR300">
        <f t="shared" si="31"/>
        <v>101.05263157894737</v>
      </c>
    </row>
    <row r="301" spans="1:44">
      <c r="A301" t="s">
        <v>1240</v>
      </c>
      <c r="B301">
        <v>299</v>
      </c>
      <c r="C301" s="16" t="s">
        <v>1241</v>
      </c>
      <c r="D301" s="16" t="s">
        <v>1241</v>
      </c>
      <c r="E301" s="16" t="s">
        <v>670</v>
      </c>
      <c r="F301" s="16" t="s">
        <v>83</v>
      </c>
      <c r="G301" s="16" t="s">
        <v>305</v>
      </c>
      <c r="H301" s="16" t="s">
        <v>266</v>
      </c>
      <c r="I301" s="16" t="s">
        <v>1242</v>
      </c>
      <c r="J301" s="16" t="s">
        <v>87</v>
      </c>
      <c r="K301" s="16" t="s">
        <v>268</v>
      </c>
      <c r="L301" s="17">
        <v>500</v>
      </c>
      <c r="M301" s="17">
        <v>80</v>
      </c>
      <c r="N301" s="17" t="s">
        <v>89</v>
      </c>
      <c r="O301" s="16">
        <v>118</v>
      </c>
      <c r="P301" s="16">
        <v>28</v>
      </c>
      <c r="Q301" s="16">
        <v>4.0999999999999996</v>
      </c>
      <c r="R301" s="16">
        <v>3.6</v>
      </c>
      <c r="S301" s="16">
        <v>2.75</v>
      </c>
      <c r="T301" s="16">
        <v>2.8</v>
      </c>
      <c r="U301" s="16">
        <v>84</v>
      </c>
      <c r="V301" s="18" t="s">
        <v>89</v>
      </c>
      <c r="W301" s="16">
        <v>810</v>
      </c>
      <c r="X301" s="16">
        <v>423.47609999999997</v>
      </c>
      <c r="Y301" s="16">
        <v>28</v>
      </c>
      <c r="Z301" s="16">
        <v>2.8</v>
      </c>
      <c r="AA301" s="18" t="s">
        <v>89</v>
      </c>
      <c r="AB301" s="32" t="s">
        <v>89</v>
      </c>
      <c r="AC301" s="17" t="s">
        <v>90</v>
      </c>
      <c r="AD301" s="17">
        <v>185</v>
      </c>
      <c r="AF301" s="17">
        <v>54</v>
      </c>
      <c r="AG301" s="17">
        <v>2006</v>
      </c>
      <c r="AH301" s="17" t="s">
        <v>91</v>
      </c>
      <c r="AJ301" s="24" t="s">
        <v>98</v>
      </c>
      <c r="AL301" s="19" t="s">
        <v>94</v>
      </c>
      <c r="AM301" s="19" t="s">
        <v>89</v>
      </c>
      <c r="AN301" s="19" t="s">
        <v>89</v>
      </c>
      <c r="AO301">
        <f t="shared" si="29"/>
        <v>3</v>
      </c>
      <c r="AP301">
        <f t="shared" si="30"/>
        <v>64.69</v>
      </c>
      <c r="AR301">
        <f t="shared" si="31"/>
        <v>124.44444444444443</v>
      </c>
    </row>
    <row r="302" spans="1:44">
      <c r="A302" t="s">
        <v>1243</v>
      </c>
      <c r="B302">
        <v>300</v>
      </c>
      <c r="C302" s="16" t="s">
        <v>1244</v>
      </c>
      <c r="D302" s="16" t="s">
        <v>1244</v>
      </c>
      <c r="E302" s="16" t="s">
        <v>670</v>
      </c>
      <c r="F302" s="16" t="s">
        <v>83</v>
      </c>
      <c r="G302" s="16" t="s">
        <v>305</v>
      </c>
      <c r="H302" s="16" t="s">
        <v>266</v>
      </c>
      <c r="I302" s="16" t="s">
        <v>1245</v>
      </c>
      <c r="J302" s="16" t="s">
        <v>87</v>
      </c>
      <c r="K302" s="16" t="s">
        <v>268</v>
      </c>
      <c r="L302" s="17">
        <v>500</v>
      </c>
      <c r="M302" s="17">
        <v>80</v>
      </c>
      <c r="N302" s="17" t="s">
        <v>89</v>
      </c>
      <c r="O302" s="16">
        <v>126</v>
      </c>
      <c r="P302" s="16">
        <v>39</v>
      </c>
      <c r="Q302" s="16">
        <v>4.0999999999999996</v>
      </c>
      <c r="R302" s="16">
        <v>3.6</v>
      </c>
      <c r="S302" s="16">
        <v>2.75</v>
      </c>
      <c r="T302" s="16">
        <v>3.9</v>
      </c>
      <c r="U302" s="16">
        <v>117</v>
      </c>
      <c r="V302" s="18" t="s">
        <v>89</v>
      </c>
      <c r="W302" s="16">
        <v>1130</v>
      </c>
      <c r="X302" s="16">
        <v>572.26499999999999</v>
      </c>
      <c r="Y302" s="16">
        <v>39</v>
      </c>
      <c r="Z302" s="16">
        <v>3.9</v>
      </c>
      <c r="AA302" s="18" t="s">
        <v>89</v>
      </c>
      <c r="AB302" s="32" t="s">
        <v>89</v>
      </c>
      <c r="AC302" s="17" t="s">
        <v>90</v>
      </c>
      <c r="AD302" s="17">
        <v>250</v>
      </c>
      <c r="AF302" s="17">
        <v>54</v>
      </c>
      <c r="AG302" s="17">
        <v>2006</v>
      </c>
      <c r="AH302" s="17" t="s">
        <v>91</v>
      </c>
      <c r="AJ302" s="24" t="s">
        <v>98</v>
      </c>
      <c r="AL302" s="19" t="s">
        <v>94</v>
      </c>
      <c r="AM302" s="19" t="s">
        <v>89</v>
      </c>
      <c r="AN302" s="19" t="s">
        <v>89</v>
      </c>
      <c r="AO302">
        <f t="shared" si="29"/>
        <v>3</v>
      </c>
      <c r="AP302">
        <f t="shared" si="30"/>
        <v>64.69</v>
      </c>
      <c r="AR302">
        <f t="shared" si="31"/>
        <v>124.24778761061948</v>
      </c>
    </row>
    <row r="303" spans="1:44">
      <c r="A303" t="s">
        <v>1246</v>
      </c>
      <c r="B303">
        <v>301</v>
      </c>
      <c r="C303" s="16" t="s">
        <v>1247</v>
      </c>
      <c r="D303" s="16" t="s">
        <v>1247</v>
      </c>
      <c r="E303" s="16" t="s">
        <v>670</v>
      </c>
      <c r="F303" s="16" t="s">
        <v>83</v>
      </c>
      <c r="G303" s="16" t="s">
        <v>305</v>
      </c>
      <c r="H303" s="16" t="s">
        <v>266</v>
      </c>
      <c r="I303" s="16" t="s">
        <v>1248</v>
      </c>
      <c r="J303" s="16" t="s">
        <v>87</v>
      </c>
      <c r="K303" s="16" t="s">
        <v>268</v>
      </c>
      <c r="L303" s="17">
        <v>500</v>
      </c>
      <c r="M303" s="17">
        <v>80</v>
      </c>
      <c r="N303" s="17" t="s">
        <v>89</v>
      </c>
      <c r="O303" s="16">
        <v>165</v>
      </c>
      <c r="P303" s="16">
        <v>50</v>
      </c>
      <c r="Q303" s="16">
        <v>4.0999999999999996</v>
      </c>
      <c r="R303" s="16">
        <v>3.6</v>
      </c>
      <c r="S303" s="16">
        <v>2.75</v>
      </c>
      <c r="T303" s="16">
        <v>5</v>
      </c>
      <c r="U303" s="16">
        <v>150</v>
      </c>
      <c r="V303" s="18" t="s">
        <v>89</v>
      </c>
      <c r="W303" s="16">
        <v>1110</v>
      </c>
      <c r="X303" s="16">
        <v>551.2663</v>
      </c>
      <c r="Y303" s="16">
        <v>50</v>
      </c>
      <c r="Z303" s="16">
        <v>5</v>
      </c>
      <c r="AA303" s="18" t="s">
        <v>89</v>
      </c>
      <c r="AB303" s="32" t="s">
        <v>89</v>
      </c>
      <c r="AC303" s="17" t="s">
        <v>90</v>
      </c>
      <c r="AD303" s="17">
        <v>250</v>
      </c>
      <c r="AF303" s="17">
        <v>53</v>
      </c>
      <c r="AG303" s="17">
        <v>2006</v>
      </c>
      <c r="AH303" s="17" t="s">
        <v>91</v>
      </c>
      <c r="AJ303" s="24" t="s">
        <v>98</v>
      </c>
      <c r="AL303" s="19" t="s">
        <v>94</v>
      </c>
      <c r="AM303" s="19" t="s">
        <v>89</v>
      </c>
      <c r="AN303" s="19" t="s">
        <v>89</v>
      </c>
      <c r="AO303">
        <f t="shared" si="29"/>
        <v>3</v>
      </c>
      <c r="AP303">
        <f t="shared" si="30"/>
        <v>64.69</v>
      </c>
      <c r="AR303">
        <f t="shared" si="31"/>
        <v>162.16216216216216</v>
      </c>
    </row>
    <row r="304" spans="1:44">
      <c r="A304" t="s">
        <v>1249</v>
      </c>
      <c r="B304">
        <v>302</v>
      </c>
      <c r="C304" s="16" t="s">
        <v>1250</v>
      </c>
      <c r="D304" s="16" t="s">
        <v>1250</v>
      </c>
      <c r="E304" s="16" t="s">
        <v>670</v>
      </c>
      <c r="F304" s="16" t="s">
        <v>83</v>
      </c>
      <c r="G304" s="16" t="s">
        <v>305</v>
      </c>
      <c r="H304" s="16" t="s">
        <v>88</v>
      </c>
      <c r="I304" s="16" t="s">
        <v>1251</v>
      </c>
      <c r="J304" s="16" t="s">
        <v>87</v>
      </c>
      <c r="K304" s="16" t="s">
        <v>88</v>
      </c>
      <c r="L304" s="17">
        <v>500</v>
      </c>
      <c r="M304" s="17">
        <v>70</v>
      </c>
      <c r="N304" s="16">
        <v>380</v>
      </c>
      <c r="O304" s="16">
        <v>163</v>
      </c>
      <c r="P304" s="16">
        <v>5.3</v>
      </c>
      <c r="Q304" s="16">
        <v>4.2</v>
      </c>
      <c r="R304" s="16">
        <v>3.75</v>
      </c>
      <c r="S304" s="16">
        <v>2.5</v>
      </c>
      <c r="T304" s="16">
        <v>1.1000000000000001</v>
      </c>
      <c r="U304" s="16">
        <v>11</v>
      </c>
      <c r="V304" s="18" t="s">
        <v>89</v>
      </c>
      <c r="W304" s="16">
        <v>124</v>
      </c>
      <c r="X304" s="16">
        <v>52</v>
      </c>
      <c r="Y304" s="16">
        <v>5</v>
      </c>
      <c r="Z304" s="16">
        <v>0.57999999999999996</v>
      </c>
      <c r="AA304" s="18" t="s">
        <v>89</v>
      </c>
      <c r="AB304" s="32" t="s">
        <v>89</v>
      </c>
      <c r="AC304" s="17">
        <v>65</v>
      </c>
      <c r="AD304" s="17">
        <v>19</v>
      </c>
      <c r="AE304" s="17">
        <v>48</v>
      </c>
      <c r="AF304" s="21" t="s">
        <v>90</v>
      </c>
      <c r="AG304" s="17">
        <v>2007</v>
      </c>
      <c r="AH304" s="17" t="s">
        <v>91</v>
      </c>
      <c r="AJ304" s="24" t="s">
        <v>895</v>
      </c>
      <c r="AL304" s="19" t="s">
        <v>94</v>
      </c>
      <c r="AM304" s="19" t="s">
        <v>89</v>
      </c>
      <c r="AN304" s="19" t="s">
        <v>89</v>
      </c>
      <c r="AO304">
        <f t="shared" si="29"/>
        <v>2</v>
      </c>
      <c r="AP304">
        <f t="shared" si="30"/>
        <v>60.79</v>
      </c>
      <c r="AR304">
        <f t="shared" si="31"/>
        <v>160.28225806451613</v>
      </c>
    </row>
    <row r="305" spans="1:44">
      <c r="A305" t="s">
        <v>1252</v>
      </c>
      <c r="B305">
        <v>303</v>
      </c>
      <c r="C305" s="16" t="s">
        <v>1253</v>
      </c>
      <c r="D305" s="16" t="s">
        <v>1253</v>
      </c>
      <c r="E305" s="16" t="s">
        <v>670</v>
      </c>
      <c r="F305" s="16" t="s">
        <v>83</v>
      </c>
      <c r="G305" s="16" t="s">
        <v>305</v>
      </c>
      <c r="H305" s="16" t="s">
        <v>88</v>
      </c>
      <c r="I305" s="16" t="s">
        <v>1254</v>
      </c>
      <c r="J305" s="16" t="s">
        <v>87</v>
      </c>
      <c r="K305" s="16" t="s">
        <v>88</v>
      </c>
      <c r="L305" s="17">
        <v>500</v>
      </c>
      <c r="M305" s="17">
        <v>70</v>
      </c>
      <c r="N305" s="16">
        <v>350</v>
      </c>
      <c r="O305" s="16">
        <v>165</v>
      </c>
      <c r="P305" s="16">
        <v>6.8</v>
      </c>
      <c r="Q305" s="16">
        <v>4.2</v>
      </c>
      <c r="R305" s="16">
        <v>3.75</v>
      </c>
      <c r="S305" s="16">
        <v>2.5</v>
      </c>
      <c r="T305" s="16">
        <v>1.4</v>
      </c>
      <c r="U305" s="16">
        <v>13.6</v>
      </c>
      <c r="V305" s="18" t="s">
        <v>89</v>
      </c>
      <c r="W305" s="16">
        <v>155</v>
      </c>
      <c r="X305" s="16">
        <v>73</v>
      </c>
      <c r="Y305" s="16">
        <v>6.8</v>
      </c>
      <c r="Z305" s="16">
        <v>0.57999999999999996</v>
      </c>
      <c r="AA305" s="18" t="s">
        <v>89</v>
      </c>
      <c r="AB305" s="32" t="s">
        <v>89</v>
      </c>
      <c r="AC305" s="17">
        <v>65</v>
      </c>
      <c r="AD305" s="17">
        <v>19.8</v>
      </c>
      <c r="AE305" s="17">
        <v>61</v>
      </c>
      <c r="AF305" s="21" t="s">
        <v>90</v>
      </c>
      <c r="AG305" s="17">
        <v>2005</v>
      </c>
      <c r="AH305" s="17" t="s">
        <v>91</v>
      </c>
      <c r="AJ305" s="24" t="s">
        <v>1255</v>
      </c>
      <c r="AL305" s="19" t="s">
        <v>94</v>
      </c>
      <c r="AM305" s="19" t="s">
        <v>89</v>
      </c>
      <c r="AN305" s="19" t="s">
        <v>89</v>
      </c>
      <c r="AO305">
        <f t="shared" si="29"/>
        <v>2</v>
      </c>
      <c r="AP305">
        <f t="shared" si="30"/>
        <v>60.79</v>
      </c>
      <c r="AR305">
        <f t="shared" si="31"/>
        <v>164.51612903225808</v>
      </c>
    </row>
    <row r="306" spans="1:44">
      <c r="A306" t="s">
        <v>1256</v>
      </c>
      <c r="B306">
        <v>304</v>
      </c>
      <c r="C306" s="16" t="s">
        <v>1257</v>
      </c>
      <c r="D306" s="16" t="s">
        <v>1257</v>
      </c>
      <c r="E306" s="16" t="s">
        <v>670</v>
      </c>
      <c r="F306" s="16" t="s">
        <v>83</v>
      </c>
      <c r="G306" s="16" t="s">
        <v>305</v>
      </c>
      <c r="H306" s="16" t="s">
        <v>266</v>
      </c>
      <c r="I306" s="16" t="s">
        <v>1258</v>
      </c>
      <c r="J306" s="16" t="s">
        <v>87</v>
      </c>
      <c r="K306" s="16" t="s">
        <v>268</v>
      </c>
      <c r="L306" s="17">
        <v>500</v>
      </c>
      <c r="M306" s="17">
        <v>80</v>
      </c>
      <c r="N306" s="16">
        <v>313</v>
      </c>
      <c r="O306" s="16">
        <v>149</v>
      </c>
      <c r="P306" s="16">
        <v>45</v>
      </c>
      <c r="Q306" s="16">
        <v>4.0999999999999996</v>
      </c>
      <c r="R306" s="16">
        <v>3.6</v>
      </c>
      <c r="S306" s="16">
        <v>2.7</v>
      </c>
      <c r="T306" s="16">
        <v>4.5</v>
      </c>
      <c r="U306" s="16">
        <v>100</v>
      </c>
      <c r="V306" s="18" t="s">
        <v>89</v>
      </c>
      <c r="W306" s="16">
        <v>1070</v>
      </c>
      <c r="X306" s="16">
        <v>510</v>
      </c>
      <c r="Y306" s="16">
        <v>45</v>
      </c>
      <c r="Z306" s="16">
        <v>4.5</v>
      </c>
      <c r="AA306" s="18" t="s">
        <v>89</v>
      </c>
      <c r="AB306" s="32" t="s">
        <v>89</v>
      </c>
      <c r="AC306" s="17" t="s">
        <v>90</v>
      </c>
      <c r="AD306" s="17">
        <v>222</v>
      </c>
      <c r="AF306" s="17">
        <v>54.3</v>
      </c>
      <c r="AG306" s="17">
        <v>2005</v>
      </c>
      <c r="AH306" s="17" t="s">
        <v>91</v>
      </c>
      <c r="AJ306" s="24" t="s">
        <v>1255</v>
      </c>
      <c r="AL306" s="19" t="s">
        <v>94</v>
      </c>
      <c r="AM306" s="19" t="s">
        <v>89</v>
      </c>
      <c r="AN306" s="19" t="s">
        <v>89</v>
      </c>
      <c r="AO306">
        <f t="shared" si="29"/>
        <v>3</v>
      </c>
      <c r="AP306">
        <f t="shared" si="30"/>
        <v>64.69</v>
      </c>
      <c r="AR306">
        <f t="shared" si="31"/>
        <v>151.4018691588785</v>
      </c>
    </row>
    <row r="307" spans="1:44">
      <c r="A307" t="s">
        <v>1259</v>
      </c>
      <c r="B307">
        <v>305</v>
      </c>
      <c r="C307" s="16" t="s">
        <v>1260</v>
      </c>
      <c r="D307" s="16" t="s">
        <v>1260</v>
      </c>
      <c r="E307" s="16" t="s">
        <v>670</v>
      </c>
      <c r="F307" s="16" t="s">
        <v>83</v>
      </c>
      <c r="G307" s="16" t="s">
        <v>305</v>
      </c>
      <c r="H307" s="16" t="s">
        <v>266</v>
      </c>
      <c r="I307" s="16" t="s">
        <v>1261</v>
      </c>
      <c r="J307" s="16" t="s">
        <v>87</v>
      </c>
      <c r="K307" s="16" t="s">
        <v>268</v>
      </c>
      <c r="L307" s="17">
        <v>500</v>
      </c>
      <c r="M307" s="17">
        <v>80</v>
      </c>
      <c r="N307" s="16">
        <v>285</v>
      </c>
      <c r="O307" s="16">
        <v>136</v>
      </c>
      <c r="P307" s="16">
        <v>41</v>
      </c>
      <c r="Q307" s="16">
        <v>4.0999999999999996</v>
      </c>
      <c r="R307" s="16">
        <v>3.6</v>
      </c>
      <c r="S307" s="16">
        <v>2.7</v>
      </c>
      <c r="T307" s="16">
        <v>4.5</v>
      </c>
      <c r="U307" s="16">
        <v>150</v>
      </c>
      <c r="V307" s="18">
        <f>0.33</f>
        <v>0.33</v>
      </c>
      <c r="W307" s="16">
        <v>1070</v>
      </c>
      <c r="X307" s="16">
        <v>513.83339999999998</v>
      </c>
      <c r="Y307" s="16">
        <v>41</v>
      </c>
      <c r="Z307" s="16">
        <v>4.5</v>
      </c>
      <c r="AA307" s="18">
        <f>0.33</f>
        <v>0.33</v>
      </c>
      <c r="AB307" s="32" t="s">
        <v>89</v>
      </c>
      <c r="AC307" s="17" t="s">
        <v>90</v>
      </c>
      <c r="AD307" s="17">
        <v>222</v>
      </c>
      <c r="AF307" s="17">
        <v>54.3</v>
      </c>
      <c r="AG307" s="17">
        <v>2005</v>
      </c>
      <c r="AH307" s="17" t="s">
        <v>91</v>
      </c>
      <c r="AJ307" s="24" t="s">
        <v>1255</v>
      </c>
      <c r="AL307" s="19" t="s">
        <v>94</v>
      </c>
      <c r="AM307" s="19" t="s">
        <v>89</v>
      </c>
      <c r="AN307" s="23">
        <v>0.8</v>
      </c>
      <c r="AO307">
        <f t="shared" si="29"/>
        <v>3</v>
      </c>
      <c r="AP307">
        <f t="shared" si="30"/>
        <v>64.69</v>
      </c>
      <c r="AR307">
        <f t="shared" si="31"/>
        <v>137.94392523364485</v>
      </c>
    </row>
    <row r="308" spans="1:44">
      <c r="A308" t="s">
        <v>1262</v>
      </c>
      <c r="B308">
        <v>306</v>
      </c>
      <c r="C308" s="16" t="s">
        <v>1263</v>
      </c>
      <c r="D308" s="16" t="s">
        <v>1263</v>
      </c>
      <c r="E308" s="16" t="s">
        <v>670</v>
      </c>
      <c r="F308" s="16" t="s">
        <v>83</v>
      </c>
      <c r="G308" s="16" t="s">
        <v>305</v>
      </c>
      <c r="H308" s="16" t="s">
        <v>266</v>
      </c>
      <c r="I308" s="16" t="s">
        <v>1264</v>
      </c>
      <c r="J308" s="16" t="s">
        <v>87</v>
      </c>
      <c r="K308" s="16" t="s">
        <v>268</v>
      </c>
      <c r="L308" s="17">
        <v>500</v>
      </c>
      <c r="M308" s="17">
        <v>80</v>
      </c>
      <c r="N308" s="16">
        <v>252</v>
      </c>
      <c r="O308" s="16">
        <v>124</v>
      </c>
      <c r="P308" s="16">
        <v>27</v>
      </c>
      <c r="Q308" s="16">
        <v>4.0999999999999996</v>
      </c>
      <c r="R308" s="16">
        <v>3.6</v>
      </c>
      <c r="S308" s="16">
        <v>2.7</v>
      </c>
      <c r="T308" s="16">
        <v>2.7</v>
      </c>
      <c r="U308" s="16">
        <v>110</v>
      </c>
      <c r="V308" s="18">
        <f>0.33</f>
        <v>0.33</v>
      </c>
      <c r="W308" s="16">
        <v>770</v>
      </c>
      <c r="X308" s="16">
        <v>377.274</v>
      </c>
      <c r="Y308" s="16">
        <v>27</v>
      </c>
      <c r="Z308" s="16">
        <v>2.7</v>
      </c>
      <c r="AA308" s="18">
        <f>0.33</f>
        <v>0.33</v>
      </c>
      <c r="AB308" s="32" t="s">
        <v>89</v>
      </c>
      <c r="AC308" s="17" t="s">
        <v>90</v>
      </c>
      <c r="AD308" s="17">
        <v>163</v>
      </c>
      <c r="AF308" s="17">
        <v>54.3</v>
      </c>
      <c r="AG308" s="17">
        <v>2005</v>
      </c>
      <c r="AH308" s="17" t="s">
        <v>91</v>
      </c>
      <c r="AJ308" s="24" t="s">
        <v>1255</v>
      </c>
      <c r="AL308" s="19" t="s">
        <v>94</v>
      </c>
      <c r="AM308" s="19" t="s">
        <v>89</v>
      </c>
      <c r="AN308" s="23">
        <v>0.8</v>
      </c>
      <c r="AO308">
        <f t="shared" si="29"/>
        <v>3</v>
      </c>
      <c r="AP308">
        <f t="shared" si="30"/>
        <v>64.69</v>
      </c>
      <c r="AR308">
        <f t="shared" si="31"/>
        <v>126.23376623376623</v>
      </c>
    </row>
    <row r="309" spans="1:44">
      <c r="A309" t="s">
        <v>1265</v>
      </c>
      <c r="B309">
        <v>307</v>
      </c>
      <c r="C309" s="16" t="s">
        <v>1266</v>
      </c>
      <c r="D309" s="16" t="s">
        <v>1266</v>
      </c>
      <c r="E309" s="16" t="s">
        <v>670</v>
      </c>
      <c r="F309" s="16" t="s">
        <v>83</v>
      </c>
      <c r="G309" s="16" t="s">
        <v>305</v>
      </c>
      <c r="H309" s="16" t="s">
        <v>266</v>
      </c>
      <c r="I309" s="16" t="s">
        <v>1267</v>
      </c>
      <c r="J309" s="16" t="s">
        <v>87</v>
      </c>
      <c r="K309" s="16" t="s">
        <v>268</v>
      </c>
      <c r="L309" s="17">
        <v>500</v>
      </c>
      <c r="M309" s="17">
        <v>80</v>
      </c>
      <c r="N309" s="16">
        <v>131</v>
      </c>
      <c r="O309" s="16">
        <v>67</v>
      </c>
      <c r="P309" s="16">
        <v>7</v>
      </c>
      <c r="Q309" s="16">
        <v>4.0999999999999996</v>
      </c>
      <c r="R309" s="16">
        <v>3.6</v>
      </c>
      <c r="S309" s="16">
        <v>2.7</v>
      </c>
      <c r="T309" s="16">
        <v>0.7</v>
      </c>
      <c r="U309" s="16">
        <v>100</v>
      </c>
      <c r="V309" s="18" t="s">
        <v>89</v>
      </c>
      <c r="W309" s="16">
        <v>370</v>
      </c>
      <c r="X309" s="16">
        <v>191.3398</v>
      </c>
      <c r="Y309" s="16">
        <v>7</v>
      </c>
      <c r="Z309" s="16">
        <v>0.7</v>
      </c>
      <c r="AA309" s="18" t="s">
        <v>89</v>
      </c>
      <c r="AB309" s="32" t="s">
        <v>89</v>
      </c>
      <c r="AC309" s="17" t="s">
        <v>90</v>
      </c>
      <c r="AD309" s="17">
        <v>145</v>
      </c>
      <c r="AF309" s="17">
        <v>41</v>
      </c>
      <c r="AG309" s="17">
        <v>2005</v>
      </c>
      <c r="AH309" s="17" t="s">
        <v>91</v>
      </c>
      <c r="AJ309" s="24" t="s">
        <v>1255</v>
      </c>
      <c r="AL309" s="19" t="s">
        <v>94</v>
      </c>
      <c r="AM309" s="19" t="s">
        <v>89</v>
      </c>
      <c r="AN309" s="19" t="s">
        <v>89</v>
      </c>
      <c r="AO309">
        <f t="shared" si="29"/>
        <v>3</v>
      </c>
      <c r="AP309">
        <f t="shared" si="30"/>
        <v>64.69</v>
      </c>
      <c r="AR309">
        <f t="shared" si="31"/>
        <v>68.108108108108112</v>
      </c>
    </row>
    <row r="310" spans="1:44">
      <c r="A310" t="s">
        <v>1268</v>
      </c>
      <c r="B310">
        <v>308</v>
      </c>
      <c r="C310" s="16" t="s">
        <v>1269</v>
      </c>
      <c r="D310" s="16" t="s">
        <v>1269</v>
      </c>
      <c r="E310" s="16" t="s">
        <v>670</v>
      </c>
      <c r="F310" s="16" t="s">
        <v>83</v>
      </c>
      <c r="G310" s="16" t="s">
        <v>305</v>
      </c>
      <c r="H310" s="16" t="s">
        <v>266</v>
      </c>
      <c r="I310" s="16" t="s">
        <v>1270</v>
      </c>
      <c r="J310" s="16" t="s">
        <v>87</v>
      </c>
      <c r="K310" s="16" t="s">
        <v>268</v>
      </c>
      <c r="L310" s="17">
        <v>500</v>
      </c>
      <c r="M310" s="17">
        <v>80</v>
      </c>
      <c r="N310" s="16">
        <v>187</v>
      </c>
      <c r="O310" s="16">
        <v>89</v>
      </c>
      <c r="P310" s="16">
        <v>20</v>
      </c>
      <c r="Q310" s="16">
        <v>4.0999999999999996</v>
      </c>
      <c r="R310" s="16">
        <v>3.6</v>
      </c>
      <c r="S310" s="16">
        <v>2.7</v>
      </c>
      <c r="T310" s="16">
        <v>2</v>
      </c>
      <c r="U310" s="16">
        <v>250</v>
      </c>
      <c r="V310" s="18" t="s">
        <v>89</v>
      </c>
      <c r="W310" s="16">
        <v>800</v>
      </c>
      <c r="X310" s="16">
        <v>373.11680000000001</v>
      </c>
      <c r="Y310" s="16">
        <v>20</v>
      </c>
      <c r="Z310" s="16">
        <v>2</v>
      </c>
      <c r="AA310" s="18" t="s">
        <v>89</v>
      </c>
      <c r="AB310" s="32" t="s">
        <v>89</v>
      </c>
      <c r="AC310" s="17" t="s">
        <v>90</v>
      </c>
      <c r="AD310" s="17">
        <v>163</v>
      </c>
      <c r="AF310" s="17">
        <v>54</v>
      </c>
      <c r="AG310" s="17">
        <v>2005</v>
      </c>
      <c r="AH310" s="17" t="s">
        <v>91</v>
      </c>
      <c r="AJ310" s="24" t="s">
        <v>1255</v>
      </c>
      <c r="AL310" s="19" t="s">
        <v>94</v>
      </c>
      <c r="AM310" s="19" t="s">
        <v>89</v>
      </c>
      <c r="AN310" s="19" t="s">
        <v>89</v>
      </c>
      <c r="AO310">
        <f t="shared" si="29"/>
        <v>3</v>
      </c>
      <c r="AP310">
        <f t="shared" si="30"/>
        <v>64.69</v>
      </c>
      <c r="AR310">
        <f t="shared" si="31"/>
        <v>90</v>
      </c>
    </row>
    <row r="311" spans="1:44">
      <c r="A311" t="s">
        <v>1271</v>
      </c>
      <c r="B311">
        <v>309</v>
      </c>
      <c r="C311" s="16" t="s">
        <v>1272</v>
      </c>
      <c r="D311" s="16" t="s">
        <v>1272</v>
      </c>
      <c r="E311" s="16" t="s">
        <v>670</v>
      </c>
      <c r="F311" s="16" t="s">
        <v>83</v>
      </c>
      <c r="G311" s="16" t="s">
        <v>305</v>
      </c>
      <c r="H311" s="16" t="s">
        <v>266</v>
      </c>
      <c r="I311" s="16" t="s">
        <v>1273</v>
      </c>
      <c r="J311" s="16" t="s">
        <v>87</v>
      </c>
      <c r="K311" s="16" t="s">
        <v>268</v>
      </c>
      <c r="L311" s="17">
        <v>500</v>
      </c>
      <c r="M311" s="17">
        <v>80</v>
      </c>
      <c r="N311" s="16">
        <v>209</v>
      </c>
      <c r="O311" s="16">
        <v>97</v>
      </c>
      <c r="P311" s="16">
        <v>30</v>
      </c>
      <c r="Q311" s="16">
        <v>4.0999999999999996</v>
      </c>
      <c r="R311" s="16">
        <v>3.6</v>
      </c>
      <c r="S311" s="16">
        <v>2.7</v>
      </c>
      <c r="T311" s="16">
        <v>3</v>
      </c>
      <c r="U311" s="16">
        <v>300</v>
      </c>
      <c r="V311" s="18" t="s">
        <v>89</v>
      </c>
      <c r="W311" s="16">
        <v>1100</v>
      </c>
      <c r="X311" s="16">
        <v>508.17129999999997</v>
      </c>
      <c r="Y311" s="16">
        <v>30</v>
      </c>
      <c r="Z311" s="16">
        <v>3</v>
      </c>
      <c r="AA311" s="18" t="s">
        <v>89</v>
      </c>
      <c r="AB311" s="32" t="s">
        <v>89</v>
      </c>
      <c r="AC311" s="17" t="s">
        <v>90</v>
      </c>
      <c r="AD311" s="17">
        <v>222</v>
      </c>
      <c r="AF311" s="17">
        <v>54</v>
      </c>
      <c r="AG311" s="17">
        <v>2005</v>
      </c>
      <c r="AH311" s="17" t="s">
        <v>91</v>
      </c>
      <c r="AJ311" s="24" t="s">
        <v>1255</v>
      </c>
      <c r="AL311" s="19" t="s">
        <v>94</v>
      </c>
      <c r="AM311" s="19" t="s">
        <v>89</v>
      </c>
      <c r="AN311" s="19" t="s">
        <v>89</v>
      </c>
      <c r="AO311">
        <f t="shared" si="29"/>
        <v>3</v>
      </c>
      <c r="AP311">
        <f t="shared" si="30"/>
        <v>64.69</v>
      </c>
      <c r="AR311">
        <f t="shared" si="31"/>
        <v>98.181818181818173</v>
      </c>
    </row>
    <row r="312" spans="1:44">
      <c r="A312" t="s">
        <v>1274</v>
      </c>
      <c r="B312">
        <v>310</v>
      </c>
      <c r="C312" s="16" t="s">
        <v>1275</v>
      </c>
      <c r="D312" s="16" t="s">
        <v>1275</v>
      </c>
      <c r="E312" s="16" t="s">
        <v>1276</v>
      </c>
      <c r="F312" s="16" t="s">
        <v>83</v>
      </c>
      <c r="G312" s="16" t="s">
        <v>1277</v>
      </c>
      <c r="H312" s="16" t="s">
        <v>88</v>
      </c>
      <c r="I312" s="16" t="s">
        <v>1278</v>
      </c>
      <c r="J312" s="16" t="s">
        <v>87</v>
      </c>
      <c r="K312" s="16" t="s">
        <v>88</v>
      </c>
      <c r="L312" s="17">
        <v>3000</v>
      </c>
      <c r="M312" s="17">
        <v>80</v>
      </c>
      <c r="N312" s="16">
        <v>296</v>
      </c>
      <c r="O312" s="16">
        <v>142</v>
      </c>
      <c r="P312" s="16">
        <v>15</v>
      </c>
      <c r="Q312" s="16">
        <v>4.2</v>
      </c>
      <c r="R312" s="16">
        <v>3.6</v>
      </c>
      <c r="S312" s="16">
        <v>2.7</v>
      </c>
      <c r="T312" s="16">
        <v>15</v>
      </c>
      <c r="U312" s="16">
        <v>15</v>
      </c>
      <c r="V312" s="18" t="s">
        <v>89</v>
      </c>
      <c r="W312" s="16">
        <v>380</v>
      </c>
      <c r="X312" s="16">
        <v>180.4631</v>
      </c>
      <c r="Y312" s="16">
        <v>15</v>
      </c>
      <c r="Z312" s="16">
        <v>1.5</v>
      </c>
      <c r="AA312" s="18" t="s">
        <v>89</v>
      </c>
      <c r="AB312" s="32" t="s">
        <v>89</v>
      </c>
      <c r="AC312" s="17">
        <v>88.3</v>
      </c>
      <c r="AD312" s="17">
        <v>37.5</v>
      </c>
      <c r="AE312" s="17">
        <v>54.5</v>
      </c>
      <c r="AF312" s="21" t="s">
        <v>90</v>
      </c>
      <c r="AH312" s="17" t="s">
        <v>91</v>
      </c>
      <c r="AJ312" s="24" t="s">
        <v>98</v>
      </c>
      <c r="AL312" s="19" t="s">
        <v>94</v>
      </c>
      <c r="AM312" s="19" t="s">
        <v>89</v>
      </c>
      <c r="AN312" s="19" t="s">
        <v>89</v>
      </c>
      <c r="AO312">
        <f t="shared" si="29"/>
        <v>2</v>
      </c>
      <c r="AP312">
        <f t="shared" si="30"/>
        <v>60.79</v>
      </c>
      <c r="AR312">
        <f t="shared" si="31"/>
        <v>142.10526315789474</v>
      </c>
    </row>
    <row r="313" spans="1:44">
      <c r="A313" t="s">
        <v>1279</v>
      </c>
      <c r="B313">
        <v>311</v>
      </c>
      <c r="C313" s="16" t="s">
        <v>1280</v>
      </c>
      <c r="D313" s="16" t="s">
        <v>1280</v>
      </c>
      <c r="E313" s="16" t="s">
        <v>1281</v>
      </c>
      <c r="F313" s="16" t="s">
        <v>129</v>
      </c>
      <c r="G313" s="16" t="s">
        <v>130</v>
      </c>
      <c r="H313" s="16" t="s">
        <v>266</v>
      </c>
      <c r="I313" s="16" t="s">
        <v>1282</v>
      </c>
      <c r="J313" s="16" t="s">
        <v>87</v>
      </c>
      <c r="K313" s="16" t="s">
        <v>268</v>
      </c>
      <c r="L313" s="17">
        <v>1000</v>
      </c>
      <c r="M313" s="17">
        <v>80</v>
      </c>
      <c r="N313" s="17" t="s">
        <v>89</v>
      </c>
      <c r="O313" s="17" t="s">
        <v>89</v>
      </c>
      <c r="P313" s="16">
        <v>5.4</v>
      </c>
      <c r="Q313" s="16">
        <v>3.7</v>
      </c>
      <c r="R313" s="16">
        <v>3.2</v>
      </c>
      <c r="S313" s="16">
        <v>2</v>
      </c>
      <c r="T313" s="16">
        <v>1.08</v>
      </c>
      <c r="U313" s="16">
        <v>5.4</v>
      </c>
      <c r="V313" s="18" t="s">
        <v>89</v>
      </c>
      <c r="W313" s="16">
        <v>143</v>
      </c>
      <c r="X313" s="16">
        <v>58.966799999999999</v>
      </c>
      <c r="Y313" s="16">
        <v>5.4</v>
      </c>
      <c r="Z313" s="16">
        <v>1.08</v>
      </c>
      <c r="AA313" s="18" t="s">
        <v>89</v>
      </c>
      <c r="AB313" s="32" t="s">
        <v>89</v>
      </c>
      <c r="AC313" s="17" t="s">
        <v>90</v>
      </c>
      <c r="AD313" s="17">
        <v>72</v>
      </c>
      <c r="AF313" s="17">
        <v>32.299999999999997</v>
      </c>
      <c r="AG313" s="17">
        <v>2012</v>
      </c>
      <c r="AH313" s="17" t="s">
        <v>91</v>
      </c>
      <c r="AJ313" s="24" t="s">
        <v>1283</v>
      </c>
      <c r="AL313" s="19" t="s">
        <v>94</v>
      </c>
      <c r="AM313" s="19" t="s">
        <v>89</v>
      </c>
      <c r="AN313" s="19" t="s">
        <v>89</v>
      </c>
      <c r="AO313">
        <f t="shared" si="29"/>
        <v>3</v>
      </c>
      <c r="AP313">
        <f t="shared" si="30"/>
        <v>64.69</v>
      </c>
      <c r="AR313">
        <f t="shared" si="31"/>
        <v>120.83916083916085</v>
      </c>
    </row>
    <row r="314" spans="1:44">
      <c r="A314" t="s">
        <v>1284</v>
      </c>
      <c r="B314">
        <v>312</v>
      </c>
      <c r="C314" s="16" t="s">
        <v>1285</v>
      </c>
      <c r="D314" s="16" t="s">
        <v>1285</v>
      </c>
      <c r="E314" s="16" t="s">
        <v>412</v>
      </c>
      <c r="F314" s="16" t="s">
        <v>83</v>
      </c>
      <c r="G314" s="16" t="s">
        <v>84</v>
      </c>
      <c r="H314" s="16" t="s">
        <v>266</v>
      </c>
      <c r="I314" s="16" t="s">
        <v>1286</v>
      </c>
      <c r="J314" s="16" t="s">
        <v>87</v>
      </c>
      <c r="K314" s="16" t="s">
        <v>268</v>
      </c>
      <c r="L314" s="17">
        <v>400</v>
      </c>
      <c r="M314" s="17">
        <v>80</v>
      </c>
      <c r="N314" s="17" t="s">
        <v>89</v>
      </c>
      <c r="O314" s="17" t="s">
        <v>89</v>
      </c>
      <c r="P314" s="16">
        <v>3.5</v>
      </c>
      <c r="Q314" s="16">
        <v>4.2</v>
      </c>
      <c r="R314" s="16">
        <v>3.63</v>
      </c>
      <c r="S314" s="16">
        <v>2.5</v>
      </c>
      <c r="T314" s="16">
        <v>0.68</v>
      </c>
      <c r="U314" s="16">
        <v>10</v>
      </c>
      <c r="V314" s="18">
        <v>1</v>
      </c>
      <c r="W314" s="16">
        <v>49</v>
      </c>
      <c r="X314" s="16">
        <v>17.274999999999999</v>
      </c>
      <c r="Y314" s="16">
        <v>3.4</v>
      </c>
      <c r="Z314" s="16">
        <v>1.7</v>
      </c>
      <c r="AA314" s="18">
        <v>0.5</v>
      </c>
      <c r="AB314" s="32" t="s">
        <v>89</v>
      </c>
      <c r="AC314" s="17" t="s">
        <v>90</v>
      </c>
      <c r="AD314" s="17">
        <v>65</v>
      </c>
      <c r="AF314" s="17">
        <v>18.399999999999999</v>
      </c>
      <c r="AG314" s="17">
        <v>2014</v>
      </c>
      <c r="AH314" s="17" t="s">
        <v>91</v>
      </c>
      <c r="AJ314" s="24" t="s">
        <v>1287</v>
      </c>
      <c r="AK314" s="16"/>
      <c r="AL314" s="19" t="s">
        <v>94</v>
      </c>
      <c r="AM314" s="19">
        <v>0.01</v>
      </c>
      <c r="AN314" s="23">
        <v>1</v>
      </c>
      <c r="AO314">
        <f t="shared" si="29"/>
        <v>3</v>
      </c>
      <c r="AP314">
        <f t="shared" si="30"/>
        <v>64.69</v>
      </c>
      <c r="AR314">
        <f t="shared" si="31"/>
        <v>259.28571428571428</v>
      </c>
    </row>
    <row r="315" spans="1:44">
      <c r="A315" t="s">
        <v>1288</v>
      </c>
      <c r="B315">
        <v>313</v>
      </c>
      <c r="C315" s="16" t="s">
        <v>1289</v>
      </c>
      <c r="D315" s="16" t="s">
        <v>1289</v>
      </c>
      <c r="E315" s="16" t="s">
        <v>670</v>
      </c>
      <c r="F315" s="16" t="s">
        <v>83</v>
      </c>
      <c r="G315" s="16" t="s">
        <v>305</v>
      </c>
      <c r="H315" s="16" t="s">
        <v>88</v>
      </c>
      <c r="I315" s="16" t="s">
        <v>1290</v>
      </c>
      <c r="J315" s="16" t="s">
        <v>87</v>
      </c>
      <c r="K315" s="16" t="s">
        <v>88</v>
      </c>
      <c r="L315" s="17">
        <v>1500</v>
      </c>
      <c r="M315" s="17">
        <v>80</v>
      </c>
      <c r="N315" s="16">
        <v>246</v>
      </c>
      <c r="O315" s="16">
        <v>150</v>
      </c>
      <c r="P315" s="16">
        <v>4</v>
      </c>
      <c r="Q315" s="16">
        <v>4.2</v>
      </c>
      <c r="R315" s="16">
        <v>3.65</v>
      </c>
      <c r="S315" s="16">
        <v>2.7</v>
      </c>
      <c r="T315" s="16">
        <v>0.8</v>
      </c>
      <c r="U315" s="16">
        <v>8</v>
      </c>
      <c r="V315" s="18">
        <v>0.5</v>
      </c>
      <c r="W315" s="16">
        <v>97</v>
      </c>
      <c r="X315" s="16">
        <v>56.5779</v>
      </c>
      <c r="Y315" s="16">
        <v>4</v>
      </c>
      <c r="Z315" s="16">
        <v>2</v>
      </c>
      <c r="AA315" s="18">
        <v>0.5</v>
      </c>
      <c r="AB315" s="32" t="s">
        <v>89</v>
      </c>
      <c r="AC315" s="17">
        <v>68.5</v>
      </c>
      <c r="AD315" s="17">
        <v>18.649999999999999</v>
      </c>
      <c r="AE315" s="17">
        <v>45.3</v>
      </c>
      <c r="AF315" s="21" t="s">
        <v>90</v>
      </c>
      <c r="AG315" s="17">
        <v>2019</v>
      </c>
      <c r="AH315" s="17" t="s">
        <v>91</v>
      </c>
      <c r="AJ315" s="24" t="s">
        <v>1291</v>
      </c>
      <c r="AL315" s="19" t="s">
        <v>94</v>
      </c>
      <c r="AM315" s="19" t="s">
        <v>89</v>
      </c>
      <c r="AN315" s="19" t="s">
        <v>89</v>
      </c>
      <c r="AO315">
        <f t="shared" si="29"/>
        <v>2</v>
      </c>
      <c r="AP315">
        <f t="shared" si="30"/>
        <v>60.79</v>
      </c>
      <c r="AR315">
        <f t="shared" si="31"/>
        <v>150.51546391752578</v>
      </c>
    </row>
    <row r="316" spans="1:44">
      <c r="A316" t="s">
        <v>1292</v>
      </c>
      <c r="B316">
        <v>314</v>
      </c>
      <c r="C316" s="16" t="s">
        <v>1293</v>
      </c>
      <c r="D316" s="16" t="s">
        <v>1293</v>
      </c>
      <c r="E316" s="16" t="s">
        <v>670</v>
      </c>
      <c r="F316" s="16" t="s">
        <v>83</v>
      </c>
      <c r="G316" s="16" t="s">
        <v>305</v>
      </c>
      <c r="H316" s="16" t="s">
        <v>88</v>
      </c>
      <c r="I316" s="16" t="s">
        <v>1294</v>
      </c>
      <c r="J316" s="16" t="s">
        <v>87</v>
      </c>
      <c r="K316" s="16" t="s">
        <v>88</v>
      </c>
      <c r="L316" s="17">
        <v>1500</v>
      </c>
      <c r="M316" s="17">
        <v>80</v>
      </c>
      <c r="N316" s="16">
        <v>264</v>
      </c>
      <c r="O316" s="16">
        <v>150</v>
      </c>
      <c r="P316" s="16">
        <v>5.6</v>
      </c>
      <c r="Q316" s="16">
        <v>4.0999999999999996</v>
      </c>
      <c r="R316" s="16">
        <v>3.65</v>
      </c>
      <c r="S316" s="16">
        <v>2.5</v>
      </c>
      <c r="T316" s="16">
        <v>1.18</v>
      </c>
      <c r="U316" s="16">
        <v>11</v>
      </c>
      <c r="V316" s="18">
        <v>0.5</v>
      </c>
      <c r="W316" s="16">
        <v>136</v>
      </c>
      <c r="X316" s="16">
        <v>77.308099999999996</v>
      </c>
      <c r="Y316" s="16">
        <v>5.6</v>
      </c>
      <c r="Z316" s="16">
        <v>1.18</v>
      </c>
      <c r="AA316" s="18">
        <v>0.5</v>
      </c>
      <c r="AB316" s="32" t="s">
        <v>89</v>
      </c>
      <c r="AC316" s="17">
        <v>68.7</v>
      </c>
      <c r="AD316" s="17">
        <v>18.600000000000001</v>
      </c>
      <c r="AE316" s="17">
        <v>60.5</v>
      </c>
      <c r="AF316" s="21" t="s">
        <v>90</v>
      </c>
      <c r="AG316" s="17">
        <v>2019</v>
      </c>
      <c r="AH316" s="17" t="s">
        <v>91</v>
      </c>
      <c r="AJ316" s="24" t="s">
        <v>676</v>
      </c>
      <c r="AL316" s="19" t="s">
        <v>94</v>
      </c>
      <c r="AM316" s="19" t="s">
        <v>89</v>
      </c>
      <c r="AN316" s="19" t="s">
        <v>89</v>
      </c>
      <c r="AO316">
        <f t="shared" si="29"/>
        <v>2</v>
      </c>
      <c r="AP316">
        <f t="shared" si="30"/>
        <v>60.79</v>
      </c>
      <c r="AR316">
        <f t="shared" si="31"/>
        <v>150.29411764705878</v>
      </c>
    </row>
    <row r="317" spans="1:44">
      <c r="A317" t="s">
        <v>1295</v>
      </c>
      <c r="B317">
        <v>315</v>
      </c>
      <c r="C317" s="16" t="s">
        <v>1296</v>
      </c>
      <c r="D317" s="16" t="s">
        <v>1297</v>
      </c>
      <c r="E317" s="16" t="s">
        <v>988</v>
      </c>
      <c r="F317" s="16" t="s">
        <v>83</v>
      </c>
      <c r="G317" s="16" t="s">
        <v>425</v>
      </c>
      <c r="H317" s="16" t="s">
        <v>266</v>
      </c>
      <c r="I317" s="16" t="s">
        <v>1298</v>
      </c>
      <c r="J317" s="16" t="s">
        <v>87</v>
      </c>
      <c r="K317" s="16" t="s">
        <v>268</v>
      </c>
      <c r="L317" s="17">
        <v>1000</v>
      </c>
      <c r="M317" s="17">
        <v>80</v>
      </c>
      <c r="N317" s="17" t="s">
        <v>89</v>
      </c>
      <c r="O317" s="17" t="s">
        <v>89</v>
      </c>
      <c r="P317" s="16">
        <v>10</v>
      </c>
      <c r="Q317" s="16">
        <v>4.2</v>
      </c>
      <c r="R317" s="16">
        <v>3.6</v>
      </c>
      <c r="S317" s="16">
        <v>3</v>
      </c>
      <c r="T317" s="16">
        <v>1.5</v>
      </c>
      <c r="U317" s="16">
        <v>50</v>
      </c>
      <c r="V317" s="18">
        <v>0.2</v>
      </c>
      <c r="W317" s="16">
        <v>320</v>
      </c>
      <c r="X317" s="16">
        <v>130.67420000000001</v>
      </c>
      <c r="Y317" s="16">
        <v>20</v>
      </c>
      <c r="Z317" s="16">
        <v>5</v>
      </c>
      <c r="AA317" s="18">
        <v>0.2</v>
      </c>
      <c r="AB317" s="32" t="s">
        <v>89</v>
      </c>
      <c r="AC317" s="17" t="s">
        <v>90</v>
      </c>
      <c r="AD317" s="17">
        <v>144</v>
      </c>
      <c r="AF317" s="17">
        <v>34</v>
      </c>
      <c r="AG317" s="17">
        <v>2011</v>
      </c>
      <c r="AH317" s="17" t="s">
        <v>91</v>
      </c>
      <c r="AJ317" s="22" t="s">
        <v>1299</v>
      </c>
      <c r="AL317" s="19" t="s">
        <v>94</v>
      </c>
      <c r="AM317" s="19" t="s">
        <v>89</v>
      </c>
      <c r="AN317" s="19" t="s">
        <v>89</v>
      </c>
      <c r="AO317">
        <f t="shared" si="29"/>
        <v>3</v>
      </c>
      <c r="AP317">
        <f t="shared" si="30"/>
        <v>64.69</v>
      </c>
      <c r="AR317">
        <f t="shared" si="31"/>
        <v>112.5</v>
      </c>
    </row>
    <row r="318" spans="1:44">
      <c r="A318" t="s">
        <v>1300</v>
      </c>
      <c r="B318">
        <v>316</v>
      </c>
      <c r="C318" s="16" t="s">
        <v>1301</v>
      </c>
      <c r="D318" s="16" t="s">
        <v>1301</v>
      </c>
      <c r="E318" s="16" t="s">
        <v>412</v>
      </c>
      <c r="F318" s="16" t="s">
        <v>83</v>
      </c>
      <c r="G318" s="16" t="s">
        <v>84</v>
      </c>
      <c r="H318" s="16" t="s">
        <v>266</v>
      </c>
      <c r="I318" s="16" t="s">
        <v>1302</v>
      </c>
      <c r="J318" s="16" t="s">
        <v>87</v>
      </c>
      <c r="K318" s="16" t="s">
        <v>268</v>
      </c>
      <c r="L318" s="17">
        <v>400</v>
      </c>
      <c r="M318" s="17">
        <v>80</v>
      </c>
      <c r="N318" s="17" t="s">
        <v>89</v>
      </c>
      <c r="O318" s="17" t="s">
        <v>89</v>
      </c>
      <c r="P318" s="16">
        <v>4.1500000000000004</v>
      </c>
      <c r="Q318" s="16">
        <v>4.2</v>
      </c>
      <c r="R318" s="16">
        <v>3.63</v>
      </c>
      <c r="S318" s="16">
        <v>2.5</v>
      </c>
      <c r="T318" s="16">
        <v>0.80400000000000005</v>
      </c>
      <c r="U318" s="16">
        <v>12</v>
      </c>
      <c r="V318" s="18">
        <v>1</v>
      </c>
      <c r="W318" s="16">
        <v>58</v>
      </c>
      <c r="X318" s="16">
        <v>21.6082</v>
      </c>
      <c r="Y318" s="16">
        <v>4.0199999999999996</v>
      </c>
      <c r="Z318" s="16">
        <v>2.0099999999999998</v>
      </c>
      <c r="AA318" s="18">
        <v>0.5</v>
      </c>
      <c r="AB318" s="32" t="s">
        <v>89</v>
      </c>
      <c r="AC318" s="17" t="s">
        <v>90</v>
      </c>
      <c r="AD318" s="17">
        <v>65.5</v>
      </c>
      <c r="AF318" s="17">
        <v>20.5</v>
      </c>
      <c r="AG318" s="17">
        <v>2015</v>
      </c>
      <c r="AH318" s="17" t="s">
        <v>91</v>
      </c>
      <c r="AJ318" s="24" t="s">
        <v>1303</v>
      </c>
      <c r="AL318" s="19" t="s">
        <v>94</v>
      </c>
      <c r="AM318" s="19">
        <v>0.01</v>
      </c>
      <c r="AN318" s="23">
        <v>1</v>
      </c>
      <c r="AO318">
        <f t="shared" si="29"/>
        <v>3</v>
      </c>
      <c r="AP318">
        <f t="shared" si="30"/>
        <v>64.69</v>
      </c>
      <c r="AR318">
        <f t="shared" si="31"/>
        <v>259.73275862068965</v>
      </c>
    </row>
    <row r="319" spans="1:44">
      <c r="A319" t="s">
        <v>1304</v>
      </c>
      <c r="B319">
        <v>317</v>
      </c>
      <c r="C319" s="16" t="s">
        <v>1305</v>
      </c>
      <c r="D319" s="16" t="s">
        <v>1305</v>
      </c>
      <c r="E319" s="16" t="s">
        <v>548</v>
      </c>
      <c r="F319" s="16" t="s">
        <v>83</v>
      </c>
      <c r="G319" s="16" t="s">
        <v>84</v>
      </c>
      <c r="H319" s="16" t="s">
        <v>85</v>
      </c>
      <c r="I319" s="16" t="s">
        <v>1306</v>
      </c>
      <c r="J319" s="16" t="s">
        <v>87</v>
      </c>
      <c r="K319" s="16" t="s">
        <v>88</v>
      </c>
      <c r="L319" s="17">
        <v>1000</v>
      </c>
      <c r="M319" s="17">
        <v>80</v>
      </c>
      <c r="N319" s="16">
        <v>438</v>
      </c>
      <c r="O319" s="16">
        <v>234</v>
      </c>
      <c r="P319" s="16">
        <v>26.5</v>
      </c>
      <c r="Q319" s="16">
        <v>4.3499999999999996</v>
      </c>
      <c r="R319" s="16">
        <v>3.69</v>
      </c>
      <c r="S319" s="16">
        <v>2.2999999999999998</v>
      </c>
      <c r="T319" s="16">
        <v>8.8333333333333339</v>
      </c>
      <c r="U319" s="16">
        <v>26.5</v>
      </c>
      <c r="V319" s="18" t="s">
        <v>89</v>
      </c>
      <c r="W319" s="16">
        <v>407</v>
      </c>
      <c r="X319" s="16">
        <v>222.75</v>
      </c>
      <c r="Y319" s="16">
        <v>26.5</v>
      </c>
      <c r="Z319" s="16">
        <v>8.8333333333333339</v>
      </c>
      <c r="AA319" s="18" t="s">
        <v>89</v>
      </c>
      <c r="AB319" s="32" t="s">
        <v>89</v>
      </c>
      <c r="AC319" s="17">
        <v>225</v>
      </c>
      <c r="AD319" s="17">
        <v>6</v>
      </c>
      <c r="AE319" s="17">
        <v>165</v>
      </c>
      <c r="AF319" s="21" t="s">
        <v>90</v>
      </c>
      <c r="AG319" s="17">
        <v>2015</v>
      </c>
      <c r="AH319" s="17" t="s">
        <v>91</v>
      </c>
      <c r="AJ319" s="24" t="s">
        <v>98</v>
      </c>
      <c r="AL319" s="19" t="s">
        <v>94</v>
      </c>
      <c r="AM319" s="19" t="s">
        <v>89</v>
      </c>
      <c r="AN319" s="19" t="s">
        <v>89</v>
      </c>
      <c r="AO319">
        <f t="shared" si="29"/>
        <v>1</v>
      </c>
      <c r="AP319">
        <f t="shared" si="30"/>
        <v>60.25</v>
      </c>
      <c r="AR319">
        <f t="shared" si="31"/>
        <v>240.25798525798527</v>
      </c>
    </row>
    <row r="320" spans="1:44">
      <c r="A320" t="s">
        <v>1307</v>
      </c>
      <c r="B320">
        <v>318</v>
      </c>
      <c r="C320" s="16" t="s">
        <v>1308</v>
      </c>
      <c r="D320" s="16" t="s">
        <v>1308</v>
      </c>
      <c r="E320" s="16" t="s">
        <v>211</v>
      </c>
      <c r="F320" s="16" t="s">
        <v>83</v>
      </c>
      <c r="G320" s="16" t="s">
        <v>425</v>
      </c>
      <c r="H320" s="16" t="s">
        <v>266</v>
      </c>
      <c r="I320" s="16" t="s">
        <v>1309</v>
      </c>
      <c r="J320" s="16" t="s">
        <v>87</v>
      </c>
      <c r="K320" s="16" t="s">
        <v>268</v>
      </c>
      <c r="L320" s="17">
        <v>1000</v>
      </c>
      <c r="M320" s="17">
        <v>70</v>
      </c>
      <c r="N320" s="17" t="s">
        <v>89</v>
      </c>
      <c r="O320" s="17" t="s">
        <v>89</v>
      </c>
      <c r="P320" s="16">
        <v>5</v>
      </c>
      <c r="Q320" s="16">
        <v>4.2</v>
      </c>
      <c r="R320" s="16">
        <v>3.6</v>
      </c>
      <c r="S320" s="16">
        <v>2.75</v>
      </c>
      <c r="T320" s="16">
        <v>1</v>
      </c>
      <c r="U320" s="16">
        <v>10</v>
      </c>
      <c r="V320" s="18" t="s">
        <v>89</v>
      </c>
      <c r="W320" s="16">
        <v>70</v>
      </c>
      <c r="X320" s="16">
        <v>26.208100000000002</v>
      </c>
      <c r="Y320" s="16">
        <v>1.5</v>
      </c>
      <c r="Z320" s="16">
        <v>1</v>
      </c>
      <c r="AA320" s="18" t="s">
        <v>89</v>
      </c>
      <c r="AB320" s="32" t="s">
        <v>89</v>
      </c>
      <c r="AC320" s="17" t="s">
        <v>90</v>
      </c>
      <c r="AD320" s="17">
        <v>70.900000000000006</v>
      </c>
      <c r="AF320" s="17">
        <v>21.7</v>
      </c>
      <c r="AG320" s="17">
        <v>2017</v>
      </c>
      <c r="AH320" s="17" t="s">
        <v>91</v>
      </c>
      <c r="AJ320" s="24" t="s">
        <v>1310</v>
      </c>
      <c r="AL320" s="19" t="s">
        <v>94</v>
      </c>
      <c r="AM320" s="19">
        <v>0.02</v>
      </c>
      <c r="AN320" s="23">
        <v>1</v>
      </c>
      <c r="AO320">
        <f t="shared" si="29"/>
        <v>3</v>
      </c>
      <c r="AP320">
        <f t="shared" si="30"/>
        <v>64.69</v>
      </c>
      <c r="AR320">
        <f t="shared" si="31"/>
        <v>257.14285714285711</v>
      </c>
    </row>
    <row r="321" spans="1:44">
      <c r="A321" t="s">
        <v>1311</v>
      </c>
      <c r="B321">
        <v>319</v>
      </c>
      <c r="C321" s="16" t="s">
        <v>1312</v>
      </c>
      <c r="D321" s="16" t="s">
        <v>1312</v>
      </c>
      <c r="E321" s="16" t="s">
        <v>211</v>
      </c>
      <c r="F321" s="16" t="s">
        <v>83</v>
      </c>
      <c r="G321" s="16" t="s">
        <v>425</v>
      </c>
      <c r="H321" s="16" t="s">
        <v>266</v>
      </c>
      <c r="I321" s="16" t="s">
        <v>1313</v>
      </c>
      <c r="J321" s="16" t="s">
        <v>87</v>
      </c>
      <c r="K321" s="16" t="s">
        <v>268</v>
      </c>
      <c r="L321" s="17">
        <v>1000</v>
      </c>
      <c r="M321" s="17">
        <v>80</v>
      </c>
      <c r="N321" s="16">
        <v>618</v>
      </c>
      <c r="O321" s="16">
        <v>230</v>
      </c>
      <c r="P321" s="16">
        <v>4.5</v>
      </c>
      <c r="Q321" s="16">
        <v>4.2</v>
      </c>
      <c r="R321" s="16">
        <v>3.6</v>
      </c>
      <c r="S321" s="16">
        <v>2.5</v>
      </c>
      <c r="T321" s="16">
        <v>4.5</v>
      </c>
      <c r="U321" s="16">
        <v>13.5</v>
      </c>
      <c r="V321" s="18" t="s">
        <v>89</v>
      </c>
      <c r="W321" s="16">
        <v>70</v>
      </c>
      <c r="X321" s="16">
        <v>26.768699999999999</v>
      </c>
      <c r="Y321" s="16">
        <v>5.4</v>
      </c>
      <c r="Z321" s="16">
        <v>2.25</v>
      </c>
      <c r="AA321" s="18" t="s">
        <v>89</v>
      </c>
      <c r="AB321" s="32" t="s">
        <v>89</v>
      </c>
      <c r="AC321" s="17" t="s">
        <v>90</v>
      </c>
      <c r="AD321" s="17">
        <v>71.099999999999994</v>
      </c>
      <c r="AF321" s="17">
        <v>21.9</v>
      </c>
      <c r="AG321" s="17">
        <v>2019</v>
      </c>
      <c r="AH321" s="17" t="s">
        <v>91</v>
      </c>
      <c r="AJ321" s="24" t="s">
        <v>248</v>
      </c>
      <c r="AL321" s="19" t="s">
        <v>94</v>
      </c>
      <c r="AM321" s="19">
        <v>0.02</v>
      </c>
      <c r="AN321" s="23">
        <v>1</v>
      </c>
      <c r="AO321">
        <f t="shared" si="29"/>
        <v>3</v>
      </c>
      <c r="AP321">
        <f t="shared" si="30"/>
        <v>64.69</v>
      </c>
      <c r="AR321">
        <f t="shared" si="31"/>
        <v>231.42857142857139</v>
      </c>
    </row>
    <row r="322" spans="1:44">
      <c r="A322" t="s">
        <v>1314</v>
      </c>
      <c r="B322">
        <v>320</v>
      </c>
      <c r="C322" s="16" t="s">
        <v>1315</v>
      </c>
      <c r="D322" s="16" t="s">
        <v>1315</v>
      </c>
      <c r="E322" s="16" t="s">
        <v>1316</v>
      </c>
      <c r="F322" s="16" t="s">
        <v>982</v>
      </c>
      <c r="G322" s="16" t="s">
        <v>1317</v>
      </c>
      <c r="H322" s="16" t="s">
        <v>85</v>
      </c>
      <c r="I322" s="16" t="s">
        <v>1318</v>
      </c>
      <c r="J322" s="16" t="s">
        <v>87</v>
      </c>
      <c r="K322" s="16" t="s">
        <v>88</v>
      </c>
      <c r="L322" s="17">
        <v>150</v>
      </c>
      <c r="M322" s="17">
        <v>80</v>
      </c>
      <c r="N322" s="17" t="s">
        <v>89</v>
      </c>
      <c r="O322" s="17" t="s">
        <v>89</v>
      </c>
      <c r="P322" s="16">
        <v>3.6</v>
      </c>
      <c r="Q322" s="16">
        <v>4.3499999999999996</v>
      </c>
      <c r="R322" s="16">
        <v>3.6</v>
      </c>
      <c r="S322" s="16">
        <v>2.75</v>
      </c>
      <c r="T322" s="16">
        <v>0.51</v>
      </c>
      <c r="U322" s="16">
        <v>1.8</v>
      </c>
      <c r="V322" s="18">
        <v>0.2</v>
      </c>
      <c r="W322" s="16">
        <v>33</v>
      </c>
      <c r="X322" s="16">
        <v>12.375</v>
      </c>
      <c r="Y322" s="16">
        <v>1.8</v>
      </c>
      <c r="Z322" s="16">
        <v>0.51</v>
      </c>
      <c r="AA322" s="18">
        <v>0.2</v>
      </c>
      <c r="AB322" s="32" t="s">
        <v>89</v>
      </c>
      <c r="AC322" s="17">
        <v>55</v>
      </c>
      <c r="AD322" s="17">
        <v>4.5</v>
      </c>
      <c r="AE322" s="17">
        <v>50</v>
      </c>
      <c r="AF322" s="21" t="s">
        <v>90</v>
      </c>
      <c r="AG322" s="17">
        <v>2018</v>
      </c>
      <c r="AH322" s="17" t="s">
        <v>91</v>
      </c>
      <c r="AJ322" s="24" t="s">
        <v>256</v>
      </c>
      <c r="AL322" s="19" t="s">
        <v>94</v>
      </c>
      <c r="AM322" s="19" t="s">
        <v>89</v>
      </c>
      <c r="AN322" s="19" t="s">
        <v>89</v>
      </c>
      <c r="AO322">
        <f t="shared" si="29"/>
        <v>1</v>
      </c>
      <c r="AP322">
        <f t="shared" si="30"/>
        <v>60.25</v>
      </c>
      <c r="AR322">
        <f t="shared" si="31"/>
        <v>392.72727272727275</v>
      </c>
    </row>
    <row r="323" spans="1:44" ht="16.2" customHeight="1">
      <c r="A323" t="s">
        <v>1319</v>
      </c>
      <c r="B323">
        <v>321</v>
      </c>
      <c r="C323" s="16" t="s">
        <v>1320</v>
      </c>
      <c r="D323" s="16" t="s">
        <v>1320</v>
      </c>
      <c r="E323" s="16" t="s">
        <v>1316</v>
      </c>
      <c r="F323" s="16" t="s">
        <v>83</v>
      </c>
      <c r="G323" s="16" t="s">
        <v>305</v>
      </c>
      <c r="H323" s="16" t="s">
        <v>85</v>
      </c>
      <c r="I323" s="16" t="s">
        <v>1321</v>
      </c>
      <c r="J323" s="16" t="s">
        <v>87</v>
      </c>
      <c r="K323" s="16" t="s">
        <v>88</v>
      </c>
      <c r="L323" s="17">
        <v>500</v>
      </c>
      <c r="M323" s="17">
        <v>80</v>
      </c>
      <c r="N323" s="17" t="s">
        <v>89</v>
      </c>
      <c r="O323" s="17" t="s">
        <v>89</v>
      </c>
      <c r="P323" s="16">
        <v>5</v>
      </c>
      <c r="Q323" s="16">
        <v>4.4000000000000004</v>
      </c>
      <c r="R323" s="16">
        <v>3.85</v>
      </c>
      <c r="S323" s="16">
        <v>3</v>
      </c>
      <c r="T323" s="16">
        <v>0.98</v>
      </c>
      <c r="U323" s="16">
        <v>5</v>
      </c>
      <c r="V323" s="18">
        <v>0.5</v>
      </c>
      <c r="W323" s="16">
        <v>65</v>
      </c>
      <c r="X323" s="16">
        <v>27.1889</v>
      </c>
      <c r="Y323" s="16">
        <v>2.4500000000000002</v>
      </c>
      <c r="Z323" s="16">
        <v>1</v>
      </c>
      <c r="AA323" s="18">
        <v>0.5</v>
      </c>
      <c r="AB323" s="32" t="s">
        <v>89</v>
      </c>
      <c r="AC323" s="17">
        <v>96.5</v>
      </c>
      <c r="AD323" s="17">
        <v>4.9000000000000004</v>
      </c>
      <c r="AE323" s="17">
        <v>57.5</v>
      </c>
      <c r="AF323" s="21" t="s">
        <v>90</v>
      </c>
      <c r="AG323" s="17">
        <v>2016</v>
      </c>
      <c r="AH323" s="17" t="s">
        <v>91</v>
      </c>
      <c r="AJ323" s="22" t="s">
        <v>1322</v>
      </c>
      <c r="AL323" s="19" t="s">
        <v>94</v>
      </c>
      <c r="AM323" s="19" t="s">
        <v>89</v>
      </c>
      <c r="AN323" s="19" t="s">
        <v>89</v>
      </c>
      <c r="AO323">
        <f t="shared" si="29"/>
        <v>1</v>
      </c>
      <c r="AP323">
        <f t="shared" si="30"/>
        <v>60.25</v>
      </c>
      <c r="AR323">
        <f t="shared" si="31"/>
        <v>296.15384615384613</v>
      </c>
    </row>
    <row r="324" spans="1:44">
      <c r="A324" t="s">
        <v>1323</v>
      </c>
      <c r="B324">
        <v>322</v>
      </c>
      <c r="C324" s="16" t="s">
        <v>1324</v>
      </c>
      <c r="D324" s="16" t="s">
        <v>1324</v>
      </c>
      <c r="E324" s="16" t="s">
        <v>1325</v>
      </c>
      <c r="H324" s="16" t="s">
        <v>85</v>
      </c>
      <c r="I324" s="16" t="s">
        <v>1326</v>
      </c>
      <c r="J324" s="16" t="s">
        <v>87</v>
      </c>
      <c r="K324" s="16" t="s">
        <v>88</v>
      </c>
      <c r="L324" s="17">
        <v>500</v>
      </c>
      <c r="M324" s="17">
        <v>80</v>
      </c>
      <c r="N324" s="17" t="s">
        <v>89</v>
      </c>
      <c r="O324" s="17" t="s">
        <v>89</v>
      </c>
      <c r="P324" s="16">
        <v>5.15</v>
      </c>
      <c r="Q324" s="16">
        <v>4.3499999999999996</v>
      </c>
      <c r="R324" s="16">
        <v>3.8</v>
      </c>
      <c r="S324" s="16">
        <v>3</v>
      </c>
      <c r="T324" s="16">
        <v>1</v>
      </c>
      <c r="U324" s="16">
        <v>2.5</v>
      </c>
      <c r="V324" s="18" t="s">
        <v>89</v>
      </c>
      <c r="W324" s="16">
        <v>105</v>
      </c>
      <c r="X324" s="16">
        <v>37.8232</v>
      </c>
      <c r="Y324" s="16">
        <v>2.5</v>
      </c>
      <c r="Z324" s="16">
        <v>1</v>
      </c>
      <c r="AA324" s="18" t="s">
        <v>89</v>
      </c>
      <c r="AB324" s="32" t="s">
        <v>89</v>
      </c>
      <c r="AC324" s="17">
        <v>96.5</v>
      </c>
      <c r="AD324" s="17">
        <v>6.7</v>
      </c>
      <c r="AE324" s="17">
        <v>58.5</v>
      </c>
      <c r="AF324" s="21" t="s">
        <v>90</v>
      </c>
      <c r="AH324" s="17" t="s">
        <v>91</v>
      </c>
      <c r="AJ324" s="24" t="s">
        <v>1327</v>
      </c>
      <c r="AL324" s="19" t="s">
        <v>94</v>
      </c>
      <c r="AM324" s="19" t="s">
        <v>89</v>
      </c>
      <c r="AN324" s="19" t="s">
        <v>89</v>
      </c>
      <c r="AO324">
        <f t="shared" ref="AO324:AO349" si="32">IF(H324="Pouch",1,IF(H324="Prismatic",2,IF(H324="Cylindrical",3,"")))</f>
        <v>1</v>
      </c>
      <c r="AP324">
        <f t="shared" ref="AP324:AP356" si="33">IF(AO324=1, 60.25, IF(AO324=2, 60.79, IF(AO324=3, 64.69, 0)))</f>
        <v>60.25</v>
      </c>
      <c r="AR324">
        <f t="shared" ref="AR324:AR335" si="34">P324*R324/(W324/1000)</f>
        <v>186.38095238095238</v>
      </c>
    </row>
    <row r="325" spans="1:44">
      <c r="A325" t="s">
        <v>1328</v>
      </c>
      <c r="B325">
        <v>323</v>
      </c>
      <c r="C325" s="16" t="s">
        <v>1329</v>
      </c>
      <c r="D325" s="16" t="s">
        <v>1329</v>
      </c>
      <c r="E325" s="16" t="s">
        <v>544</v>
      </c>
      <c r="F325" s="16" t="s">
        <v>83</v>
      </c>
      <c r="G325" s="16" t="s">
        <v>425</v>
      </c>
      <c r="H325" s="16" t="s">
        <v>266</v>
      </c>
      <c r="I325" s="16" t="s">
        <v>1330</v>
      </c>
      <c r="J325" s="16" t="s">
        <v>87</v>
      </c>
      <c r="K325" s="16" t="s">
        <v>268</v>
      </c>
      <c r="L325" s="17">
        <v>1000</v>
      </c>
      <c r="M325" s="17">
        <v>80</v>
      </c>
      <c r="N325" s="17" t="s">
        <v>89</v>
      </c>
      <c r="O325" s="17" t="s">
        <v>89</v>
      </c>
      <c r="P325" s="16">
        <v>4</v>
      </c>
      <c r="Q325" s="16">
        <v>4.2</v>
      </c>
      <c r="R325" s="16">
        <v>3.6</v>
      </c>
      <c r="S325" s="16">
        <v>2.5</v>
      </c>
      <c r="T325" s="16">
        <v>0.8</v>
      </c>
      <c r="U325" s="16">
        <v>35</v>
      </c>
      <c r="V325" s="18">
        <v>1</v>
      </c>
      <c r="W325" s="16">
        <v>70</v>
      </c>
      <c r="X325" s="16">
        <v>24.849399999999999</v>
      </c>
      <c r="Y325" s="16">
        <v>6</v>
      </c>
      <c r="Z325" s="16">
        <v>2</v>
      </c>
      <c r="AA325" s="18">
        <v>1</v>
      </c>
      <c r="AB325" s="32" t="s">
        <v>89</v>
      </c>
      <c r="AC325" s="17" t="s">
        <v>90</v>
      </c>
      <c r="AD325" s="17">
        <v>70.3</v>
      </c>
      <c r="AF325" s="17">
        <v>21.22</v>
      </c>
      <c r="AH325" s="17" t="s">
        <v>91</v>
      </c>
      <c r="AJ325" s="24" t="s">
        <v>1331</v>
      </c>
      <c r="AL325" s="19" t="s">
        <v>94</v>
      </c>
      <c r="AM325" s="19" t="s">
        <v>89</v>
      </c>
      <c r="AN325" s="19" t="s">
        <v>89</v>
      </c>
      <c r="AO325">
        <f t="shared" si="32"/>
        <v>3</v>
      </c>
      <c r="AP325">
        <f t="shared" si="33"/>
        <v>64.69</v>
      </c>
      <c r="AR325">
        <f t="shared" si="34"/>
        <v>205.71428571428569</v>
      </c>
    </row>
    <row r="326" spans="1:44">
      <c r="A326" t="s">
        <v>1332</v>
      </c>
      <c r="B326">
        <v>324</v>
      </c>
      <c r="C326" s="16" t="s">
        <v>1333</v>
      </c>
      <c r="D326" s="16" t="s">
        <v>1333</v>
      </c>
      <c r="E326" s="16" t="s">
        <v>544</v>
      </c>
      <c r="F326" s="16" t="s">
        <v>83</v>
      </c>
      <c r="G326" s="16" t="s">
        <v>425</v>
      </c>
      <c r="H326" s="16" t="s">
        <v>266</v>
      </c>
      <c r="I326" t="s">
        <v>1334</v>
      </c>
      <c r="J326" s="16" t="s">
        <v>87</v>
      </c>
      <c r="K326" s="16" t="s">
        <v>268</v>
      </c>
      <c r="L326" s="17">
        <v>250</v>
      </c>
      <c r="M326" s="17">
        <v>85</v>
      </c>
      <c r="N326" s="17" t="s">
        <v>89</v>
      </c>
      <c r="O326" s="17" t="s">
        <v>89</v>
      </c>
      <c r="P326" s="16">
        <v>4.16</v>
      </c>
      <c r="Q326" s="16">
        <v>4.2</v>
      </c>
      <c r="R326" s="16">
        <v>3.6</v>
      </c>
      <c r="S326" s="16">
        <v>2</v>
      </c>
      <c r="T326" s="16">
        <v>0.83199999999999996</v>
      </c>
      <c r="U326" s="16">
        <v>35</v>
      </c>
      <c r="V326" s="18">
        <v>1</v>
      </c>
      <c r="W326" s="16">
        <v>72</v>
      </c>
      <c r="X326" s="16">
        <v>24.975899999999999</v>
      </c>
      <c r="Y326" s="16">
        <v>6</v>
      </c>
      <c r="Z326" s="16">
        <v>2</v>
      </c>
      <c r="AA326" s="18">
        <v>1</v>
      </c>
      <c r="AB326" s="32" t="s">
        <v>89</v>
      </c>
      <c r="AC326" s="17" t="s">
        <v>90</v>
      </c>
      <c r="AD326" s="17">
        <v>69.8</v>
      </c>
      <c r="AF326" s="17">
        <v>21.35</v>
      </c>
      <c r="AH326" s="17" t="s">
        <v>91</v>
      </c>
      <c r="AJ326" s="24" t="s">
        <v>98</v>
      </c>
      <c r="AL326" s="19" t="s">
        <v>94</v>
      </c>
      <c r="AM326" s="19" t="s">
        <v>89</v>
      </c>
      <c r="AN326" s="19" t="s">
        <v>89</v>
      </c>
      <c r="AO326">
        <f t="shared" si="32"/>
        <v>3</v>
      </c>
      <c r="AP326">
        <f t="shared" si="33"/>
        <v>64.69</v>
      </c>
      <c r="AR326">
        <f t="shared" si="34"/>
        <v>208.00000000000003</v>
      </c>
    </row>
    <row r="327" spans="1:44">
      <c r="A327" t="s">
        <v>1335</v>
      </c>
      <c r="B327">
        <v>325</v>
      </c>
      <c r="C327" s="16" t="s">
        <v>1336</v>
      </c>
      <c r="D327" s="16" t="s">
        <v>1336</v>
      </c>
      <c r="E327" s="16" t="s">
        <v>544</v>
      </c>
      <c r="F327" s="16" t="s">
        <v>83</v>
      </c>
      <c r="G327" s="16" t="s">
        <v>425</v>
      </c>
      <c r="H327" s="16" t="s">
        <v>266</v>
      </c>
      <c r="I327" s="16" t="s">
        <v>1337</v>
      </c>
      <c r="J327" s="16" t="s">
        <v>87</v>
      </c>
      <c r="K327" s="16" t="s">
        <v>268</v>
      </c>
      <c r="L327" s="17">
        <v>350</v>
      </c>
      <c r="M327" s="17">
        <v>70</v>
      </c>
      <c r="N327" s="17" t="s">
        <v>89</v>
      </c>
      <c r="O327" s="17" t="s">
        <v>89</v>
      </c>
      <c r="P327" s="16">
        <v>5.2</v>
      </c>
      <c r="Q327" s="16">
        <v>4.2</v>
      </c>
      <c r="R327" s="16">
        <v>3.6</v>
      </c>
      <c r="S327" s="16">
        <v>2.5</v>
      </c>
      <c r="T327" s="16">
        <v>1.05</v>
      </c>
      <c r="U327" s="16">
        <v>8</v>
      </c>
      <c r="V327" s="18">
        <v>1</v>
      </c>
      <c r="W327" s="16">
        <v>70</v>
      </c>
      <c r="X327" s="16">
        <v>24.975899999999999</v>
      </c>
      <c r="Y327" s="16">
        <v>4</v>
      </c>
      <c r="Z327" s="16">
        <v>1.05</v>
      </c>
      <c r="AA327" s="18">
        <v>1</v>
      </c>
      <c r="AB327" s="19" t="s">
        <v>89</v>
      </c>
      <c r="AC327" s="17" t="s">
        <v>90</v>
      </c>
      <c r="AD327" s="17">
        <v>69.8</v>
      </c>
      <c r="AF327" s="17">
        <v>21.35</v>
      </c>
      <c r="AG327" s="17">
        <v>2017</v>
      </c>
      <c r="AH327" s="17" t="s">
        <v>91</v>
      </c>
      <c r="AL327" s="19" t="s">
        <v>94</v>
      </c>
      <c r="AM327" s="19" t="s">
        <v>89</v>
      </c>
      <c r="AN327" s="19" t="s">
        <v>89</v>
      </c>
      <c r="AO327">
        <f t="shared" si="32"/>
        <v>3</v>
      </c>
      <c r="AP327">
        <f t="shared" si="33"/>
        <v>64.69</v>
      </c>
      <c r="AR327">
        <f t="shared" si="34"/>
        <v>267.42857142857144</v>
      </c>
    </row>
    <row r="328" spans="1:44">
      <c r="A328" t="s">
        <v>1338</v>
      </c>
      <c r="B328">
        <v>326</v>
      </c>
      <c r="C328" s="16" t="s">
        <v>1339</v>
      </c>
      <c r="D328" s="16" t="s">
        <v>1339</v>
      </c>
      <c r="E328" s="16" t="s">
        <v>1340</v>
      </c>
      <c r="F328" s="16" t="s">
        <v>83</v>
      </c>
      <c r="G328" s="16" t="s">
        <v>425</v>
      </c>
      <c r="H328" s="16" t="s">
        <v>266</v>
      </c>
      <c r="I328" s="16" t="s">
        <v>1341</v>
      </c>
      <c r="J328" s="16" t="s">
        <v>87</v>
      </c>
      <c r="K328" s="16" t="s">
        <v>268</v>
      </c>
      <c r="L328" s="17">
        <v>500</v>
      </c>
      <c r="M328" s="17">
        <v>80</v>
      </c>
      <c r="N328" s="16">
        <v>578</v>
      </c>
      <c r="O328" s="17" t="s">
        <v>89</v>
      </c>
      <c r="P328" s="16">
        <v>4</v>
      </c>
      <c r="Q328" s="16">
        <v>4.2</v>
      </c>
      <c r="R328" s="16">
        <v>3.6</v>
      </c>
      <c r="S328" s="16">
        <v>2</v>
      </c>
      <c r="T328" s="16">
        <v>0.8</v>
      </c>
      <c r="U328" s="16">
        <v>40</v>
      </c>
      <c r="V328" s="18">
        <v>2.5</v>
      </c>
      <c r="W328" s="16">
        <v>72.7</v>
      </c>
      <c r="X328" s="16">
        <v>25.518899999999999</v>
      </c>
      <c r="Y328" s="16">
        <v>9</v>
      </c>
      <c r="Z328" s="16">
        <v>3</v>
      </c>
      <c r="AA328" s="18">
        <v>1</v>
      </c>
      <c r="AB328" s="19" t="s">
        <v>89</v>
      </c>
      <c r="AC328" s="17" t="s">
        <v>90</v>
      </c>
      <c r="AD328" s="17">
        <v>70</v>
      </c>
      <c r="AF328" s="17">
        <v>21.55</v>
      </c>
      <c r="AG328" s="17">
        <v>2021</v>
      </c>
      <c r="AH328" s="17" t="s">
        <v>91</v>
      </c>
      <c r="AJ328" s="24" t="s">
        <v>98</v>
      </c>
      <c r="AL328" s="19" t="s">
        <v>94</v>
      </c>
      <c r="AM328" s="19">
        <v>0.02</v>
      </c>
      <c r="AN328" s="19" t="s">
        <v>89</v>
      </c>
      <c r="AO328">
        <f t="shared" si="32"/>
        <v>3</v>
      </c>
      <c r="AP328">
        <f t="shared" si="33"/>
        <v>64.69</v>
      </c>
      <c r="AR328">
        <f t="shared" si="34"/>
        <v>198.07427785419532</v>
      </c>
    </row>
    <row r="329" spans="1:44">
      <c r="A329" t="s">
        <v>1342</v>
      </c>
      <c r="B329">
        <v>327</v>
      </c>
      <c r="C329" s="16" t="s">
        <v>1343</v>
      </c>
      <c r="D329" s="16" t="s">
        <v>1343</v>
      </c>
      <c r="E329" s="16" t="s">
        <v>1344</v>
      </c>
      <c r="G329" s="16" t="s">
        <v>305</v>
      </c>
      <c r="H329" s="16" t="s">
        <v>266</v>
      </c>
      <c r="I329" s="16" t="s">
        <v>1345</v>
      </c>
      <c r="J329" s="16" t="s">
        <v>87</v>
      </c>
      <c r="K329" s="16" t="s">
        <v>268</v>
      </c>
      <c r="L329" s="17">
        <v>500</v>
      </c>
      <c r="M329" s="17">
        <v>80</v>
      </c>
      <c r="N329" s="17" t="s">
        <v>89</v>
      </c>
      <c r="O329" s="17" t="s">
        <v>89</v>
      </c>
      <c r="P329" s="16">
        <v>4</v>
      </c>
      <c r="Q329" s="16">
        <v>4.2</v>
      </c>
      <c r="R329" s="16">
        <v>3.7</v>
      </c>
      <c r="S329" s="16">
        <v>2.75</v>
      </c>
      <c r="T329" s="16">
        <v>0.8</v>
      </c>
      <c r="U329" s="16">
        <v>12</v>
      </c>
      <c r="V329" s="18">
        <v>0.5</v>
      </c>
      <c r="W329" s="16">
        <v>68</v>
      </c>
      <c r="X329" s="16">
        <v>26.151700000000002</v>
      </c>
      <c r="Y329" s="16">
        <v>4</v>
      </c>
      <c r="Z329" s="16">
        <v>0.8</v>
      </c>
      <c r="AA329" s="18">
        <v>0.5</v>
      </c>
      <c r="AB329" s="19" t="s">
        <v>89</v>
      </c>
      <c r="AC329" s="17" t="s">
        <v>90</v>
      </c>
      <c r="AD329" s="17">
        <v>70.099999999999994</v>
      </c>
      <c r="AF329" s="17">
        <v>21.8</v>
      </c>
      <c r="AG329" s="17">
        <v>2018</v>
      </c>
      <c r="AH329" s="17" t="s">
        <v>91</v>
      </c>
      <c r="AJ329" s="24" t="s">
        <v>1346</v>
      </c>
      <c r="AL329" s="19" t="s">
        <v>94</v>
      </c>
      <c r="AM329" s="19">
        <v>0.02</v>
      </c>
      <c r="AN329" s="23">
        <v>1</v>
      </c>
      <c r="AO329">
        <f t="shared" si="32"/>
        <v>3</v>
      </c>
      <c r="AP329">
        <f t="shared" si="33"/>
        <v>64.69</v>
      </c>
      <c r="AR329">
        <f t="shared" si="34"/>
        <v>217.64705882352942</v>
      </c>
    </row>
    <row r="330" spans="1:44">
      <c r="A330" t="s">
        <v>1347</v>
      </c>
      <c r="B330">
        <v>328</v>
      </c>
      <c r="C330" s="16" t="s">
        <v>1348</v>
      </c>
      <c r="D330" s="16" t="s">
        <v>1348</v>
      </c>
      <c r="E330" s="16" t="s">
        <v>748</v>
      </c>
      <c r="F330" s="16" t="s">
        <v>389</v>
      </c>
      <c r="G330" s="16" t="s">
        <v>390</v>
      </c>
      <c r="H330" s="16" t="s">
        <v>266</v>
      </c>
      <c r="I330" s="16" t="s">
        <v>1349</v>
      </c>
      <c r="J330" s="16" t="s">
        <v>87</v>
      </c>
      <c r="K330" s="16" t="s">
        <v>268</v>
      </c>
      <c r="L330" s="17">
        <v>16000</v>
      </c>
      <c r="M330" s="17">
        <v>80</v>
      </c>
      <c r="N330" s="17" t="s">
        <v>89</v>
      </c>
      <c r="O330" s="17" t="s">
        <v>89</v>
      </c>
      <c r="P330" s="16">
        <v>40</v>
      </c>
      <c r="Q330" s="16">
        <v>2.7</v>
      </c>
      <c r="R330" s="16">
        <v>2.2999999999999998</v>
      </c>
      <c r="S330" s="16">
        <v>1.5</v>
      </c>
      <c r="T330" s="16">
        <v>40</v>
      </c>
      <c r="U330" s="16">
        <v>240</v>
      </c>
      <c r="V330" s="18">
        <v>1</v>
      </c>
      <c r="W330" s="16">
        <v>1250</v>
      </c>
      <c r="X330" s="16">
        <v>547.11360000000002</v>
      </c>
      <c r="Y330" s="16">
        <v>400</v>
      </c>
      <c r="Z330" s="16">
        <v>40</v>
      </c>
      <c r="AA330" s="18">
        <v>1</v>
      </c>
      <c r="AB330" s="19" t="s">
        <v>89</v>
      </c>
      <c r="AC330" s="17" t="s">
        <v>90</v>
      </c>
      <c r="AD330" s="17">
        <v>160</v>
      </c>
      <c r="AF330" s="17">
        <v>66</v>
      </c>
      <c r="AG330" s="17">
        <v>2016</v>
      </c>
      <c r="AH330" s="17" t="s">
        <v>91</v>
      </c>
      <c r="AJ330" s="24" t="s">
        <v>1350</v>
      </c>
      <c r="AL330" s="19" t="s">
        <v>94</v>
      </c>
      <c r="AM330" s="19" t="s">
        <v>89</v>
      </c>
      <c r="AN330" s="23">
        <v>1</v>
      </c>
      <c r="AO330">
        <f t="shared" si="32"/>
        <v>3</v>
      </c>
      <c r="AP330">
        <f t="shared" si="33"/>
        <v>64.69</v>
      </c>
      <c r="AR330">
        <f t="shared" si="34"/>
        <v>73.599999999999994</v>
      </c>
    </row>
    <row r="331" spans="1:44">
      <c r="A331" t="s">
        <v>1351</v>
      </c>
      <c r="B331">
        <v>329</v>
      </c>
      <c r="C331" s="16" t="s">
        <v>1352</v>
      </c>
      <c r="D331" s="16" t="s">
        <v>1352</v>
      </c>
      <c r="E331" s="16" t="s">
        <v>748</v>
      </c>
      <c r="F331" s="16" t="s">
        <v>389</v>
      </c>
      <c r="G331" s="16" t="s">
        <v>390</v>
      </c>
      <c r="H331" s="16" t="s">
        <v>266</v>
      </c>
      <c r="I331" s="16" t="s">
        <v>1353</v>
      </c>
      <c r="J331" s="16" t="s">
        <v>87</v>
      </c>
      <c r="K331" s="16" t="s">
        <v>268</v>
      </c>
      <c r="L331" s="17">
        <v>16000</v>
      </c>
      <c r="M331" s="17">
        <v>80</v>
      </c>
      <c r="N331" s="17" t="s">
        <v>89</v>
      </c>
      <c r="O331" s="17" t="s">
        <v>89</v>
      </c>
      <c r="P331" s="16">
        <v>36.200000000000003</v>
      </c>
      <c r="Q331" s="16">
        <v>2.7</v>
      </c>
      <c r="R331" s="16">
        <v>2.2999999999999998</v>
      </c>
      <c r="S331" s="16">
        <v>1.5</v>
      </c>
      <c r="T331" s="16">
        <v>35</v>
      </c>
      <c r="U331" s="16">
        <v>210</v>
      </c>
      <c r="V331" s="18">
        <v>1</v>
      </c>
      <c r="W331" s="16">
        <v>1220</v>
      </c>
      <c r="X331" s="16">
        <v>547.11360000000002</v>
      </c>
      <c r="Y331" s="16">
        <v>210</v>
      </c>
      <c r="Z331" s="16">
        <v>80</v>
      </c>
      <c r="AA331" s="18">
        <v>1</v>
      </c>
      <c r="AB331" s="19" t="s">
        <v>89</v>
      </c>
      <c r="AC331" s="17" t="s">
        <v>90</v>
      </c>
      <c r="AD331" s="17">
        <v>160</v>
      </c>
      <c r="AF331" s="17">
        <v>66</v>
      </c>
      <c r="AG331" s="17">
        <v>2016</v>
      </c>
      <c r="AH331" s="17" t="s">
        <v>91</v>
      </c>
      <c r="AL331" s="19" t="s">
        <v>94</v>
      </c>
      <c r="AM331" s="19" t="s">
        <v>89</v>
      </c>
      <c r="AN331" s="23">
        <v>1</v>
      </c>
      <c r="AO331">
        <f t="shared" si="32"/>
        <v>3</v>
      </c>
      <c r="AP331">
        <f t="shared" si="33"/>
        <v>64.69</v>
      </c>
      <c r="AR331">
        <f t="shared" si="34"/>
        <v>68.245901639344268</v>
      </c>
    </row>
    <row r="332" spans="1:44">
      <c r="A332" t="s">
        <v>1354</v>
      </c>
      <c r="B332">
        <v>330</v>
      </c>
      <c r="C332" s="16" t="s">
        <v>1355</v>
      </c>
      <c r="D332" s="16" t="s">
        <v>1356</v>
      </c>
      <c r="E332" s="16" t="s">
        <v>442</v>
      </c>
      <c r="F332" s="16" t="s">
        <v>83</v>
      </c>
      <c r="G332" s="16" t="s">
        <v>84</v>
      </c>
      <c r="H332" s="16" t="s">
        <v>88</v>
      </c>
      <c r="I332" s="16" t="s">
        <v>1357</v>
      </c>
      <c r="J332" s="16" t="s">
        <v>87</v>
      </c>
      <c r="K332" s="16" t="s">
        <v>88</v>
      </c>
      <c r="L332" s="17">
        <v>1500</v>
      </c>
      <c r="M332" s="17">
        <v>80</v>
      </c>
      <c r="N332" s="33">
        <f>R332*P332/(1.25*1.73*0.45)</f>
        <v>355.47334617854852</v>
      </c>
      <c r="O332" s="16">
        <v>165</v>
      </c>
      <c r="P332" s="16">
        <v>94</v>
      </c>
      <c r="Q332" s="16">
        <v>4.1500000000000004</v>
      </c>
      <c r="R332" s="16">
        <v>3.68</v>
      </c>
      <c r="S332" s="16">
        <v>2.7</v>
      </c>
      <c r="T332" s="16">
        <f>1/3*P332</f>
        <v>31.333333333333332</v>
      </c>
      <c r="U332" s="16">
        <v>150</v>
      </c>
      <c r="V332" s="18">
        <v>1</v>
      </c>
      <c r="W332" s="16">
        <v>2100</v>
      </c>
      <c r="X332" s="33">
        <f>12.5*17.3*4.5</f>
        <v>973.125</v>
      </c>
      <c r="Y332" s="16">
        <v>72</v>
      </c>
      <c r="Z332" s="16">
        <f>1/3*P332</f>
        <v>31.333333333333332</v>
      </c>
      <c r="AA332" s="18">
        <v>1</v>
      </c>
      <c r="AB332" s="19" t="s">
        <v>89</v>
      </c>
      <c r="AC332" s="17">
        <v>173</v>
      </c>
      <c r="AD332" s="17">
        <v>45</v>
      </c>
      <c r="AE332" s="17">
        <v>125</v>
      </c>
      <c r="AF332" s="21" t="s">
        <v>90</v>
      </c>
      <c r="AG332" s="17">
        <v>2015</v>
      </c>
      <c r="AH332" s="17" t="s">
        <v>307</v>
      </c>
      <c r="AJ332" s="24" t="s">
        <v>1358</v>
      </c>
      <c r="AK332" s="17" t="s">
        <v>1359</v>
      </c>
      <c r="AL332" s="19" t="s">
        <v>94</v>
      </c>
      <c r="AM332" s="19">
        <f>0.02</f>
        <v>0.02</v>
      </c>
      <c r="AN332" s="19" t="s">
        <v>89</v>
      </c>
      <c r="AO332">
        <f t="shared" si="32"/>
        <v>2</v>
      </c>
      <c r="AP332">
        <f t="shared" si="33"/>
        <v>60.79</v>
      </c>
      <c r="AR332">
        <f t="shared" si="34"/>
        <v>164.72380952380954</v>
      </c>
    </row>
    <row r="333" spans="1:44">
      <c r="A333" t="s">
        <v>1360</v>
      </c>
      <c r="B333">
        <v>331</v>
      </c>
      <c r="C333" s="16" t="s">
        <v>1361</v>
      </c>
      <c r="D333" s="16" t="s">
        <v>1361</v>
      </c>
      <c r="E333" s="16" t="s">
        <v>82</v>
      </c>
      <c r="F333" s="16" t="s">
        <v>83</v>
      </c>
      <c r="G333" s="16" t="s">
        <v>84</v>
      </c>
      <c r="H333" s="16" t="s">
        <v>85</v>
      </c>
      <c r="I333" s="16" t="s">
        <v>1362</v>
      </c>
      <c r="J333" s="16" t="s">
        <v>87</v>
      </c>
      <c r="K333" s="16" t="s">
        <v>88</v>
      </c>
      <c r="L333" s="17">
        <v>3000</v>
      </c>
      <c r="M333" s="17">
        <v>70</v>
      </c>
      <c r="N333" s="16">
        <v>571</v>
      </c>
      <c r="O333" s="16">
        <v>246</v>
      </c>
      <c r="P333" s="16">
        <v>11.6</v>
      </c>
      <c r="Q333" s="16">
        <v>4.2</v>
      </c>
      <c r="R333" s="16">
        <v>3.67</v>
      </c>
      <c r="S333" s="16">
        <v>2.7</v>
      </c>
      <c r="T333" s="16">
        <f>0.1*P333</f>
        <v>1.1599999999999999</v>
      </c>
      <c r="U333" s="16">
        <v>23.2</v>
      </c>
      <c r="V333" s="18">
        <v>1</v>
      </c>
      <c r="W333" s="16">
        <v>175</v>
      </c>
      <c r="Y333" s="16">
        <v>11.6</v>
      </c>
      <c r="Z333" s="16">
        <f>0.1*P333</f>
        <v>1.1599999999999999</v>
      </c>
      <c r="AA333" s="18">
        <v>1</v>
      </c>
      <c r="AB333" s="19" t="s">
        <v>89</v>
      </c>
      <c r="AC333" s="17">
        <v>185</v>
      </c>
      <c r="AD333" s="17">
        <v>6.6</v>
      </c>
      <c r="AE333" s="17">
        <v>84</v>
      </c>
      <c r="AF333" s="21" t="s">
        <v>90</v>
      </c>
      <c r="AG333" s="17">
        <v>2020</v>
      </c>
      <c r="AH333" s="17" t="s">
        <v>91</v>
      </c>
      <c r="AJ333" s="22" t="s">
        <v>1363</v>
      </c>
      <c r="AK333" s="16"/>
      <c r="AL333" s="19" t="s">
        <v>94</v>
      </c>
      <c r="AM333" s="19" t="s">
        <v>89</v>
      </c>
      <c r="AN333" s="19" t="s">
        <v>89</v>
      </c>
      <c r="AO333">
        <f t="shared" si="32"/>
        <v>1</v>
      </c>
      <c r="AP333">
        <f t="shared" si="33"/>
        <v>60.25</v>
      </c>
      <c r="AR333">
        <f t="shared" si="34"/>
        <v>243.26857142857142</v>
      </c>
    </row>
    <row r="334" spans="1:44">
      <c r="A334" t="s">
        <v>1364</v>
      </c>
      <c r="B334">
        <v>332</v>
      </c>
      <c r="C334" s="16" t="s">
        <v>1365</v>
      </c>
      <c r="D334" s="16" t="s">
        <v>1365</v>
      </c>
      <c r="E334" s="16" t="s">
        <v>82</v>
      </c>
      <c r="F334" s="16" t="s">
        <v>83</v>
      </c>
      <c r="G334" s="16" t="s">
        <v>84</v>
      </c>
      <c r="H334" s="16" t="s">
        <v>85</v>
      </c>
      <c r="I334" s="16" t="s">
        <v>232</v>
      </c>
      <c r="J334" s="16" t="s">
        <v>87</v>
      </c>
      <c r="K334" s="16" t="s">
        <v>88</v>
      </c>
      <c r="L334" s="17">
        <v>6000</v>
      </c>
      <c r="M334" s="17">
        <v>70</v>
      </c>
      <c r="N334" s="16">
        <v>418</v>
      </c>
      <c r="O334" s="16">
        <v>182</v>
      </c>
      <c r="P334" s="16">
        <v>53</v>
      </c>
      <c r="Q334" s="16">
        <v>4.2</v>
      </c>
      <c r="R334" s="16">
        <v>3.7</v>
      </c>
      <c r="S334" s="16">
        <v>2.7</v>
      </c>
      <c r="T334" s="16">
        <f>0.2*P334</f>
        <v>10.600000000000001</v>
      </c>
      <c r="U334" s="16">
        <f>5*P334</f>
        <v>265</v>
      </c>
      <c r="V334" s="18">
        <v>1</v>
      </c>
      <c r="W334" s="16">
        <v>1095</v>
      </c>
      <c r="Y334" s="16">
        <f>2*P334</f>
        <v>106</v>
      </c>
      <c r="Z334" s="16">
        <f>0.2*P334</f>
        <v>10.600000000000001</v>
      </c>
      <c r="AA334" s="18">
        <v>1</v>
      </c>
      <c r="AB334" s="19" t="s">
        <v>89</v>
      </c>
      <c r="AC334" s="17">
        <v>227</v>
      </c>
      <c r="AD334" s="17">
        <v>12</v>
      </c>
      <c r="AE334" s="17">
        <v>226</v>
      </c>
      <c r="AF334" s="21" t="s">
        <v>90</v>
      </c>
      <c r="AG334" s="17">
        <v>2020</v>
      </c>
      <c r="AH334" s="17" t="s">
        <v>91</v>
      </c>
      <c r="AJ334" s="24" t="s">
        <v>98</v>
      </c>
      <c r="AL334" s="19" t="s">
        <v>94</v>
      </c>
      <c r="AM334" s="19" t="s">
        <v>89</v>
      </c>
      <c r="AN334" s="19" t="s">
        <v>89</v>
      </c>
      <c r="AO334">
        <f t="shared" si="32"/>
        <v>1</v>
      </c>
      <c r="AP334">
        <f t="shared" si="33"/>
        <v>60.25</v>
      </c>
      <c r="AR334">
        <f t="shared" si="34"/>
        <v>179.0867579908676</v>
      </c>
    </row>
    <row r="335" spans="1:44">
      <c r="A335" t="s">
        <v>1366</v>
      </c>
      <c r="B335">
        <v>333</v>
      </c>
      <c r="C335" s="16" t="s">
        <v>1367</v>
      </c>
      <c r="D335" s="16" t="s">
        <v>1367</v>
      </c>
      <c r="E335" s="16" t="s">
        <v>442</v>
      </c>
      <c r="F335" s="16" t="s">
        <v>83</v>
      </c>
      <c r="G335" s="16" t="s">
        <v>425</v>
      </c>
      <c r="H335" s="16" t="s">
        <v>266</v>
      </c>
      <c r="I335" s="16" t="s">
        <v>1368</v>
      </c>
      <c r="J335" s="16" t="s">
        <v>87</v>
      </c>
      <c r="K335" s="16" t="s">
        <v>268</v>
      </c>
      <c r="L335" s="17">
        <v>500</v>
      </c>
      <c r="M335" s="17">
        <v>80</v>
      </c>
      <c r="N335" s="34">
        <f>4.9*3.6/(0.25*PI()*0.225^2*0.78)</f>
        <v>568.78621257684756</v>
      </c>
      <c r="O335" s="34">
        <f>4.9*3.6/0.069</f>
        <v>255.65217391304347</v>
      </c>
      <c r="P335" s="16">
        <v>4.9000000000000004</v>
      </c>
      <c r="Q335" s="16">
        <v>4.2</v>
      </c>
      <c r="R335" s="16">
        <v>3.6</v>
      </c>
      <c r="S335" s="16">
        <v>2.5</v>
      </c>
      <c r="U335" s="16">
        <v>9.8000000000000007</v>
      </c>
      <c r="V335" s="18">
        <v>1</v>
      </c>
      <c r="W335" s="16">
        <v>69</v>
      </c>
      <c r="X335" s="33">
        <f>0.25*PI()*2.25^2*7.08</f>
        <v>28.15063367157304</v>
      </c>
      <c r="Y335" s="16">
        <v>4.9000000000000004</v>
      </c>
      <c r="Z335" s="16">
        <v>2.4500000000000002</v>
      </c>
      <c r="AA335" s="18">
        <v>0.5</v>
      </c>
      <c r="AB335" s="19" t="s">
        <v>89</v>
      </c>
      <c r="AC335" s="17" t="s">
        <v>90</v>
      </c>
      <c r="AD335" s="17">
        <v>70.8</v>
      </c>
      <c r="AF335" s="17">
        <v>21.25</v>
      </c>
      <c r="AG335" s="17">
        <v>2017</v>
      </c>
      <c r="AH335" s="17" t="s">
        <v>91</v>
      </c>
      <c r="AJ335" s="24" t="s">
        <v>1369</v>
      </c>
      <c r="AL335" s="19" t="s">
        <v>94</v>
      </c>
      <c r="AM335" s="19" t="s">
        <v>89</v>
      </c>
      <c r="AN335" s="19" t="s">
        <v>89</v>
      </c>
      <c r="AO335">
        <f t="shared" si="32"/>
        <v>3</v>
      </c>
      <c r="AP335">
        <f t="shared" si="33"/>
        <v>64.69</v>
      </c>
      <c r="AR335">
        <f t="shared" si="34"/>
        <v>255.65217391304347</v>
      </c>
    </row>
    <row r="336" spans="1:44">
      <c r="A336" t="s">
        <v>569</v>
      </c>
      <c r="B336">
        <v>334</v>
      </c>
      <c r="C336" s="16" t="s">
        <v>570</v>
      </c>
      <c r="D336" s="16" t="s">
        <v>570</v>
      </c>
      <c r="E336" s="16" t="s">
        <v>571</v>
      </c>
      <c r="F336" s="16" t="s">
        <v>83</v>
      </c>
      <c r="H336" s="16" t="s">
        <v>85</v>
      </c>
      <c r="I336" s="16" t="s">
        <v>572</v>
      </c>
      <c r="J336" s="16" t="s">
        <v>87</v>
      </c>
      <c r="K336" s="16" t="s">
        <v>88</v>
      </c>
      <c r="L336" s="17">
        <v>1000</v>
      </c>
      <c r="M336" s="17">
        <v>80</v>
      </c>
      <c r="N336" s="16">
        <v>607</v>
      </c>
      <c r="O336" s="16">
        <v>257</v>
      </c>
      <c r="P336" s="16">
        <v>60</v>
      </c>
      <c r="Q336" s="16">
        <v>4.3499999999999996</v>
      </c>
      <c r="R336" s="16">
        <v>3.63</v>
      </c>
      <c r="S336" s="16">
        <v>2.75</v>
      </c>
      <c r="T336" s="16">
        <v>30</v>
      </c>
      <c r="U336" s="16">
        <v>120</v>
      </c>
      <c r="V336" s="18">
        <v>1</v>
      </c>
      <c r="W336" s="16">
        <v>899.3</v>
      </c>
      <c r="Y336" s="16">
        <v>60</v>
      </c>
      <c r="Z336" s="16">
        <f>0.5*P336</f>
        <v>30</v>
      </c>
      <c r="AA336" s="18">
        <v>1</v>
      </c>
      <c r="AB336" s="19" t="s">
        <v>89</v>
      </c>
      <c r="AC336" s="17">
        <v>300.5</v>
      </c>
      <c r="AD336" s="17">
        <v>15</v>
      </c>
      <c r="AE336" s="17">
        <v>98</v>
      </c>
      <c r="AF336" s="21" t="s">
        <v>90</v>
      </c>
      <c r="AG336" s="17">
        <v>2019</v>
      </c>
      <c r="AI336" s="17" t="s">
        <v>91</v>
      </c>
      <c r="AL336" s="19" t="s">
        <v>94</v>
      </c>
      <c r="AM336" s="19" t="s">
        <v>89</v>
      </c>
      <c r="AN336" s="19" t="s">
        <v>89</v>
      </c>
      <c r="AO336">
        <f t="shared" si="32"/>
        <v>1</v>
      </c>
      <c r="AP336">
        <f t="shared" si="33"/>
        <v>60.25</v>
      </c>
      <c r="AR336">
        <f>(Y336*R336)/(W336/1000)</f>
        <v>242.18836873123539</v>
      </c>
    </row>
    <row r="337" spans="1:44">
      <c r="A337" t="s">
        <v>1370</v>
      </c>
      <c r="B337">
        <v>335</v>
      </c>
      <c r="C337" s="35" t="s">
        <v>1371</v>
      </c>
      <c r="D337" s="35" t="s">
        <v>1371</v>
      </c>
      <c r="E337" s="35" t="s">
        <v>412</v>
      </c>
      <c r="F337" s="35" t="s">
        <v>83</v>
      </c>
      <c r="G337" s="35" t="s">
        <v>84</v>
      </c>
      <c r="H337" s="35" t="s">
        <v>85</v>
      </c>
      <c r="I337" s="35" t="s">
        <v>1372</v>
      </c>
      <c r="J337" s="35" t="s">
        <v>87</v>
      </c>
      <c r="K337" s="35" t="s">
        <v>88</v>
      </c>
      <c r="L337" s="36">
        <v>2000</v>
      </c>
      <c r="M337" s="36">
        <v>80</v>
      </c>
      <c r="N337" s="35">
        <v>685</v>
      </c>
      <c r="O337" s="35">
        <v>273</v>
      </c>
      <c r="P337" s="35">
        <v>80.45</v>
      </c>
      <c r="Q337" s="35">
        <v>4.2</v>
      </c>
      <c r="R337" s="35">
        <v>3.7</v>
      </c>
      <c r="S337" s="35">
        <v>2.5</v>
      </c>
      <c r="T337" s="35"/>
      <c r="U337" s="35"/>
      <c r="V337" s="18">
        <v>1</v>
      </c>
      <c r="W337" s="35">
        <v>1.101</v>
      </c>
      <c r="X337" s="35">
        <v>0.438</v>
      </c>
      <c r="Y337" s="35">
        <v>125</v>
      </c>
      <c r="Z337" s="35"/>
      <c r="AA337" s="18">
        <v>1</v>
      </c>
      <c r="AB337" s="18" t="s">
        <v>89</v>
      </c>
      <c r="AC337" s="36">
        <v>515</v>
      </c>
      <c r="AD337" s="36">
        <v>8.6999999999999993</v>
      </c>
      <c r="AE337" s="36">
        <v>98</v>
      </c>
      <c r="AF337" s="37" t="s">
        <v>90</v>
      </c>
      <c r="AG337" s="36">
        <v>2020</v>
      </c>
      <c r="AH337" s="36"/>
      <c r="AI337" s="36" t="s">
        <v>91</v>
      </c>
      <c r="AJ337" s="38" t="s">
        <v>1373</v>
      </c>
      <c r="AK337" s="36"/>
      <c r="AL337" s="18" t="s">
        <v>94</v>
      </c>
      <c r="AM337" s="18" t="s">
        <v>89</v>
      </c>
      <c r="AN337" s="18" t="s">
        <v>89</v>
      </c>
      <c r="AO337" s="39">
        <f t="shared" si="32"/>
        <v>1</v>
      </c>
      <c r="AP337">
        <f t="shared" si="33"/>
        <v>60.25</v>
      </c>
      <c r="AR337">
        <f>P337*R337/(W337/1000)</f>
        <v>270358.76475930976</v>
      </c>
    </row>
    <row r="338" spans="1:44">
      <c r="A338" t="s">
        <v>1374</v>
      </c>
      <c r="B338">
        <v>336</v>
      </c>
      <c r="C338" s="35" t="s">
        <v>1375</v>
      </c>
      <c r="D338" s="35" t="s">
        <v>1375</v>
      </c>
      <c r="E338" s="35" t="s">
        <v>1376</v>
      </c>
      <c r="F338" s="35" t="s">
        <v>129</v>
      </c>
      <c r="G338" s="35" t="s">
        <v>130</v>
      </c>
      <c r="H338" s="35" t="s">
        <v>266</v>
      </c>
      <c r="I338" s="35" t="s">
        <v>1377</v>
      </c>
      <c r="J338" s="35" t="s">
        <v>87</v>
      </c>
      <c r="K338" s="35" t="s">
        <v>268</v>
      </c>
      <c r="L338" s="36" t="s">
        <v>89</v>
      </c>
      <c r="M338" s="36" t="s">
        <v>89</v>
      </c>
      <c r="N338" s="36" t="s">
        <v>89</v>
      </c>
      <c r="O338" s="36" t="s">
        <v>89</v>
      </c>
      <c r="P338" s="35">
        <v>50</v>
      </c>
      <c r="Q338" s="35">
        <v>3.65</v>
      </c>
      <c r="R338" s="35">
        <v>3.2</v>
      </c>
      <c r="S338" s="35">
        <v>2.5</v>
      </c>
      <c r="T338" s="35">
        <f>0.2*P338</f>
        <v>10</v>
      </c>
      <c r="U338" s="35"/>
      <c r="V338" s="18" t="s">
        <v>89</v>
      </c>
      <c r="W338" s="35">
        <v>1550</v>
      </c>
      <c r="X338" s="35"/>
      <c r="Y338" s="35"/>
      <c r="Z338" s="35">
        <f>0.2*P338</f>
        <v>10</v>
      </c>
      <c r="AA338" s="18" t="s">
        <v>89</v>
      </c>
      <c r="AB338" s="18" t="s">
        <v>89</v>
      </c>
      <c r="AC338" s="36" t="s">
        <v>90</v>
      </c>
      <c r="AD338" s="36">
        <v>380</v>
      </c>
      <c r="AE338" s="36"/>
      <c r="AF338" s="36">
        <v>55</v>
      </c>
      <c r="AG338" s="36"/>
      <c r="AH338" s="36"/>
      <c r="AI338" s="36" t="s">
        <v>91</v>
      </c>
      <c r="AJ338" s="38" t="s">
        <v>248</v>
      </c>
      <c r="AK338" s="36"/>
      <c r="AL338" s="18" t="s">
        <v>94</v>
      </c>
      <c r="AM338" s="18">
        <v>0.05</v>
      </c>
      <c r="AN338" s="18" t="s">
        <v>89</v>
      </c>
      <c r="AO338" s="39">
        <f t="shared" si="32"/>
        <v>3</v>
      </c>
      <c r="AP338">
        <f t="shared" si="33"/>
        <v>64.69</v>
      </c>
    </row>
    <row r="339" spans="1:44">
      <c r="A339" t="s">
        <v>1378</v>
      </c>
      <c r="B339">
        <v>337</v>
      </c>
      <c r="C339" s="35" t="s">
        <v>1379</v>
      </c>
      <c r="D339" s="35" t="s">
        <v>1379</v>
      </c>
      <c r="E339" s="35" t="s">
        <v>556</v>
      </c>
      <c r="F339" s="35"/>
      <c r="G339" s="35"/>
      <c r="H339" s="35" t="s">
        <v>85</v>
      </c>
      <c r="I339" s="35" t="s">
        <v>1380</v>
      </c>
      <c r="J339" s="35" t="s">
        <v>87</v>
      </c>
      <c r="K339" s="35" t="s">
        <v>88</v>
      </c>
      <c r="L339" s="36">
        <v>300</v>
      </c>
      <c r="M339" s="36">
        <v>80</v>
      </c>
      <c r="N339" s="36" t="s">
        <v>89</v>
      </c>
      <c r="O339" s="36" t="s">
        <v>89</v>
      </c>
      <c r="P339" s="35">
        <v>3.5</v>
      </c>
      <c r="Q339" s="35">
        <v>4.2</v>
      </c>
      <c r="R339" s="35">
        <v>3.7</v>
      </c>
      <c r="S339" s="35">
        <v>2.75</v>
      </c>
      <c r="T339" s="35">
        <v>0.7</v>
      </c>
      <c r="U339" s="35"/>
      <c r="V339" s="18">
        <v>0.2</v>
      </c>
      <c r="W339" s="35">
        <v>71</v>
      </c>
      <c r="X339" s="35">
        <v>38.744999999999997</v>
      </c>
      <c r="Y339" s="35">
        <v>1.75</v>
      </c>
      <c r="Z339" s="35">
        <v>0.72</v>
      </c>
      <c r="AA339" s="18">
        <v>0.2</v>
      </c>
      <c r="AB339" s="18" t="s">
        <v>89</v>
      </c>
      <c r="AC339" s="36">
        <v>136</v>
      </c>
      <c r="AD339" s="36">
        <v>8.1999999999999993</v>
      </c>
      <c r="AE339" s="36">
        <v>35.5</v>
      </c>
      <c r="AF339" s="37" t="s">
        <v>90</v>
      </c>
      <c r="AG339" s="36">
        <v>2008</v>
      </c>
      <c r="AH339" s="36" t="s">
        <v>91</v>
      </c>
      <c r="AI339" s="36"/>
      <c r="AJ339" s="38" t="s">
        <v>1381</v>
      </c>
      <c r="AK339" s="36"/>
      <c r="AL339" s="18" t="s">
        <v>94</v>
      </c>
      <c r="AM339" s="18">
        <v>0.05</v>
      </c>
      <c r="AN339" s="18" t="s">
        <v>89</v>
      </c>
      <c r="AO339" s="39">
        <f t="shared" si="32"/>
        <v>1</v>
      </c>
      <c r="AP339">
        <f t="shared" si="33"/>
        <v>60.25</v>
      </c>
    </row>
    <row r="340" spans="1:44">
      <c r="A340" t="s">
        <v>1382</v>
      </c>
      <c r="B340">
        <v>338</v>
      </c>
      <c r="C340" s="35" t="s">
        <v>1383</v>
      </c>
      <c r="D340" s="35" t="s">
        <v>1383</v>
      </c>
      <c r="E340" s="35" t="s">
        <v>869</v>
      </c>
      <c r="F340" s="35"/>
      <c r="G340" s="35"/>
      <c r="H340" s="35" t="s">
        <v>85</v>
      </c>
      <c r="I340" s="35" t="s">
        <v>1384</v>
      </c>
      <c r="J340" s="35" t="s">
        <v>87</v>
      </c>
      <c r="K340" s="35" t="s">
        <v>88</v>
      </c>
      <c r="L340" s="36">
        <v>500</v>
      </c>
      <c r="M340" s="36">
        <v>80</v>
      </c>
      <c r="N340" s="36" t="s">
        <v>89</v>
      </c>
      <c r="O340" s="36" t="s">
        <v>89</v>
      </c>
      <c r="P340" s="35">
        <v>4.53</v>
      </c>
      <c r="Q340" s="35">
        <v>4.2</v>
      </c>
      <c r="R340" s="35">
        <v>3.7</v>
      </c>
      <c r="S340" s="35">
        <v>3</v>
      </c>
      <c r="T340" s="35">
        <v>0.90600000000000003</v>
      </c>
      <c r="U340" s="35"/>
      <c r="V340" s="18">
        <v>0.5</v>
      </c>
      <c r="W340" s="35">
        <v>106</v>
      </c>
      <c r="X340" s="35">
        <v>50.752000000000002</v>
      </c>
      <c r="Y340" s="35">
        <v>4.53</v>
      </c>
      <c r="Z340" s="35">
        <v>2.2599999999999998</v>
      </c>
      <c r="AA340" s="18">
        <v>0.5</v>
      </c>
      <c r="AB340" s="18" t="s">
        <v>89</v>
      </c>
      <c r="AC340" s="36">
        <v>122</v>
      </c>
      <c r="AD340" s="36">
        <v>5.2</v>
      </c>
      <c r="AE340" s="36">
        <v>80</v>
      </c>
      <c r="AF340" s="37" t="s">
        <v>90</v>
      </c>
      <c r="AG340" s="36">
        <v>2008</v>
      </c>
      <c r="AH340" s="36"/>
      <c r="AI340" s="36" t="s">
        <v>91</v>
      </c>
      <c r="AJ340" s="38" t="s">
        <v>871</v>
      </c>
      <c r="AK340" s="36"/>
      <c r="AL340" s="18" t="s">
        <v>94</v>
      </c>
      <c r="AM340" s="18" t="s">
        <v>89</v>
      </c>
      <c r="AN340" s="18" t="s">
        <v>89</v>
      </c>
      <c r="AO340" s="39">
        <f t="shared" si="32"/>
        <v>1</v>
      </c>
      <c r="AP340">
        <f t="shared" si="33"/>
        <v>60.25</v>
      </c>
    </row>
    <row r="341" spans="1:44">
      <c r="A341" t="s">
        <v>1385</v>
      </c>
      <c r="B341">
        <v>339</v>
      </c>
      <c r="C341" s="35" t="s">
        <v>1386</v>
      </c>
      <c r="D341" s="35" t="s">
        <v>1386</v>
      </c>
      <c r="E341" s="35" t="s">
        <v>548</v>
      </c>
      <c r="F341" s="35" t="s">
        <v>83</v>
      </c>
      <c r="G341" s="35" t="s">
        <v>84</v>
      </c>
      <c r="H341" s="35" t="s">
        <v>85</v>
      </c>
      <c r="I341" s="35" t="s">
        <v>1387</v>
      </c>
      <c r="J341" s="35" t="s">
        <v>87</v>
      </c>
      <c r="K341" s="35" t="s">
        <v>88</v>
      </c>
      <c r="L341" s="36">
        <v>450</v>
      </c>
      <c r="M341" s="36">
        <v>80</v>
      </c>
      <c r="N341" s="35">
        <v>840</v>
      </c>
      <c r="O341" s="35">
        <v>350</v>
      </c>
      <c r="P341" s="35">
        <v>10.6</v>
      </c>
      <c r="Q341" s="35">
        <v>4.47</v>
      </c>
      <c r="R341" s="35">
        <v>3.65</v>
      </c>
      <c r="S341" s="35">
        <v>2.5</v>
      </c>
      <c r="T341" s="35">
        <v>2.12</v>
      </c>
      <c r="U341" s="35"/>
      <c r="V341" s="18" t="s">
        <v>89</v>
      </c>
      <c r="W341" s="35">
        <v>111</v>
      </c>
      <c r="X341" s="35">
        <v>46.4</v>
      </c>
      <c r="Y341" s="35"/>
      <c r="Z341" s="35">
        <v>2.12</v>
      </c>
      <c r="AA341" s="18" t="s">
        <v>89</v>
      </c>
      <c r="AB341" s="40" t="s">
        <v>89</v>
      </c>
      <c r="AC341" s="36">
        <v>145</v>
      </c>
      <c r="AD341" s="36">
        <v>5</v>
      </c>
      <c r="AE341" s="36">
        <v>64</v>
      </c>
      <c r="AF341" s="37" t="s">
        <v>90</v>
      </c>
      <c r="AG341" s="36">
        <v>2015</v>
      </c>
      <c r="AH341" s="36" t="s">
        <v>91</v>
      </c>
      <c r="AI341" s="36"/>
      <c r="AJ341" s="38" t="s">
        <v>98</v>
      </c>
      <c r="AK341" s="36"/>
      <c r="AL341" s="18" t="s">
        <v>94</v>
      </c>
      <c r="AM341" s="18" t="s">
        <v>89</v>
      </c>
      <c r="AN341" s="18" t="s">
        <v>89</v>
      </c>
      <c r="AO341" s="39">
        <f t="shared" si="32"/>
        <v>1</v>
      </c>
      <c r="AP341">
        <f t="shared" si="33"/>
        <v>60.25</v>
      </c>
    </row>
    <row r="342" spans="1:44">
      <c r="A342" t="s">
        <v>1388</v>
      </c>
      <c r="B342">
        <v>340</v>
      </c>
      <c r="C342" s="35" t="s">
        <v>1389</v>
      </c>
      <c r="D342" s="35" t="s">
        <v>1389</v>
      </c>
      <c r="E342" s="35" t="s">
        <v>1390</v>
      </c>
      <c r="F342" s="35" t="s">
        <v>389</v>
      </c>
      <c r="G342" s="35" t="s">
        <v>390</v>
      </c>
      <c r="H342" s="35" t="s">
        <v>85</v>
      </c>
      <c r="I342" s="35" t="s">
        <v>1391</v>
      </c>
      <c r="J342" s="35" t="s">
        <v>87</v>
      </c>
      <c r="K342" s="35" t="s">
        <v>88</v>
      </c>
      <c r="L342" s="36">
        <v>30000</v>
      </c>
      <c r="M342" s="36">
        <v>80</v>
      </c>
      <c r="N342" s="36" t="s">
        <v>89</v>
      </c>
      <c r="O342" s="36" t="s">
        <v>89</v>
      </c>
      <c r="P342" s="35">
        <v>28</v>
      </c>
      <c r="Q342" s="35">
        <v>2.8</v>
      </c>
      <c r="R342" s="35">
        <v>2.4</v>
      </c>
      <c r="S342" s="35">
        <v>1.6</v>
      </c>
      <c r="T342" s="35">
        <f>1*P342</f>
        <v>28</v>
      </c>
      <c r="U342" s="35">
        <f>15*P342</f>
        <v>420</v>
      </c>
      <c r="V342" s="18" t="s">
        <v>89</v>
      </c>
      <c r="W342" s="35"/>
      <c r="X342" s="35"/>
      <c r="Y342" s="35">
        <f>6*P342</f>
        <v>168</v>
      </c>
      <c r="Z342" s="35">
        <f>1*P342</f>
        <v>28</v>
      </c>
      <c r="AA342" s="18" t="s">
        <v>89</v>
      </c>
      <c r="AB342" s="18" t="s">
        <v>89</v>
      </c>
      <c r="AC342" s="36">
        <v>225</v>
      </c>
      <c r="AD342" s="36">
        <v>8</v>
      </c>
      <c r="AE342" s="36">
        <v>198</v>
      </c>
      <c r="AF342" s="37" t="s">
        <v>90</v>
      </c>
      <c r="AG342" s="36"/>
      <c r="AH342" s="36"/>
      <c r="AI342" s="36" t="s">
        <v>91</v>
      </c>
      <c r="AJ342" s="38" t="s">
        <v>248</v>
      </c>
      <c r="AK342" s="36"/>
      <c r="AL342" s="18" t="s">
        <v>94</v>
      </c>
      <c r="AM342" s="18" t="s">
        <v>89</v>
      </c>
      <c r="AN342" s="18" t="s">
        <v>89</v>
      </c>
      <c r="AO342" s="39">
        <f t="shared" si="32"/>
        <v>1</v>
      </c>
      <c r="AP342">
        <f t="shared" si="33"/>
        <v>60.25</v>
      </c>
    </row>
    <row r="343" spans="1:44">
      <c r="A343" t="s">
        <v>1392</v>
      </c>
      <c r="B343">
        <v>341</v>
      </c>
      <c r="C343" s="35" t="s">
        <v>1393</v>
      </c>
      <c r="D343" s="35" t="s">
        <v>1393</v>
      </c>
      <c r="E343" s="35" t="s">
        <v>82</v>
      </c>
      <c r="F343" s="35" t="s">
        <v>83</v>
      </c>
      <c r="G343" s="35" t="s">
        <v>84</v>
      </c>
      <c r="H343" s="35" t="s">
        <v>85</v>
      </c>
      <c r="I343" s="35" t="s">
        <v>1394</v>
      </c>
      <c r="J343" s="35" t="s">
        <v>87</v>
      </c>
      <c r="K343" s="35" t="s">
        <v>88</v>
      </c>
      <c r="L343" s="36">
        <v>6000</v>
      </c>
      <c r="M343" s="36">
        <v>70</v>
      </c>
      <c r="N343" s="36" t="s">
        <v>89</v>
      </c>
      <c r="O343" s="35">
        <v>181</v>
      </c>
      <c r="P343" s="35">
        <v>85</v>
      </c>
      <c r="Q343" s="35">
        <v>4.2</v>
      </c>
      <c r="R343" s="35">
        <v>3.7</v>
      </c>
      <c r="S343" s="35">
        <v>2.7</v>
      </c>
      <c r="T343" s="35">
        <f>P343*0.2</f>
        <v>17</v>
      </c>
      <c r="U343" s="35">
        <f>8*P343</f>
        <v>680</v>
      </c>
      <c r="V343" s="18">
        <v>1</v>
      </c>
      <c r="W343" s="35">
        <v>1735</v>
      </c>
      <c r="X343" s="35"/>
      <c r="Y343" s="35" t="s">
        <v>1395</v>
      </c>
      <c r="Z343" s="35">
        <f>P343*0.2</f>
        <v>17</v>
      </c>
      <c r="AA343" s="18">
        <v>1</v>
      </c>
      <c r="AB343" s="18" t="s">
        <v>89</v>
      </c>
      <c r="AC343" s="36">
        <v>265</v>
      </c>
      <c r="AD343" s="36">
        <v>12.6</v>
      </c>
      <c r="AE343" s="36">
        <v>268</v>
      </c>
      <c r="AF343" s="37" t="s">
        <v>90</v>
      </c>
      <c r="AG343" s="36">
        <v>2020</v>
      </c>
      <c r="AH343" s="36" t="s">
        <v>91</v>
      </c>
      <c r="AI343" s="36" t="s">
        <v>91</v>
      </c>
      <c r="AJ343" s="38" t="s">
        <v>98</v>
      </c>
      <c r="AK343" s="36"/>
      <c r="AL343" s="18" t="s">
        <v>94</v>
      </c>
      <c r="AM343" s="18" t="s">
        <v>89</v>
      </c>
      <c r="AN343" s="41">
        <v>0.9</v>
      </c>
      <c r="AO343" s="39">
        <f t="shared" si="32"/>
        <v>1</v>
      </c>
      <c r="AP343">
        <f t="shared" si="33"/>
        <v>60.25</v>
      </c>
    </row>
    <row r="344" spans="1:44" s="39" customFormat="1">
      <c r="A344" t="s">
        <v>1396</v>
      </c>
      <c r="B344">
        <v>342</v>
      </c>
      <c r="C344" s="35" t="s">
        <v>1397</v>
      </c>
      <c r="D344" s="35" t="s">
        <v>1397</v>
      </c>
      <c r="E344" s="35" t="s">
        <v>459</v>
      </c>
      <c r="F344" s="35" t="s">
        <v>83</v>
      </c>
      <c r="G344" s="35" t="s">
        <v>425</v>
      </c>
      <c r="H344" s="35" t="s">
        <v>88</v>
      </c>
      <c r="I344" s="35" t="s">
        <v>1398</v>
      </c>
      <c r="J344" s="35" t="s">
        <v>87</v>
      </c>
      <c r="K344" s="35" t="s">
        <v>88</v>
      </c>
      <c r="L344" s="36">
        <v>2000</v>
      </c>
      <c r="M344" s="36">
        <v>80</v>
      </c>
      <c r="N344" s="35">
        <v>285</v>
      </c>
      <c r="O344" s="35">
        <v>114</v>
      </c>
      <c r="P344" s="35">
        <v>12</v>
      </c>
      <c r="Q344" s="35">
        <v>4.0999999999999996</v>
      </c>
      <c r="R344" s="35">
        <v>3.6</v>
      </c>
      <c r="S344" s="35">
        <v>3</v>
      </c>
      <c r="T344" s="35">
        <v>2.4</v>
      </c>
      <c r="U344" s="35">
        <v>96</v>
      </c>
      <c r="V344" s="18">
        <v>0.5</v>
      </c>
      <c r="W344" s="35">
        <v>465</v>
      </c>
      <c r="X344" s="35"/>
      <c r="Y344" s="35"/>
      <c r="Z344" s="35">
        <v>6</v>
      </c>
      <c r="AA344" s="18">
        <v>0.5</v>
      </c>
      <c r="AB344" s="18" t="s">
        <v>89</v>
      </c>
      <c r="AC344" s="36">
        <v>97.9</v>
      </c>
      <c r="AD344" s="36">
        <v>25.3</v>
      </c>
      <c r="AE344" s="36">
        <v>71</v>
      </c>
      <c r="AF344" s="37" t="s">
        <v>90</v>
      </c>
      <c r="AG344" s="36">
        <v>2019</v>
      </c>
      <c r="AH344" s="36" t="s">
        <v>91</v>
      </c>
      <c r="AI344" s="36"/>
      <c r="AJ344" s="36" t="s">
        <v>1399</v>
      </c>
      <c r="AK344" s="36"/>
      <c r="AL344" s="18" t="s">
        <v>94</v>
      </c>
      <c r="AM344" s="18">
        <f t="shared" ref="AM344:AM349" si="35">1/50</f>
        <v>0.02</v>
      </c>
      <c r="AN344" s="41">
        <v>1</v>
      </c>
      <c r="AO344" s="39">
        <f t="shared" si="32"/>
        <v>2</v>
      </c>
      <c r="AP344">
        <f t="shared" si="33"/>
        <v>60.79</v>
      </c>
    </row>
    <row r="345" spans="1:44" s="39" customFormat="1">
      <c r="A345" t="s">
        <v>1400</v>
      </c>
      <c r="B345">
        <v>343</v>
      </c>
      <c r="C345" s="35" t="s">
        <v>1401</v>
      </c>
      <c r="D345" s="35" t="s">
        <v>1401</v>
      </c>
      <c r="E345" s="35" t="s">
        <v>459</v>
      </c>
      <c r="F345" s="35" t="s">
        <v>83</v>
      </c>
      <c r="G345" s="35" t="s">
        <v>425</v>
      </c>
      <c r="H345" s="35" t="s">
        <v>88</v>
      </c>
      <c r="I345" s="35" t="s">
        <v>1402</v>
      </c>
      <c r="J345" s="35" t="s">
        <v>87</v>
      </c>
      <c r="K345" s="35" t="s">
        <v>88</v>
      </c>
      <c r="L345" s="36">
        <v>2000</v>
      </c>
      <c r="M345" s="36">
        <v>80</v>
      </c>
      <c r="N345" s="35">
        <v>393</v>
      </c>
      <c r="O345" s="35">
        <v>160</v>
      </c>
      <c r="P345" s="35">
        <v>60</v>
      </c>
      <c r="Q345" s="35">
        <v>4.0999999999999996</v>
      </c>
      <c r="R345" s="35">
        <v>3.6</v>
      </c>
      <c r="S345" s="35">
        <v>3</v>
      </c>
      <c r="T345" s="35">
        <v>12</v>
      </c>
      <c r="U345" s="35">
        <v>250</v>
      </c>
      <c r="V345" s="18">
        <v>0.5</v>
      </c>
      <c r="W345" s="35">
        <v>1600</v>
      </c>
      <c r="X345" s="35"/>
      <c r="Y345" s="35"/>
      <c r="Z345" s="35">
        <v>12</v>
      </c>
      <c r="AA345" s="18">
        <v>0.5</v>
      </c>
      <c r="AB345" s="18" t="s">
        <v>89</v>
      </c>
      <c r="AC345" s="36">
        <v>141.30000000000001</v>
      </c>
      <c r="AD345" s="36">
        <v>34</v>
      </c>
      <c r="AE345" s="36">
        <v>137.69999999999999</v>
      </c>
      <c r="AF345" s="37" t="s">
        <v>90</v>
      </c>
      <c r="AG345" s="36">
        <v>2019</v>
      </c>
      <c r="AH345" s="36" t="s">
        <v>91</v>
      </c>
      <c r="AI345" s="36"/>
      <c r="AJ345" s="38"/>
      <c r="AK345" s="36"/>
      <c r="AL345" s="18" t="s">
        <v>94</v>
      </c>
      <c r="AM345" s="18">
        <f t="shared" si="35"/>
        <v>0.02</v>
      </c>
      <c r="AN345" s="41">
        <v>1</v>
      </c>
      <c r="AO345" s="39">
        <f t="shared" si="32"/>
        <v>2</v>
      </c>
      <c r="AP345">
        <f t="shared" si="33"/>
        <v>60.79</v>
      </c>
    </row>
    <row r="346" spans="1:44" s="39" customFormat="1">
      <c r="A346" t="s">
        <v>1403</v>
      </c>
      <c r="B346">
        <v>344</v>
      </c>
      <c r="C346" s="35" t="s">
        <v>1404</v>
      </c>
      <c r="D346" s="35" t="s">
        <v>1404</v>
      </c>
      <c r="E346" s="35" t="s">
        <v>459</v>
      </c>
      <c r="F346" s="35" t="s">
        <v>83</v>
      </c>
      <c r="G346" s="35" t="s">
        <v>425</v>
      </c>
      <c r="H346" s="35" t="s">
        <v>88</v>
      </c>
      <c r="I346" s="35" t="s">
        <v>1405</v>
      </c>
      <c r="J346" s="35" t="s">
        <v>87</v>
      </c>
      <c r="K346" s="35" t="s">
        <v>88</v>
      </c>
      <c r="L346" s="36">
        <v>2000</v>
      </c>
      <c r="M346" s="36">
        <v>80</v>
      </c>
      <c r="N346" s="35">
        <v>335</v>
      </c>
      <c r="O346" s="35">
        <v>141</v>
      </c>
      <c r="P346" s="35">
        <v>30</v>
      </c>
      <c r="Q346" s="35">
        <v>4.0999999999999996</v>
      </c>
      <c r="R346" s="35">
        <v>3.6</v>
      </c>
      <c r="S346" s="35">
        <v>3</v>
      </c>
      <c r="T346" s="35">
        <v>6</v>
      </c>
      <c r="U346" s="35">
        <v>150</v>
      </c>
      <c r="V346" s="18">
        <v>0.5</v>
      </c>
      <c r="W346" s="35">
        <v>950</v>
      </c>
      <c r="X346" s="35"/>
      <c r="Y346" s="35"/>
      <c r="Z346" s="35">
        <v>6</v>
      </c>
      <c r="AA346" s="18">
        <v>0.5</v>
      </c>
      <c r="AB346" s="18" t="s">
        <v>89</v>
      </c>
      <c r="AC346" s="36">
        <v>140.5</v>
      </c>
      <c r="AD346" s="36">
        <v>28.1</v>
      </c>
      <c r="AE346" s="36">
        <v>95.7</v>
      </c>
      <c r="AF346" s="37" t="s">
        <v>90</v>
      </c>
      <c r="AG346" s="36">
        <v>2019</v>
      </c>
      <c r="AH346" s="36" t="s">
        <v>91</v>
      </c>
      <c r="AI346" s="36"/>
      <c r="AJ346" s="36" t="s">
        <v>1406</v>
      </c>
      <c r="AK346" s="36"/>
      <c r="AL346" s="18" t="s">
        <v>94</v>
      </c>
      <c r="AM346" s="18">
        <f t="shared" si="35"/>
        <v>0.02</v>
      </c>
      <c r="AN346" s="41">
        <v>1</v>
      </c>
      <c r="AO346" s="39">
        <f t="shared" si="32"/>
        <v>2</v>
      </c>
      <c r="AP346">
        <f t="shared" si="33"/>
        <v>60.79</v>
      </c>
    </row>
    <row r="347" spans="1:44" s="39" customFormat="1">
      <c r="A347" t="s">
        <v>1407</v>
      </c>
      <c r="B347">
        <v>345</v>
      </c>
      <c r="C347" s="35" t="s">
        <v>1408</v>
      </c>
      <c r="D347" s="35" t="s">
        <v>1408</v>
      </c>
      <c r="E347" s="35" t="s">
        <v>459</v>
      </c>
      <c r="F347" s="35" t="s">
        <v>83</v>
      </c>
      <c r="G347" s="35" t="s">
        <v>425</v>
      </c>
      <c r="H347" s="35" t="s">
        <v>88</v>
      </c>
      <c r="I347" s="35" t="s">
        <v>1409</v>
      </c>
      <c r="J347" s="35" t="s">
        <v>87</v>
      </c>
      <c r="K347" s="35" t="s">
        <v>88</v>
      </c>
      <c r="L347" s="36" t="s">
        <v>89</v>
      </c>
      <c r="M347" s="36" t="s">
        <v>89</v>
      </c>
      <c r="N347" s="35">
        <v>263</v>
      </c>
      <c r="O347" s="35">
        <v>105</v>
      </c>
      <c r="P347" s="35">
        <v>6</v>
      </c>
      <c r="Q347" s="35">
        <v>4.0999999999999996</v>
      </c>
      <c r="R347" s="35">
        <v>3.6</v>
      </c>
      <c r="S347" s="35">
        <v>3</v>
      </c>
      <c r="T347" s="35">
        <v>1.2</v>
      </c>
      <c r="U347" s="35">
        <v>24</v>
      </c>
      <c r="V347" s="18" t="s">
        <v>89</v>
      </c>
      <c r="W347" s="35">
        <v>222</v>
      </c>
      <c r="X347" s="35"/>
      <c r="Y347" s="35"/>
      <c r="Z347" s="36"/>
      <c r="AA347" s="18" t="s">
        <v>89</v>
      </c>
      <c r="AB347" s="18" t="s">
        <v>89</v>
      </c>
      <c r="AC347" s="36">
        <v>77.8</v>
      </c>
      <c r="AD347" s="36">
        <v>22.2</v>
      </c>
      <c r="AE347" s="36">
        <v>49.8</v>
      </c>
      <c r="AF347" s="37" t="s">
        <v>90</v>
      </c>
      <c r="AG347" s="36">
        <v>2019</v>
      </c>
      <c r="AH347" s="36" t="s">
        <v>91</v>
      </c>
      <c r="AI347" s="36"/>
      <c r="AJ347" s="38"/>
      <c r="AK347" s="36" t="s">
        <v>1410</v>
      </c>
      <c r="AL347" s="18" t="s">
        <v>94</v>
      </c>
      <c r="AM347" s="18">
        <f t="shared" si="35"/>
        <v>0.02</v>
      </c>
      <c r="AN347" s="41">
        <v>1</v>
      </c>
      <c r="AO347" s="39">
        <f t="shared" si="32"/>
        <v>2</v>
      </c>
      <c r="AP347">
        <f t="shared" si="33"/>
        <v>60.79</v>
      </c>
    </row>
    <row r="348" spans="1:44" s="39" customFormat="1">
      <c r="A348" t="s">
        <v>1411</v>
      </c>
      <c r="B348">
        <v>346</v>
      </c>
      <c r="C348" s="35" t="s">
        <v>1412</v>
      </c>
      <c r="D348" s="35" t="s">
        <v>1412</v>
      </c>
      <c r="E348" s="35" t="s">
        <v>459</v>
      </c>
      <c r="F348" s="35" t="s">
        <v>83</v>
      </c>
      <c r="G348" s="35" t="s">
        <v>425</v>
      </c>
      <c r="H348" s="35" t="s">
        <v>88</v>
      </c>
      <c r="I348" s="35" t="s">
        <v>1413</v>
      </c>
      <c r="J348" s="35" t="s">
        <v>87</v>
      </c>
      <c r="K348" s="35" t="s">
        <v>88</v>
      </c>
      <c r="L348" s="36">
        <v>2000</v>
      </c>
      <c r="M348" s="36">
        <v>80</v>
      </c>
      <c r="N348" s="35">
        <v>378</v>
      </c>
      <c r="O348" s="35">
        <v>153</v>
      </c>
      <c r="P348" s="35">
        <v>43</v>
      </c>
      <c r="Q348" s="35">
        <v>4.0999999999999996</v>
      </c>
      <c r="R348" s="35">
        <v>3.6</v>
      </c>
      <c r="S348" s="35">
        <v>3</v>
      </c>
      <c r="T348" s="35">
        <v>8.6</v>
      </c>
      <c r="U348" s="35">
        <v>200</v>
      </c>
      <c r="V348" s="18">
        <v>0.5</v>
      </c>
      <c r="W348" s="35">
        <v>1270</v>
      </c>
      <c r="X348" s="35"/>
      <c r="Y348" s="35"/>
      <c r="Z348" s="35">
        <v>21.5</v>
      </c>
      <c r="AA348" s="18">
        <v>0.5</v>
      </c>
      <c r="AB348" s="18" t="s">
        <v>89</v>
      </c>
      <c r="AC348" s="36">
        <v>151.69999999999999</v>
      </c>
      <c r="AD348" s="36">
        <v>30.7</v>
      </c>
      <c r="AE348" s="36">
        <v>106.7</v>
      </c>
      <c r="AF348" s="37" t="s">
        <v>90</v>
      </c>
      <c r="AG348" s="36">
        <v>2019</v>
      </c>
      <c r="AH348" s="36" t="s">
        <v>91</v>
      </c>
      <c r="AI348" s="36"/>
      <c r="AJ348" s="36" t="s">
        <v>1414</v>
      </c>
      <c r="AK348" s="36"/>
      <c r="AL348" s="18" t="s">
        <v>94</v>
      </c>
      <c r="AM348" s="18">
        <f t="shared" si="35"/>
        <v>0.02</v>
      </c>
      <c r="AN348" s="41">
        <v>1</v>
      </c>
      <c r="AO348" s="39">
        <f t="shared" si="32"/>
        <v>2</v>
      </c>
      <c r="AP348">
        <f t="shared" si="33"/>
        <v>60.79</v>
      </c>
    </row>
    <row r="349" spans="1:44" s="39" customFormat="1">
      <c r="A349" t="s">
        <v>1415</v>
      </c>
      <c r="B349">
        <v>347</v>
      </c>
      <c r="C349" s="35" t="s">
        <v>1416</v>
      </c>
      <c r="D349" s="35" t="s">
        <v>1416</v>
      </c>
      <c r="E349" s="35" t="s">
        <v>459</v>
      </c>
      <c r="F349" s="35" t="s">
        <v>83</v>
      </c>
      <c r="G349" s="35" t="s">
        <v>425</v>
      </c>
      <c r="H349" s="35" t="s">
        <v>88</v>
      </c>
      <c r="I349" s="35" t="s">
        <v>1417</v>
      </c>
      <c r="J349" s="35" t="s">
        <v>87</v>
      </c>
      <c r="K349" s="35" t="s">
        <v>88</v>
      </c>
      <c r="L349" s="36" t="s">
        <v>89</v>
      </c>
      <c r="M349" s="36" t="s">
        <v>89</v>
      </c>
      <c r="N349" s="35">
        <v>165</v>
      </c>
      <c r="O349" s="35">
        <v>70</v>
      </c>
      <c r="P349" s="35">
        <v>5</v>
      </c>
      <c r="Q349" s="35">
        <v>4.0999999999999996</v>
      </c>
      <c r="R349" s="35">
        <v>3.6</v>
      </c>
      <c r="S349" s="35">
        <v>3</v>
      </c>
      <c r="T349" s="36"/>
      <c r="U349" s="35">
        <v>500</v>
      </c>
      <c r="V349" s="18" t="s">
        <v>89</v>
      </c>
      <c r="W349" s="35">
        <v>275</v>
      </c>
      <c r="X349" s="35"/>
      <c r="Y349" s="35"/>
      <c r="Z349" s="35">
        <v>2.5</v>
      </c>
      <c r="AA349" s="18" t="s">
        <v>89</v>
      </c>
      <c r="AB349" s="18" t="s">
        <v>89</v>
      </c>
      <c r="AC349" s="36">
        <v>143.19999999999999</v>
      </c>
      <c r="AD349" s="36">
        <v>7.4</v>
      </c>
      <c r="AE349" s="36">
        <v>105.9</v>
      </c>
      <c r="AF349" s="37" t="s">
        <v>90</v>
      </c>
      <c r="AG349" s="36">
        <v>2019</v>
      </c>
      <c r="AH349" s="36" t="s">
        <v>91</v>
      </c>
      <c r="AI349" s="36"/>
      <c r="AJ349" s="38"/>
      <c r="AK349" s="36" t="s">
        <v>1418</v>
      </c>
      <c r="AL349" s="18" t="s">
        <v>94</v>
      </c>
      <c r="AM349" s="18">
        <f t="shared" si="35"/>
        <v>0.02</v>
      </c>
      <c r="AN349" s="41">
        <v>1</v>
      </c>
      <c r="AO349" s="39">
        <f t="shared" si="32"/>
        <v>2</v>
      </c>
      <c r="AP349">
        <f t="shared" si="33"/>
        <v>60.79</v>
      </c>
    </row>
    <row r="350" spans="1:44" s="39" customFormat="1">
      <c r="B350">
        <v>348</v>
      </c>
      <c r="AP350">
        <f t="shared" si="33"/>
        <v>0</v>
      </c>
    </row>
    <row r="351" spans="1:44" s="39" customFormat="1">
      <c r="B351">
        <v>349</v>
      </c>
      <c r="AP351">
        <f t="shared" si="33"/>
        <v>0</v>
      </c>
    </row>
    <row r="352" spans="1:44" s="39" customFormat="1">
      <c r="B352">
        <v>350</v>
      </c>
      <c r="AP352">
        <f t="shared" si="33"/>
        <v>0</v>
      </c>
    </row>
    <row r="353" spans="2:42" s="39" customFormat="1">
      <c r="B353">
        <v>351</v>
      </c>
      <c r="AP353">
        <f t="shared" si="33"/>
        <v>0</v>
      </c>
    </row>
    <row r="354" spans="2:42" s="39" customFormat="1">
      <c r="B354">
        <v>352</v>
      </c>
      <c r="AP354">
        <f t="shared" si="33"/>
        <v>0</v>
      </c>
    </row>
    <row r="355" spans="2:42" s="39" customFormat="1">
      <c r="B355">
        <v>353</v>
      </c>
      <c r="AP355">
        <f t="shared" si="33"/>
        <v>0</v>
      </c>
    </row>
    <row r="356" spans="2:42" s="39" customFormat="1">
      <c r="B356">
        <v>354</v>
      </c>
      <c r="AP356">
        <f t="shared" si="33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54A9-DBD5-4B85-8FBF-CAE74A35FFAA}">
  <sheetPr codeName="Sheet18"/>
  <dimension ref="A1:X16"/>
  <sheetViews>
    <sheetView workbookViewId="0">
      <selection sqref="A1:N16"/>
    </sheetView>
  </sheetViews>
  <sheetFormatPr defaultRowHeight="14.4"/>
  <cols>
    <col min="2" max="7" width="9" bestFit="1" customWidth="1"/>
    <col min="8" max="8" width="9.5546875" bestFit="1" customWidth="1"/>
    <col min="9" max="9" width="8.5546875" bestFit="1" customWidth="1"/>
    <col min="10" max="10" width="4" bestFit="1" customWidth="1"/>
    <col min="11" max="11" width="3" bestFit="1" customWidth="1"/>
    <col min="12" max="12" width="8.5546875" bestFit="1" customWidth="1"/>
    <col min="13" max="14" width="3" bestFit="1" customWidth="1"/>
  </cols>
  <sheetData>
    <row r="1" spans="1:24">
      <c r="A1" s="3" t="s">
        <v>35</v>
      </c>
      <c r="B1" s="1" t="s">
        <v>0</v>
      </c>
      <c r="C1" s="1" t="s">
        <v>30</v>
      </c>
      <c r="D1" s="1" t="s">
        <v>29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7</v>
      </c>
      <c r="J1" s="4" t="s">
        <v>36</v>
      </c>
      <c r="K1" s="4" t="s">
        <v>37</v>
      </c>
      <c r="L1" s="1" t="s">
        <v>10</v>
      </c>
      <c r="M1" s="4" t="s">
        <v>36</v>
      </c>
      <c r="N1" s="4" t="s">
        <v>37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>
      <c r="A2">
        <v>1</v>
      </c>
      <c r="B2" s="2">
        <v>590.78069001751476</v>
      </c>
      <c r="C2" s="2">
        <v>7.384758625218935</v>
      </c>
      <c r="D2" s="2">
        <v>56</v>
      </c>
      <c r="E2" s="2">
        <v>1288.7460000000001</v>
      </c>
      <c r="F2" s="2">
        <v>674.73360995850624</v>
      </c>
      <c r="G2" s="2">
        <v>155.18520000000001</v>
      </c>
      <c r="H2" s="2">
        <v>114.1596</v>
      </c>
      <c r="I2">
        <v>111</v>
      </c>
      <c r="J2">
        <v>58</v>
      </c>
      <c r="K2">
        <v>39</v>
      </c>
      <c r="L2">
        <v>161</v>
      </c>
      <c r="M2">
        <v>55</v>
      </c>
      <c r="N2">
        <v>21</v>
      </c>
      <c r="O2">
        <v>1995</v>
      </c>
      <c r="P2">
        <v>0.27</v>
      </c>
      <c r="Q2">
        <v>2.4700000000000002</v>
      </c>
      <c r="R2">
        <v>1.4999999999999999E-2</v>
      </c>
      <c r="S2">
        <v>70</v>
      </c>
      <c r="T2">
        <v>700</v>
      </c>
      <c r="U2">
        <v>475</v>
      </c>
      <c r="V2">
        <v>275</v>
      </c>
      <c r="W2">
        <v>370</v>
      </c>
      <c r="X2">
        <v>155</v>
      </c>
    </row>
    <row r="3" spans="1:24">
      <c r="A3">
        <v>2</v>
      </c>
      <c r="B3" s="2">
        <v>587.07762082574561</v>
      </c>
      <c r="C3" s="2">
        <v>8.1538558448020222</v>
      </c>
      <c r="D3" s="2">
        <v>50.4</v>
      </c>
      <c r="E3" s="2">
        <v>629.40599999999995</v>
      </c>
      <c r="F3" s="2">
        <v>685.96182572614111</v>
      </c>
      <c r="G3" s="2">
        <v>194.3793</v>
      </c>
      <c r="H3" s="2">
        <v>113.7933</v>
      </c>
      <c r="I3">
        <v>111</v>
      </c>
      <c r="J3">
        <v>58</v>
      </c>
      <c r="K3">
        <v>39</v>
      </c>
      <c r="L3">
        <v>96</v>
      </c>
      <c r="M3">
        <v>55</v>
      </c>
      <c r="N3">
        <v>18</v>
      </c>
      <c r="O3">
        <v>1995</v>
      </c>
      <c r="P3">
        <v>0.27</v>
      </c>
      <c r="Q3">
        <v>2.4700000000000002</v>
      </c>
      <c r="R3">
        <v>1.4999999999999999E-2</v>
      </c>
      <c r="S3">
        <v>70</v>
      </c>
      <c r="T3">
        <v>700</v>
      </c>
      <c r="U3">
        <v>475</v>
      </c>
      <c r="V3">
        <v>275</v>
      </c>
      <c r="W3">
        <v>370</v>
      </c>
      <c r="X3">
        <v>155</v>
      </c>
    </row>
    <row r="4" spans="1:24">
      <c r="A4">
        <v>3</v>
      </c>
      <c r="B4" s="2">
        <v>559.63357332991097</v>
      </c>
      <c r="C4" s="2">
        <v>7.7726885184709857</v>
      </c>
      <c r="D4" s="2">
        <v>50.400000000000013</v>
      </c>
      <c r="E4" s="2">
        <v>475.07639999999998</v>
      </c>
      <c r="F4" s="2">
        <v>672.26556016597499</v>
      </c>
      <c r="G4" s="2">
        <v>186.18328</v>
      </c>
      <c r="H4" s="2">
        <v>108.0677</v>
      </c>
      <c r="I4">
        <v>112</v>
      </c>
      <c r="J4">
        <v>55</v>
      </c>
      <c r="K4">
        <v>9</v>
      </c>
      <c r="L4">
        <v>163</v>
      </c>
      <c r="M4">
        <v>56</v>
      </c>
      <c r="N4">
        <v>4</v>
      </c>
      <c r="O4">
        <v>1995</v>
      </c>
      <c r="P4">
        <v>0.27</v>
      </c>
      <c r="Q4">
        <v>2.4700000000000002</v>
      </c>
      <c r="R4">
        <v>1.4999999999999999E-2</v>
      </c>
      <c r="S4">
        <v>60</v>
      </c>
      <c r="T4">
        <v>700</v>
      </c>
      <c r="U4">
        <v>475</v>
      </c>
      <c r="V4">
        <v>275</v>
      </c>
      <c r="W4">
        <v>370</v>
      </c>
      <c r="X4">
        <v>155</v>
      </c>
    </row>
    <row r="5" spans="1:24">
      <c r="A5">
        <v>4</v>
      </c>
      <c r="B5" s="2">
        <v>446.51984882980821</v>
      </c>
      <c r="C5" s="2">
        <v>14.88399496099361</v>
      </c>
      <c r="D5" s="2">
        <v>21</v>
      </c>
      <c r="E5" s="2">
        <v>519.99360000000001</v>
      </c>
      <c r="F5" s="2">
        <v>690.89128630705409</v>
      </c>
      <c r="G5" s="2">
        <v>173.3312</v>
      </c>
      <c r="H5" s="2">
        <v>86.665599999999998</v>
      </c>
      <c r="I5">
        <v>39</v>
      </c>
      <c r="J5">
        <v>106</v>
      </c>
      <c r="K5">
        <v>7</v>
      </c>
      <c r="L5">
        <v>0</v>
      </c>
      <c r="M5">
        <v>0</v>
      </c>
      <c r="N5">
        <v>0</v>
      </c>
      <c r="O5">
        <v>1995</v>
      </c>
      <c r="P5">
        <v>0.27</v>
      </c>
      <c r="Q5">
        <v>2.4700000000000002</v>
      </c>
      <c r="R5">
        <v>1.4999999999999999E-2</v>
      </c>
      <c r="S5">
        <v>85</v>
      </c>
      <c r="T5">
        <v>700</v>
      </c>
      <c r="U5">
        <v>475</v>
      </c>
      <c r="V5">
        <v>275</v>
      </c>
      <c r="W5">
        <v>370</v>
      </c>
      <c r="X5">
        <v>155</v>
      </c>
    </row>
    <row r="6" spans="1:24">
      <c r="A6">
        <v>5</v>
      </c>
      <c r="B6" s="2">
        <v>431.07029120099457</v>
      </c>
      <c r="C6" s="2">
        <v>10.263578361928451</v>
      </c>
      <c r="D6" s="2">
        <v>29.4</v>
      </c>
      <c r="E6" s="2">
        <v>419.80319999999989</v>
      </c>
      <c r="F6" s="2">
        <v>689.36431535269708</v>
      </c>
      <c r="G6" s="2">
        <v>228.73439999999999</v>
      </c>
      <c r="H6" s="2">
        <v>83.632100000000008</v>
      </c>
      <c r="I6">
        <v>39</v>
      </c>
      <c r="J6">
        <v>58</v>
      </c>
      <c r="K6">
        <v>9</v>
      </c>
      <c r="L6">
        <v>163</v>
      </c>
      <c r="M6">
        <v>49</v>
      </c>
      <c r="N6">
        <v>5</v>
      </c>
      <c r="O6">
        <v>1995</v>
      </c>
      <c r="P6">
        <v>0.27</v>
      </c>
      <c r="Q6">
        <v>2.4700000000000002</v>
      </c>
      <c r="R6">
        <v>1.4999999999999999E-2</v>
      </c>
      <c r="S6">
        <v>65</v>
      </c>
      <c r="T6">
        <v>700</v>
      </c>
      <c r="U6">
        <v>475</v>
      </c>
      <c r="V6">
        <v>275</v>
      </c>
      <c r="W6">
        <v>370</v>
      </c>
      <c r="X6">
        <v>155</v>
      </c>
    </row>
    <row r="7" spans="1:24">
      <c r="A7">
        <v>6</v>
      </c>
      <c r="B7" s="2">
        <v>415.17278046464651</v>
      </c>
      <c r="C7" s="2">
        <v>13.839092682154879</v>
      </c>
      <c r="D7" s="2">
        <v>21</v>
      </c>
      <c r="E7" s="2">
        <v>1210.5382500000001</v>
      </c>
      <c r="F7" s="2">
        <v>696.39834024896265</v>
      </c>
      <c r="G7" s="2">
        <v>161.4051</v>
      </c>
      <c r="H7" s="2">
        <v>80.702550000000002</v>
      </c>
      <c r="I7">
        <v>142</v>
      </c>
      <c r="J7">
        <v>111</v>
      </c>
      <c r="K7">
        <v>30</v>
      </c>
      <c r="L7">
        <v>0</v>
      </c>
      <c r="M7">
        <v>0</v>
      </c>
      <c r="N7">
        <v>0</v>
      </c>
      <c r="O7">
        <v>1995</v>
      </c>
      <c r="P7">
        <v>0.27</v>
      </c>
      <c r="Q7">
        <v>2.4700000000000002</v>
      </c>
      <c r="R7">
        <v>1.4999999999999999E-2</v>
      </c>
      <c r="S7">
        <v>80</v>
      </c>
      <c r="T7">
        <v>700</v>
      </c>
      <c r="U7">
        <v>475</v>
      </c>
      <c r="V7">
        <v>275</v>
      </c>
      <c r="W7">
        <v>370</v>
      </c>
      <c r="X7">
        <v>155</v>
      </c>
    </row>
    <row r="8" spans="1:24">
      <c r="A8">
        <v>7</v>
      </c>
      <c r="B8" s="2">
        <v>400.09879892229571</v>
      </c>
      <c r="C8" s="2">
        <v>10.91178542515352</v>
      </c>
      <c r="D8" s="2">
        <v>25.666666666666661</v>
      </c>
      <c r="E8" s="2">
        <v>370.74</v>
      </c>
      <c r="F8" s="2">
        <v>692.98196157235407</v>
      </c>
      <c r="G8" s="2">
        <v>259.74</v>
      </c>
      <c r="H8" s="2">
        <v>77.7</v>
      </c>
      <c r="I8">
        <v>164</v>
      </c>
      <c r="J8">
        <v>60</v>
      </c>
      <c r="K8">
        <v>5</v>
      </c>
      <c r="L8">
        <v>6</v>
      </c>
      <c r="M8">
        <v>50</v>
      </c>
      <c r="N8">
        <v>3</v>
      </c>
      <c r="O8">
        <v>1995</v>
      </c>
      <c r="P8">
        <v>0.27</v>
      </c>
      <c r="Q8">
        <v>2.4700000000000002</v>
      </c>
      <c r="R8">
        <v>1.4999999999999999E-2</v>
      </c>
      <c r="S8">
        <v>65</v>
      </c>
      <c r="T8">
        <v>700</v>
      </c>
      <c r="U8">
        <v>475</v>
      </c>
      <c r="V8">
        <v>275</v>
      </c>
      <c r="W8">
        <v>370</v>
      </c>
      <c r="X8">
        <v>155</v>
      </c>
    </row>
    <row r="9" spans="1:24">
      <c r="A9">
        <v>8</v>
      </c>
      <c r="B9" s="2">
        <v>397.94432184865741</v>
      </c>
      <c r="C9" s="2">
        <v>10.85302695950884</v>
      </c>
      <c r="D9" s="2">
        <v>25.666666666666661</v>
      </c>
      <c r="E9" s="2">
        <v>370.96199999999999</v>
      </c>
      <c r="F9" s="2">
        <v>690.01317507588533</v>
      </c>
      <c r="G9" s="2">
        <v>257.74200000000002</v>
      </c>
      <c r="H9" s="2">
        <v>77.218999999999994</v>
      </c>
      <c r="I9">
        <v>164</v>
      </c>
      <c r="J9">
        <v>59</v>
      </c>
      <c r="K9">
        <v>5</v>
      </c>
      <c r="L9">
        <v>6</v>
      </c>
      <c r="M9">
        <v>51</v>
      </c>
      <c r="N9">
        <v>3</v>
      </c>
      <c r="O9">
        <v>1995</v>
      </c>
      <c r="P9">
        <v>0.27</v>
      </c>
      <c r="Q9">
        <v>2.4700000000000002</v>
      </c>
      <c r="R9">
        <v>1.4999999999999999E-2</v>
      </c>
      <c r="S9">
        <v>60</v>
      </c>
      <c r="T9">
        <v>700</v>
      </c>
      <c r="U9">
        <v>475</v>
      </c>
      <c r="V9">
        <v>275</v>
      </c>
      <c r="W9">
        <v>370</v>
      </c>
      <c r="X9">
        <v>155</v>
      </c>
    </row>
    <row r="10" spans="1:24">
      <c r="A10">
        <v>9</v>
      </c>
      <c r="B10" s="2">
        <v>396.77411779127277</v>
      </c>
      <c r="C10" s="2">
        <v>10.821112303398349</v>
      </c>
      <c r="D10" s="2">
        <v>25.666666666666661</v>
      </c>
      <c r="E10" s="2">
        <v>490.65120000000002</v>
      </c>
      <c r="F10" s="2">
        <v>690.18213167021497</v>
      </c>
      <c r="G10" s="2">
        <v>238.9392</v>
      </c>
      <c r="H10" s="2">
        <v>76.995480000000015</v>
      </c>
      <c r="I10">
        <v>8</v>
      </c>
      <c r="J10">
        <v>62</v>
      </c>
      <c r="K10">
        <v>4</v>
      </c>
      <c r="L10">
        <v>164</v>
      </c>
      <c r="M10">
        <v>45</v>
      </c>
      <c r="N10">
        <v>3</v>
      </c>
      <c r="O10">
        <v>1995</v>
      </c>
      <c r="P10">
        <v>0.27</v>
      </c>
      <c r="Q10">
        <v>2.4700000000000002</v>
      </c>
      <c r="R10">
        <v>1.4999999999999999E-2</v>
      </c>
      <c r="S10">
        <v>70</v>
      </c>
      <c r="T10">
        <v>700</v>
      </c>
      <c r="U10">
        <v>475</v>
      </c>
      <c r="V10">
        <v>275</v>
      </c>
      <c r="W10">
        <v>370</v>
      </c>
      <c r="X10">
        <v>155</v>
      </c>
    </row>
    <row r="11" spans="1:24">
      <c r="A11">
        <v>10</v>
      </c>
      <c r="B11" s="2">
        <v>387.53168548020273</v>
      </c>
      <c r="C11" s="2">
        <v>12.11036517125634</v>
      </c>
      <c r="D11" s="2">
        <v>22.4</v>
      </c>
      <c r="E11" s="2">
        <v>474.88920000000002</v>
      </c>
      <c r="F11" s="2">
        <v>691.6182572614108</v>
      </c>
      <c r="G11" s="2">
        <v>271.27719999999988</v>
      </c>
      <c r="H11" s="2">
        <v>75.231440000000006</v>
      </c>
      <c r="I11">
        <v>8</v>
      </c>
      <c r="J11">
        <v>61</v>
      </c>
      <c r="K11">
        <v>4</v>
      </c>
      <c r="L11">
        <v>163</v>
      </c>
      <c r="M11">
        <v>52</v>
      </c>
      <c r="N11">
        <v>5</v>
      </c>
      <c r="O11">
        <v>1995</v>
      </c>
      <c r="P11">
        <v>0.27</v>
      </c>
      <c r="Q11">
        <v>2.4700000000000002</v>
      </c>
      <c r="R11">
        <v>1.4999999999999999E-2</v>
      </c>
      <c r="S11">
        <v>70</v>
      </c>
      <c r="T11">
        <v>700</v>
      </c>
      <c r="U11">
        <v>475</v>
      </c>
      <c r="V11">
        <v>275</v>
      </c>
      <c r="W11">
        <v>370</v>
      </c>
      <c r="X11">
        <v>155</v>
      </c>
    </row>
    <row r="12" spans="1:24">
      <c r="A12">
        <v>11</v>
      </c>
      <c r="B12" s="2">
        <v>383.44721772978693</v>
      </c>
      <c r="C12" s="2">
        <v>19.17236088648934</v>
      </c>
      <c r="D12" s="2">
        <v>14</v>
      </c>
      <c r="E12" s="2">
        <v>371.036</v>
      </c>
      <c r="F12" s="2">
        <v>680.23236514522819</v>
      </c>
      <c r="G12" s="2">
        <v>222.6216</v>
      </c>
      <c r="H12" s="2">
        <v>74.207200000000014</v>
      </c>
      <c r="I12">
        <v>52</v>
      </c>
      <c r="J12">
        <v>109</v>
      </c>
      <c r="K12">
        <v>8</v>
      </c>
      <c r="L12">
        <v>0</v>
      </c>
      <c r="M12">
        <v>0</v>
      </c>
      <c r="N12">
        <v>0</v>
      </c>
      <c r="O12">
        <v>1995</v>
      </c>
      <c r="P12">
        <v>0.27</v>
      </c>
      <c r="Q12">
        <v>2.4700000000000002</v>
      </c>
      <c r="R12">
        <v>1.4999999999999999E-2</v>
      </c>
      <c r="S12">
        <v>60</v>
      </c>
      <c r="T12">
        <v>700</v>
      </c>
      <c r="U12">
        <v>475</v>
      </c>
      <c r="V12">
        <v>275</v>
      </c>
      <c r="W12">
        <v>370</v>
      </c>
      <c r="X12">
        <v>155</v>
      </c>
    </row>
    <row r="13" spans="1:24">
      <c r="A13">
        <v>12</v>
      </c>
      <c r="B13" s="2">
        <v>375.67908128459112</v>
      </c>
      <c r="C13" s="2">
        <v>11.075444613342899</v>
      </c>
      <c r="D13" s="2">
        <v>23.744</v>
      </c>
      <c r="E13" s="2">
        <v>710.44319999999993</v>
      </c>
      <c r="F13" s="2">
        <v>685.65311203319504</v>
      </c>
      <c r="G13" s="2">
        <v>439.9624</v>
      </c>
      <c r="H13" s="2">
        <v>72.811759999999992</v>
      </c>
      <c r="I13">
        <v>39</v>
      </c>
      <c r="J13">
        <v>62</v>
      </c>
      <c r="K13">
        <v>7</v>
      </c>
      <c r="L13">
        <v>40</v>
      </c>
      <c r="M13">
        <v>57</v>
      </c>
      <c r="N13">
        <v>6</v>
      </c>
      <c r="O13">
        <v>1995</v>
      </c>
      <c r="P13">
        <v>0.27</v>
      </c>
      <c r="Q13">
        <v>2.4700000000000002</v>
      </c>
      <c r="R13">
        <v>1.4999999999999999E-2</v>
      </c>
      <c r="S13">
        <v>65</v>
      </c>
      <c r="T13">
        <v>700</v>
      </c>
      <c r="U13">
        <v>475</v>
      </c>
      <c r="V13">
        <v>275</v>
      </c>
      <c r="W13">
        <v>370</v>
      </c>
      <c r="X13">
        <v>155</v>
      </c>
    </row>
    <row r="14" spans="1:24">
      <c r="A14">
        <v>13</v>
      </c>
      <c r="B14" s="2">
        <v>372</v>
      </c>
      <c r="C14" s="2">
        <v>10</v>
      </c>
      <c r="D14" s="2">
        <v>26</v>
      </c>
      <c r="E14" s="2">
        <v>370</v>
      </c>
      <c r="F14" s="2">
        <v>700</v>
      </c>
      <c r="G14" s="2">
        <v>155</v>
      </c>
      <c r="H14" s="2">
        <v>86.5</v>
      </c>
    </row>
    <row r="15" spans="1:24">
      <c r="A15">
        <v>14</v>
      </c>
      <c r="B15" s="2">
        <v>350.25959873923119</v>
      </c>
      <c r="C15" s="2">
        <v>22.00123107658488</v>
      </c>
      <c r="D15" s="2">
        <v>11.144</v>
      </c>
      <c r="E15" s="2">
        <v>524.77200000000005</v>
      </c>
      <c r="F15" s="2">
        <v>689.92531120331955</v>
      </c>
      <c r="G15" s="2">
        <v>553.86</v>
      </c>
      <c r="H15" s="2">
        <v>67.964399999999998</v>
      </c>
      <c r="I15">
        <v>163</v>
      </c>
      <c r="J15">
        <v>63</v>
      </c>
      <c r="K15">
        <v>8</v>
      </c>
      <c r="L15">
        <v>40</v>
      </c>
      <c r="M15">
        <v>55</v>
      </c>
      <c r="N15">
        <v>6</v>
      </c>
      <c r="O15">
        <v>1995</v>
      </c>
      <c r="P15">
        <v>0.27</v>
      </c>
      <c r="Q15">
        <v>2.4700000000000002</v>
      </c>
      <c r="R15">
        <v>1.4999999999999999E-2</v>
      </c>
      <c r="S15">
        <v>60</v>
      </c>
      <c r="T15">
        <v>700</v>
      </c>
      <c r="U15">
        <v>475</v>
      </c>
      <c r="V15">
        <v>275</v>
      </c>
      <c r="W15">
        <v>370</v>
      </c>
      <c r="X15">
        <v>155</v>
      </c>
    </row>
    <row r="16" spans="1:24">
      <c r="A16">
        <v>15</v>
      </c>
      <c r="B16" s="2">
        <v>311.04387573943012</v>
      </c>
      <c r="C16" s="2">
        <v>25.920322978285839</v>
      </c>
      <c r="D16" s="2">
        <v>8.4</v>
      </c>
      <c r="E16" s="2">
        <v>483.51600000000008</v>
      </c>
      <c r="F16" s="2">
        <v>695.05394190871368</v>
      </c>
      <c r="G16" s="2">
        <v>302.19749999999999</v>
      </c>
      <c r="H16" s="2">
        <v>60.439500000000002</v>
      </c>
      <c r="I16">
        <v>96</v>
      </c>
      <c r="J16">
        <v>110</v>
      </c>
      <c r="K16">
        <v>27</v>
      </c>
      <c r="L16">
        <v>0</v>
      </c>
      <c r="M16">
        <v>0</v>
      </c>
      <c r="N16">
        <v>0</v>
      </c>
      <c r="O16">
        <v>1995</v>
      </c>
      <c r="P16">
        <v>0.27</v>
      </c>
      <c r="Q16">
        <v>2.4700000000000002</v>
      </c>
      <c r="R16">
        <v>1.4999999999999999E-2</v>
      </c>
      <c r="S16">
        <v>60</v>
      </c>
      <c r="T16">
        <v>700</v>
      </c>
      <c r="U16">
        <v>475</v>
      </c>
      <c r="V16">
        <v>275</v>
      </c>
      <c r="W16">
        <v>370</v>
      </c>
      <c r="X16">
        <v>155</v>
      </c>
    </row>
  </sheetData>
  <conditionalFormatting sqref="B1:B1048576">
    <cfRule type="colorScale" priority="2">
      <colorScale>
        <cfvo type="min"/>
        <cfvo type="num" val="$B$14"/>
        <cfvo type="num" val="$B$4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num" val="$C$14"/>
        <cfvo type="num" val="$C$5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60 O</vt:lpstr>
      <vt:lpstr>60 F</vt:lpstr>
      <vt:lpstr>65 O</vt:lpstr>
      <vt:lpstr>65 F</vt:lpstr>
      <vt:lpstr>70 O</vt:lpstr>
      <vt:lpstr>70 F</vt:lpstr>
      <vt:lpstr>75 O</vt:lpstr>
      <vt:lpstr>75 F</vt:lpstr>
      <vt:lpstr>80 O</vt:lpstr>
      <vt:lpstr>80 F</vt:lpstr>
      <vt:lpstr>85 O</vt:lpstr>
      <vt:lpstr>85 F</vt:lpstr>
      <vt:lpstr>90 O</vt:lpstr>
      <vt:lpstr>90 F</vt:lpstr>
      <vt:lpstr>95 O</vt:lpstr>
      <vt:lpstr>95 F</vt:lpstr>
      <vt:lpstr>Best</vt:lpstr>
      <vt:lpstr>Sheet1</vt:lpstr>
      <vt:lpstr>Best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Bateman</dc:creator>
  <cp:lastModifiedBy>Ollie Bateman</cp:lastModifiedBy>
  <dcterms:created xsi:type="dcterms:W3CDTF">2015-06-05T18:19:34Z</dcterms:created>
  <dcterms:modified xsi:type="dcterms:W3CDTF">2025-05-01T13:40:22Z</dcterms:modified>
</cp:coreProperties>
</file>